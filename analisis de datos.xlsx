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tables/table4.xml" ContentType="application/vnd.openxmlformats-officedocument.spreadsheetml.table+xml"/>
  <Override PartName="/xl/slicers/slicer1.xml" ContentType="application/vnd.ms-excel.slicer+xml"/>
  <Override PartName="/xl/tables/table5.xml" ContentType="application/vnd.openxmlformats-officedocument.spreadsheetml.table+xml"/>
  <Override PartName="/xl/pivotTables/pivotTable2.xml" ContentType="application/vnd.openxmlformats-officedocument.spreadsheetml.pivot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queryTables/queryTable1.xml" ContentType="application/vnd.openxmlformats-officedocument.spreadsheetml.queryTable+xml"/>
  <Override PartName="/xl/tables/table9.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tables/table12.xml" ContentType="application/vnd.openxmlformats-officedocument.spreadsheetml.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Ex1.xml" ContentType="application/vnd.ms-office.chartex+xml"/>
  <Override PartName="/xl/charts/style7.xml" ContentType="application/vnd.ms-office.chartstyle+xml"/>
  <Override PartName="/xl/charts/colors7.xml" ContentType="application/vnd.ms-office.chartcolorstyle+xml"/>
  <Override PartName="/xl/tables/table13.xml" ContentType="application/vnd.openxmlformats-officedocument.spreadsheetml.table+xml"/>
  <Override PartName="/xl/queryTables/queryTable2.xml" ContentType="application/vnd.openxmlformats-officedocument.spreadsheetml.queryTable+xml"/>
  <Override PartName="/xl/tables/table14.xml" ContentType="application/vnd.openxmlformats-officedocument.spreadsheetml.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hidePivotFieldList="1"/>
  <mc:AlternateContent xmlns:mc="http://schemas.openxmlformats.org/markup-compatibility/2006">
    <mc:Choice Requires="x15">
      <x15ac:absPath xmlns:x15ac="http://schemas.microsoft.com/office/spreadsheetml/2010/11/ac" url="D:\analisis de datos\"/>
    </mc:Choice>
  </mc:AlternateContent>
  <xr:revisionPtr revIDLastSave="0" documentId="13_ncr:1_{C3A883A2-2CFD-436A-B5BB-AD72B04B8B8E}" xr6:coauthVersionLast="47" xr6:coauthVersionMax="47" xr10:uidLastSave="{00000000-0000-0000-0000-000000000000}"/>
  <bookViews>
    <workbookView xWindow="-120" yWindow="-120" windowWidth="20730" windowHeight="11760" firstSheet="11" activeTab="13" xr2:uid="{1E310BEA-852E-4FDC-B6A0-739E4275394C}"/>
  </bookViews>
  <sheets>
    <sheet name="tarea uno" sheetId="1" r:id="rId1"/>
    <sheet name="UNION Y SEPARACION" sheetId="4" r:id="rId2"/>
    <sheet name="SUM PROM Y REDONDEO" sheetId="5" r:id="rId3"/>
    <sheet name="SUMAR.SI" sheetId="6" r:id="rId4"/>
    <sheet name="SUMAPRODUCTO" sheetId="8" r:id="rId5"/>
    <sheet name="SUMAPRODUCTO2" sheetId="7" r:id="rId6"/>
    <sheet name="BUSCARV" sheetId="9" r:id="rId7"/>
    <sheet name="buscarv2" sheetId="10" r:id="rId8"/>
    <sheet name="buscarv3" sheetId="11" r:id="rId9"/>
    <sheet name="bdbuscarv" sheetId="12" r:id="rId10"/>
    <sheet name="POWER PIVOT" sheetId="18" r:id="rId11"/>
    <sheet name="Tabla 4" sheetId="21" r:id="rId12"/>
    <sheet name="Hoja4" sheetId="22" r:id="rId13"/>
    <sheet name="limpieza y dashboard" sheetId="23" r:id="rId14"/>
    <sheet name="Hoja1" sheetId="26" r:id="rId15"/>
    <sheet name="CONDICIONALES" sheetId="25" r:id="rId16"/>
    <sheet name="Tabla 1" sheetId="20" r:id="rId17"/>
    <sheet name="IMPORTAR" sheetId="19" r:id="rId18"/>
    <sheet name="formulario" sheetId="17" r:id="rId19"/>
    <sheet name="BuscarH" sheetId="13" r:id="rId20"/>
    <sheet name="SI" sheetId="14" r:id="rId21"/>
    <sheet name="FORMATOCONDICIONAL" sheetId="15" r:id="rId22"/>
    <sheet name="TABLADIN" sheetId="16" r:id="rId23"/>
    <sheet name="reto dos" sheetId="2" r:id="rId24"/>
    <sheet name="FILTRO" sheetId="3" r:id="rId25"/>
    <sheet name="listas" sheetId="24" r:id="rId26"/>
  </sheets>
  <definedNames>
    <definedName name="_xlnm._FilterDatabase" localSheetId="24" hidden="1">FILTRO!$B$5:$I$5</definedName>
    <definedName name="_xlnm._FilterDatabase" localSheetId="2" hidden="1">'SUM PROM Y REDONDEO'!$A$1:$O$101</definedName>
    <definedName name="_xlnm._FilterDatabase" localSheetId="3" hidden="1">SUMAR.SI!$B$3:$M$103</definedName>
    <definedName name="_xlchart.v5.0" hidden="1">CONDICIONALES!$P$19</definedName>
    <definedName name="_xlchart.v5.1" hidden="1">CONDICIONALES!$P$20:$P$38</definedName>
    <definedName name="_xlchart.v5.10" hidden="1">CONDICIONALES!$P$19</definedName>
    <definedName name="_xlchart.v5.11" hidden="1">CONDICIONALES!$P$20:$P$38</definedName>
    <definedName name="_xlchart.v5.12" hidden="1">CONDICIONALES!$Q$18</definedName>
    <definedName name="_xlchart.v5.13" hidden="1">CONDICIONALES!$Q$19</definedName>
    <definedName name="_xlchart.v5.14" hidden="1">CONDICIONALES!$Q$20:$Q$38</definedName>
    <definedName name="_xlchart.v5.15" hidden="1">CONDICIONALES!$P$19</definedName>
    <definedName name="_xlchart.v5.16" hidden="1">CONDICIONALES!$P$20:$P$38</definedName>
    <definedName name="_xlchart.v5.17" hidden="1">CONDICIONALES!$Q$18</definedName>
    <definedName name="_xlchart.v5.18" hidden="1">CONDICIONALES!$Q$19</definedName>
    <definedName name="_xlchart.v5.19" hidden="1">CONDICIONALES!$Q$20:$Q$38</definedName>
    <definedName name="_xlchart.v5.2" hidden="1">CONDICIONALES!$Q$18</definedName>
    <definedName name="_xlchart.v5.20" hidden="1">CONDICIONALES!$P$19</definedName>
    <definedName name="_xlchart.v5.21" hidden="1">CONDICIONALES!$P$20:$P$38</definedName>
    <definedName name="_xlchart.v5.22" hidden="1">CONDICIONALES!$Q$18</definedName>
    <definedName name="_xlchart.v5.23" hidden="1">CONDICIONALES!$Q$19</definedName>
    <definedName name="_xlchart.v5.24" hidden="1">CONDICIONALES!$Q$20:$Q$38</definedName>
    <definedName name="_xlchart.v5.25" hidden="1">CONDICIONALES!$P$19</definedName>
    <definedName name="_xlchart.v5.26" hidden="1">CONDICIONALES!$P$20:$P$38</definedName>
    <definedName name="_xlchart.v5.27" hidden="1">CONDICIONALES!$Q$18</definedName>
    <definedName name="_xlchart.v5.28" hidden="1">CONDICIONALES!$Q$19</definedName>
    <definedName name="_xlchart.v5.29" hidden="1">CONDICIONALES!$Q$20:$Q$38</definedName>
    <definedName name="_xlchart.v5.3" hidden="1">CONDICIONALES!$Q$19</definedName>
    <definedName name="_xlchart.v5.4" hidden="1">CONDICIONALES!$Q$20:$Q$38</definedName>
    <definedName name="_xlchart.v5.5" hidden="1">CONDICIONALES!$P$19</definedName>
    <definedName name="_xlchart.v5.6" hidden="1">CONDICIONALES!$P$20:$P$38</definedName>
    <definedName name="_xlchart.v5.7" hidden="1">CONDICIONALES!$Q$18</definedName>
    <definedName name="_xlchart.v5.8" hidden="1">CONDICIONALES!$Q$19</definedName>
    <definedName name="_xlchart.v5.9" hidden="1">CONDICIONALES!$Q$20:$Q$38</definedName>
    <definedName name="_xlcn.WorksheetConnection_analisisdedatos.xlsxtabladatos21" hidden="1">tabladatos2[]</definedName>
    <definedName name="_xlcn.WorksheetConnection_analisisdedatos.xlsxtablapaises1" hidden="1">tablapaises[]</definedName>
    <definedName name="articulo">listas!$K$2:$K$6</definedName>
    <definedName name="comercial">listas!$I$2:$I$6</definedName>
    <definedName name="CONOCIMIENTO">'tarea uno'!$I$5:$I$6</definedName>
    <definedName name="datos">tabladatos2[#All]</definedName>
    <definedName name="DatosExternos_1" localSheetId="16" hidden="1">'Tabla 1'!$A$1:$E$214</definedName>
    <definedName name="DatosExternos_2" localSheetId="11" hidden="1">'Tabla 4'!$A$1:$I$60</definedName>
    <definedName name="IINVREAL">SUMAR.SI!$K$4:$K$103</definedName>
    <definedName name="INTENCION">'tarea uno'!$E$5:$E$7</definedName>
    <definedName name="Inversión">'tarea uno'!$H$5:$H$6</definedName>
    <definedName name="INVEXP">SUMAR.SI!$J$4:$J$103</definedName>
    <definedName name="INVREAL">SUMAR.SI!$J$4:$J$103</definedName>
    <definedName name="INVREAL16">SUMAR.SI!$M$4:$M$103</definedName>
    <definedName name="INVREAL17">SUMAR.SI!$L$4:$L$103</definedName>
    <definedName name="marca">listas!$J$2:$J$6</definedName>
    <definedName name="NativeTimeline_FECHA">#N/A</definedName>
    <definedName name="SECTOR">SUMAR.SI!$D$4:$D$103</definedName>
    <definedName name="SegmentaciónDeDatos_Calificación_Proyectos__1_10">#N/A</definedName>
    <definedName name="SegmentaciónDeDatos_COMERCIAL">#N/A</definedName>
    <definedName name="SegmentaciónDeDatos_MARCA">#N/A</definedName>
    <definedName name="SegmentaciónDeDatos_País_de_orígen">#N/A</definedName>
    <definedName name="Trabajo">'tarea uno'!$G$5:$G$6</definedName>
  </definedNames>
  <calcPr calcId="191029"/>
  <pivotCaches>
    <pivotCache cacheId="0" r:id="rId27"/>
    <pivotCache cacheId="1" r:id="rId28"/>
    <pivotCache cacheId="2" r:id="rId29"/>
    <pivotCache cacheId="13" r:id="rId30"/>
  </pivotCaches>
  <extLst>
    <ext xmlns:x14="http://schemas.microsoft.com/office/spreadsheetml/2009/9/main" uri="{BBE1A952-AA13-448e-AADC-164F8A28A991}">
      <x14:slicerCaches>
        <x14:slicerCache r:id="rId31"/>
        <x14:slicerCache r:id="rId32"/>
        <x14:slicerCache r:id="rId33"/>
        <x14:slicerCache r:id="rId3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35"/>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adatos2" name="tabladatos2" connection="WorksheetConnection_analisis de datos.xlsx!tabladatos2"/>
          <x15:modelTable id="tablapaises" name="tablapaises" connection="WorksheetConnection_analisis de datos.xlsx!tablapaises"/>
        </x15:modelTables>
        <x15:modelRelationships>
          <x15:modelRelationship fromTable="tabladatos2" fromColumn="Codigo" toTable="tablapaises" toColumn="Codigo"/>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1" i="25" l="1"/>
  <c r="Q22" i="25"/>
  <c r="Q23" i="25"/>
  <c r="Q24" i="25"/>
  <c r="Q25" i="25"/>
  <c r="Q26" i="25"/>
  <c r="Q27" i="25"/>
  <c r="Q28" i="25"/>
  <c r="Q29" i="25"/>
  <c r="Q30" i="25"/>
  <c r="Q31" i="25"/>
  <c r="Q32" i="25"/>
  <c r="Q33" i="25"/>
  <c r="Q34" i="25"/>
  <c r="Q35" i="25"/>
  <c r="Q36" i="25"/>
  <c r="Q37" i="25"/>
  <c r="Q38" i="25"/>
  <c r="Y28" i="25"/>
  <c r="Z28" i="25"/>
  <c r="AA28" i="25"/>
  <c r="AK28" i="25" s="1"/>
  <c r="AB28" i="25"/>
  <c r="AC28" i="25"/>
  <c r="AD28" i="25"/>
  <c r="AE28" i="25"/>
  <c r="AF28" i="25"/>
  <c r="AG28" i="25"/>
  <c r="AH28" i="25"/>
  <c r="AI28" i="25"/>
  <c r="AJ28" i="25"/>
  <c r="AK19" i="25"/>
  <c r="AK20" i="25"/>
  <c r="AK21" i="25"/>
  <c r="AK22" i="25"/>
  <c r="AK23" i="25"/>
  <c r="AK24" i="25"/>
  <c r="AK25" i="25"/>
  <c r="AK26" i="25"/>
  <c r="AK27" i="25"/>
  <c r="Y20" i="25"/>
  <c r="Z20" i="25"/>
  <c r="AA20" i="25"/>
  <c r="AB20" i="25"/>
  <c r="AC20" i="25"/>
  <c r="AD20" i="25"/>
  <c r="AE20" i="25"/>
  <c r="AF20" i="25"/>
  <c r="AG20" i="25"/>
  <c r="AH20" i="25"/>
  <c r="AI20" i="25"/>
  <c r="AJ20" i="25"/>
  <c r="Y21" i="25"/>
  <c r="Z21" i="25"/>
  <c r="AA21" i="25"/>
  <c r="AB21" i="25"/>
  <c r="AC21" i="25"/>
  <c r="AD21" i="25"/>
  <c r="AE21" i="25"/>
  <c r="AF21" i="25"/>
  <c r="AG21" i="25"/>
  <c r="AH21" i="25"/>
  <c r="AI21" i="25"/>
  <c r="AJ21" i="25"/>
  <c r="Y22" i="25"/>
  <c r="Z22" i="25"/>
  <c r="AA22" i="25"/>
  <c r="AB22" i="25"/>
  <c r="AC22" i="25"/>
  <c r="AD22" i="25"/>
  <c r="AE22" i="25"/>
  <c r="AF22" i="25"/>
  <c r="AG22" i="25"/>
  <c r="AH22" i="25"/>
  <c r="AI22" i="25"/>
  <c r="AJ22" i="25"/>
  <c r="Y23" i="25"/>
  <c r="Z23" i="25"/>
  <c r="AA23" i="25"/>
  <c r="AB23" i="25"/>
  <c r="AC23" i="25"/>
  <c r="AD23" i="25"/>
  <c r="AE23" i="25"/>
  <c r="AF23" i="25"/>
  <c r="AG23" i="25"/>
  <c r="AH23" i="25"/>
  <c r="AI23" i="25"/>
  <c r="AJ23" i="25"/>
  <c r="Y24" i="25"/>
  <c r="Z24" i="25"/>
  <c r="AA24" i="25"/>
  <c r="AB24" i="25"/>
  <c r="AC24" i="25"/>
  <c r="AD24" i="25"/>
  <c r="AE24" i="25"/>
  <c r="AF24" i="25"/>
  <c r="AG24" i="25"/>
  <c r="AH24" i="25"/>
  <c r="AI24" i="25"/>
  <c r="AJ24" i="25"/>
  <c r="Y25" i="25"/>
  <c r="Z25" i="25"/>
  <c r="AA25" i="25"/>
  <c r="AB25" i="25"/>
  <c r="AC25" i="25"/>
  <c r="AD25" i="25"/>
  <c r="AE25" i="25"/>
  <c r="AF25" i="25"/>
  <c r="AG25" i="25"/>
  <c r="AH25" i="25"/>
  <c r="AI25" i="25"/>
  <c r="AJ25" i="25"/>
  <c r="Y26" i="25"/>
  <c r="Z26" i="25"/>
  <c r="AA26" i="25"/>
  <c r="AB26" i="25"/>
  <c r="AC26" i="25"/>
  <c r="AD26" i="25"/>
  <c r="AE26" i="25"/>
  <c r="AF26" i="25"/>
  <c r="AG26" i="25"/>
  <c r="AH26" i="25"/>
  <c r="AI26" i="25"/>
  <c r="AJ26" i="25"/>
  <c r="Y27" i="25"/>
  <c r="Z27" i="25"/>
  <c r="AA27" i="25"/>
  <c r="AB27" i="25"/>
  <c r="AC27" i="25"/>
  <c r="AD27" i="25"/>
  <c r="AE27" i="25"/>
  <c r="AF27" i="25"/>
  <c r="AG27" i="25"/>
  <c r="AH27" i="25"/>
  <c r="AI27" i="25"/>
  <c r="AJ27" i="25"/>
  <c r="Z19" i="25"/>
  <c r="AA19" i="25"/>
  <c r="AB19" i="25"/>
  <c r="AC19" i="25"/>
  <c r="AD19" i="25"/>
  <c r="AE19" i="25"/>
  <c r="AF19" i="25"/>
  <c r="AG19" i="25"/>
  <c r="AH19" i="25"/>
  <c r="AI19" i="25"/>
  <c r="AJ19" i="25"/>
  <c r="Y19" i="25"/>
  <c r="Y13" i="25"/>
  <c r="Z13" i="25"/>
  <c r="AA13" i="25"/>
  <c r="AK13" i="25" s="1"/>
  <c r="AB13" i="25"/>
  <c r="AC13" i="25"/>
  <c r="AD13" i="25"/>
  <c r="AE13" i="25"/>
  <c r="AF13" i="25"/>
  <c r="AG13" i="25"/>
  <c r="AH13" i="25"/>
  <c r="AI13" i="25"/>
  <c r="AJ13" i="25"/>
  <c r="AK4" i="25"/>
  <c r="AK5" i="25"/>
  <c r="AK6" i="25"/>
  <c r="AK7" i="25"/>
  <c r="AK8" i="25"/>
  <c r="AK9" i="25"/>
  <c r="AK10" i="25"/>
  <c r="AK11" i="25"/>
  <c r="AK12" i="25"/>
  <c r="Y12" i="25"/>
  <c r="Y5" i="25"/>
  <c r="Z5" i="25"/>
  <c r="AA5" i="25"/>
  <c r="AB5" i="25"/>
  <c r="AC5" i="25"/>
  <c r="AD5" i="25"/>
  <c r="AE5" i="25"/>
  <c r="AF5" i="25"/>
  <c r="AG5" i="25"/>
  <c r="AH5" i="25"/>
  <c r="AI5" i="25"/>
  <c r="AJ5" i="25"/>
  <c r="Y6" i="25"/>
  <c r="Z6" i="25"/>
  <c r="AA6" i="25"/>
  <c r="AB6" i="25"/>
  <c r="AC6" i="25"/>
  <c r="AD6" i="25"/>
  <c r="AE6" i="25"/>
  <c r="AF6" i="25"/>
  <c r="AG6" i="25"/>
  <c r="AH6" i="25"/>
  <c r="AI6" i="25"/>
  <c r="AJ6" i="25"/>
  <c r="Y7" i="25"/>
  <c r="Z7" i="25"/>
  <c r="AA7" i="25"/>
  <c r="AB7" i="25"/>
  <c r="AC7" i="25"/>
  <c r="AD7" i="25"/>
  <c r="AE7" i="25"/>
  <c r="AF7" i="25"/>
  <c r="AG7" i="25"/>
  <c r="AH7" i="25"/>
  <c r="AI7" i="25"/>
  <c r="AJ7" i="25"/>
  <c r="Y8" i="25"/>
  <c r="Z8" i="25"/>
  <c r="AA8" i="25"/>
  <c r="AB8" i="25"/>
  <c r="AC8" i="25"/>
  <c r="AD8" i="25"/>
  <c r="AE8" i="25"/>
  <c r="AF8" i="25"/>
  <c r="AG8" i="25"/>
  <c r="AH8" i="25"/>
  <c r="AI8" i="25"/>
  <c r="AJ8" i="25"/>
  <c r="Y9" i="25"/>
  <c r="Z9" i="25"/>
  <c r="AA9" i="25"/>
  <c r="AB9" i="25"/>
  <c r="AC9" i="25"/>
  <c r="AD9" i="25"/>
  <c r="AE9" i="25"/>
  <c r="AF9" i="25"/>
  <c r="AG9" i="25"/>
  <c r="AH9" i="25"/>
  <c r="AI9" i="25"/>
  <c r="AJ9" i="25"/>
  <c r="Y10" i="25"/>
  <c r="Z10" i="25"/>
  <c r="AA10" i="25"/>
  <c r="AB10" i="25"/>
  <c r="AC10" i="25"/>
  <c r="AD10" i="25"/>
  <c r="AE10" i="25"/>
  <c r="AF10" i="25"/>
  <c r="AG10" i="25"/>
  <c r="AH10" i="25"/>
  <c r="AI10" i="25"/>
  <c r="AJ10" i="25"/>
  <c r="Y11" i="25"/>
  <c r="Z11" i="25"/>
  <c r="AA11" i="25"/>
  <c r="AB11" i="25"/>
  <c r="AC11" i="25"/>
  <c r="AD11" i="25"/>
  <c r="AE11" i="25"/>
  <c r="AF11" i="25"/>
  <c r="AG11" i="25"/>
  <c r="AH11" i="25"/>
  <c r="AI11" i="25"/>
  <c r="AJ11" i="25"/>
  <c r="Z12" i="25"/>
  <c r="AA12" i="25"/>
  <c r="AB12" i="25"/>
  <c r="AC12" i="25"/>
  <c r="AD12" i="25"/>
  <c r="AE12" i="25"/>
  <c r="AF12" i="25"/>
  <c r="AG12" i="25"/>
  <c r="AH12" i="25"/>
  <c r="AI12" i="25"/>
  <c r="AJ12" i="25"/>
  <c r="Z4" i="25"/>
  <c r="AA4" i="25"/>
  <c r="AB4" i="25"/>
  <c r="AC4" i="25"/>
  <c r="AD4" i="25"/>
  <c r="AE4" i="25"/>
  <c r="AF4" i="25"/>
  <c r="AG4" i="25"/>
  <c r="AH4" i="25"/>
  <c r="AI4" i="25"/>
  <c r="AJ4" i="25"/>
  <c r="Y4" i="25"/>
  <c r="Q20" i="25"/>
  <c r="B3" i="25"/>
  <c r="B4" i="25"/>
  <c r="B5" i="25"/>
  <c r="B6" i="25"/>
  <c r="B7" i="25"/>
  <c r="B8" i="25"/>
  <c r="B9" i="25"/>
  <c r="B10" i="25"/>
  <c r="B11" i="25"/>
  <c r="B12" i="25"/>
  <c r="B13" i="25"/>
  <c r="B14" i="25"/>
  <c r="B15" i="25"/>
  <c r="B16" i="25"/>
  <c r="B17" i="25"/>
  <c r="B18" i="25"/>
  <c r="B19" i="25"/>
  <c r="B20" i="25"/>
  <c r="B21" i="25"/>
  <c r="B22" i="25"/>
  <c r="B23" i="25"/>
  <c r="B24" i="25"/>
  <c r="B25" i="25"/>
  <c r="B26" i="25"/>
  <c r="B27" i="25"/>
  <c r="B28" i="25"/>
  <c r="B29" i="25"/>
  <c r="B30" i="25"/>
  <c r="B31" i="25"/>
  <c r="B32" i="25"/>
  <c r="B33" i="25"/>
  <c r="B34" i="25"/>
  <c r="B35" i="25"/>
  <c r="B36" i="25"/>
  <c r="B37" i="25"/>
  <c r="B38" i="25"/>
  <c r="B39" i="25"/>
  <c r="B40" i="25"/>
  <c r="B41" i="25"/>
  <c r="B42" i="25"/>
  <c r="B43" i="25"/>
  <c r="B44" i="25"/>
  <c r="B45" i="25"/>
  <c r="B46" i="25"/>
  <c r="B47" i="25"/>
  <c r="B48" i="25"/>
  <c r="B49" i="25"/>
  <c r="B50" i="25"/>
  <c r="B51" i="25"/>
  <c r="B52" i="25"/>
  <c r="B53" i="25"/>
  <c r="B54" i="25"/>
  <c r="B55" i="25"/>
  <c r="B56" i="25"/>
  <c r="B57" i="25"/>
  <c r="B58" i="25"/>
  <c r="B59" i="25"/>
  <c r="B60" i="25"/>
  <c r="B61" i="25"/>
  <c r="B62" i="25"/>
  <c r="B63" i="25"/>
  <c r="B64" i="25"/>
  <c r="B65" i="25"/>
  <c r="B66" i="25"/>
  <c r="B67" i="25"/>
  <c r="B68" i="25"/>
  <c r="B69" i="25"/>
  <c r="B70" i="25"/>
  <c r="B71" i="25"/>
  <c r="B72" i="25"/>
  <c r="B73" i="25"/>
  <c r="B74" i="25"/>
  <c r="B75" i="25"/>
  <c r="B76" i="25"/>
  <c r="B77" i="25"/>
  <c r="B78" i="25"/>
  <c r="B79" i="25"/>
  <c r="B80" i="25"/>
  <c r="B81" i="25"/>
  <c r="B82" i="25"/>
  <c r="B83" i="25"/>
  <c r="B84" i="25"/>
  <c r="B85" i="25"/>
  <c r="B86" i="25"/>
  <c r="B87" i="25"/>
  <c r="B88" i="25"/>
  <c r="B89" i="25"/>
  <c r="B90" i="25"/>
  <c r="B91" i="25"/>
  <c r="B92" i="25"/>
  <c r="B93" i="25"/>
  <c r="B94" i="25"/>
  <c r="B95" i="25"/>
  <c r="B96" i="25"/>
  <c r="B97" i="25"/>
  <c r="B98" i="25"/>
  <c r="B99" i="25"/>
  <c r="B100" i="25"/>
  <c r="B101" i="25"/>
  <c r="B102" i="25"/>
  <c r="B103" i="25"/>
  <c r="B104" i="25"/>
  <c r="B105" i="25"/>
  <c r="B106" i="25"/>
  <c r="B107" i="25"/>
  <c r="B108" i="25"/>
  <c r="B109" i="25"/>
  <c r="B110" i="25"/>
  <c r="B111" i="25"/>
  <c r="B112" i="25"/>
  <c r="B113" i="25"/>
  <c r="B114" i="25"/>
  <c r="B115" i="25"/>
  <c r="B116" i="25"/>
  <c r="B117" i="25"/>
  <c r="B118" i="25"/>
  <c r="B119" i="25"/>
  <c r="B120" i="25"/>
  <c r="B121" i="25"/>
  <c r="B122" i="25"/>
  <c r="B123" i="25"/>
  <c r="B124" i="25"/>
  <c r="B125" i="25"/>
  <c r="B126" i="25"/>
  <c r="B127" i="25"/>
  <c r="B128" i="25"/>
  <c r="B129" i="25"/>
  <c r="B130" i="25"/>
  <c r="B131" i="25"/>
  <c r="B132" i="25"/>
  <c r="B133" i="25"/>
  <c r="B134" i="25"/>
  <c r="B135" i="25"/>
  <c r="B136" i="25"/>
  <c r="B137" i="25"/>
  <c r="B138" i="25"/>
  <c r="B139" i="25"/>
  <c r="B140" i="25"/>
  <c r="B141" i="25"/>
  <c r="B142" i="25"/>
  <c r="B143" i="25"/>
  <c r="B144" i="25"/>
  <c r="B145" i="25"/>
  <c r="B146" i="25"/>
  <c r="B147" i="25"/>
  <c r="B148" i="25"/>
  <c r="B149" i="25"/>
  <c r="B150" i="25"/>
  <c r="B151" i="25"/>
  <c r="B152" i="25"/>
  <c r="B153" i="25"/>
  <c r="B154" i="25"/>
  <c r="B155" i="25"/>
  <c r="B156" i="25"/>
  <c r="B157" i="25"/>
  <c r="B158" i="25"/>
  <c r="B159" i="25"/>
  <c r="B160" i="25"/>
  <c r="B161" i="25"/>
  <c r="B162" i="25"/>
  <c r="B163" i="25"/>
  <c r="B164" i="25"/>
  <c r="B165" i="25"/>
  <c r="B166" i="25"/>
  <c r="B167" i="25"/>
  <c r="B168" i="25"/>
  <c r="B169" i="25"/>
  <c r="B170" i="25"/>
  <c r="B171" i="25"/>
  <c r="B172" i="25"/>
  <c r="B173" i="25"/>
  <c r="B174" i="25"/>
  <c r="B175" i="25"/>
  <c r="B176" i="25"/>
  <c r="B177" i="25"/>
  <c r="B178" i="25"/>
  <c r="B179" i="25"/>
  <c r="B180" i="25"/>
  <c r="B181" i="25"/>
  <c r="B182" i="25"/>
  <c r="B183" i="25"/>
  <c r="B184" i="25"/>
  <c r="B185" i="25"/>
  <c r="B186" i="25"/>
  <c r="B187" i="25"/>
  <c r="B188" i="25"/>
  <c r="B189" i="25"/>
  <c r="B190" i="25"/>
  <c r="B191" i="25"/>
  <c r="B192" i="25"/>
  <c r="B193" i="25"/>
  <c r="B194" i="25"/>
  <c r="B195" i="25"/>
  <c r="B196" i="25"/>
  <c r="B197" i="25"/>
  <c r="B198" i="25"/>
  <c r="B199" i="25"/>
  <c r="B200" i="25"/>
  <c r="B201" i="25"/>
  <c r="B202" i="25"/>
  <c r="B203" i="25"/>
  <c r="B204" i="25"/>
  <c r="B205" i="25"/>
  <c r="B206" i="25"/>
  <c r="B207" i="25"/>
  <c r="B208" i="25"/>
  <c r="B209" i="25"/>
  <c r="B210" i="25"/>
  <c r="B211" i="25"/>
  <c r="B212" i="25"/>
  <c r="B213" i="25"/>
  <c r="B214" i="25"/>
  <c r="B215" i="25"/>
  <c r="B216" i="25"/>
  <c r="B217" i="25"/>
  <c r="B218" i="25"/>
  <c r="B219" i="25"/>
  <c r="B220" i="25"/>
  <c r="B221" i="25"/>
  <c r="B222" i="25"/>
  <c r="B223" i="25"/>
  <c r="B224" i="25"/>
  <c r="B225" i="25"/>
  <c r="B226" i="25"/>
  <c r="B227" i="25"/>
  <c r="B228" i="25"/>
  <c r="B229" i="25"/>
  <c r="B230" i="25"/>
  <c r="B231" i="25"/>
  <c r="B232" i="25"/>
  <c r="B233" i="25"/>
  <c r="B234" i="25"/>
  <c r="B235" i="25"/>
  <c r="B236" i="25"/>
  <c r="B237" i="25"/>
  <c r="B238" i="25"/>
  <c r="B239" i="25"/>
  <c r="B240" i="25"/>
  <c r="B241" i="25"/>
  <c r="B242" i="25"/>
  <c r="B243" i="25"/>
  <c r="B244" i="25"/>
  <c r="B245" i="25"/>
  <c r="B246" i="25"/>
  <c r="B247" i="25"/>
  <c r="B248" i="25"/>
  <c r="B249" i="25"/>
  <c r="B250" i="25"/>
  <c r="B251" i="25"/>
  <c r="B252" i="25"/>
  <c r="B253" i="25"/>
  <c r="B254" i="25"/>
  <c r="B255" i="25"/>
  <c r="B256" i="25"/>
  <c r="B257" i="25"/>
  <c r="B258" i="25"/>
  <c r="B259" i="25"/>
  <c r="B260" i="25"/>
  <c r="B261" i="25"/>
  <c r="B262" i="25"/>
  <c r="B263" i="25"/>
  <c r="B264" i="25"/>
  <c r="B265" i="25"/>
  <c r="B266" i="25"/>
  <c r="B267" i="25"/>
  <c r="B268" i="25"/>
  <c r="B269" i="25"/>
  <c r="B270" i="25"/>
  <c r="B271" i="25"/>
  <c r="B272" i="25"/>
  <c r="B273" i="25"/>
  <c r="B274" i="25"/>
  <c r="B275" i="25"/>
  <c r="B276" i="25"/>
  <c r="B277" i="25"/>
  <c r="B278" i="25"/>
  <c r="B279" i="25"/>
  <c r="B280" i="25"/>
  <c r="B281" i="25"/>
  <c r="B282" i="25"/>
  <c r="B283" i="25"/>
  <c r="B284" i="25"/>
  <c r="B285" i="25"/>
  <c r="B286" i="25"/>
  <c r="B287" i="25"/>
  <c r="B288" i="25"/>
  <c r="B289" i="25"/>
  <c r="B290" i="25"/>
  <c r="B291" i="25"/>
  <c r="B292" i="25"/>
  <c r="B293" i="25"/>
  <c r="B294" i="25"/>
  <c r="B295" i="25"/>
  <c r="B296" i="25"/>
  <c r="B297" i="25"/>
  <c r="B298" i="25"/>
  <c r="B299" i="25"/>
  <c r="B300" i="25"/>
  <c r="B301" i="25"/>
  <c r="B302" i="25"/>
  <c r="B303" i="25"/>
  <c r="B304" i="25"/>
  <c r="B305" i="25"/>
  <c r="B306" i="25"/>
  <c r="B307" i="25"/>
  <c r="B308" i="25"/>
  <c r="B309" i="25"/>
  <c r="B310" i="25"/>
  <c r="B311" i="25"/>
  <c r="B312" i="25"/>
  <c r="B313" i="25"/>
  <c r="B314" i="25"/>
  <c r="B315" i="25"/>
  <c r="B316" i="25"/>
  <c r="B317" i="25"/>
  <c r="B318" i="25"/>
  <c r="B319" i="25"/>
  <c r="B320" i="25"/>
  <c r="B321" i="25"/>
  <c r="B322" i="25"/>
  <c r="B323" i="25"/>
  <c r="B324" i="25"/>
  <c r="B325" i="25"/>
  <c r="B326" i="25"/>
  <c r="B327" i="25"/>
  <c r="B328" i="25"/>
  <c r="B329" i="25"/>
  <c r="B330" i="25"/>
  <c r="B331" i="25"/>
  <c r="B332" i="25"/>
  <c r="B333" i="25"/>
  <c r="B334" i="25"/>
  <c r="B335" i="25"/>
  <c r="B336" i="25"/>
  <c r="B337" i="25"/>
  <c r="B338" i="25"/>
  <c r="B339" i="25"/>
  <c r="B340" i="25"/>
  <c r="B341" i="25"/>
  <c r="B342" i="25"/>
  <c r="B343" i="25"/>
  <c r="B344" i="25"/>
  <c r="B345" i="25"/>
  <c r="B346" i="25"/>
  <c r="B347" i="25"/>
  <c r="B348" i="25"/>
  <c r="B349" i="25"/>
  <c r="B350" i="25"/>
  <c r="B351" i="25"/>
  <c r="B352" i="25"/>
  <c r="B353" i="25"/>
  <c r="B354" i="25"/>
  <c r="B355" i="25"/>
  <c r="B356" i="25"/>
  <c r="B357" i="25"/>
  <c r="B358" i="25"/>
  <c r="B359" i="25"/>
  <c r="B360" i="25"/>
  <c r="B361" i="25"/>
  <c r="B362" i="25"/>
  <c r="B363" i="25"/>
  <c r="B364" i="25"/>
  <c r="B365" i="25"/>
  <c r="B366" i="25"/>
  <c r="B367" i="25"/>
  <c r="B368" i="25"/>
  <c r="B369" i="25"/>
  <c r="B2" i="25"/>
  <c r="U5" i="25"/>
  <c r="U4" i="25"/>
  <c r="U6" i="25" s="1"/>
  <c r="A3" i="25"/>
  <c r="A4" i="25"/>
  <c r="A5" i="25"/>
  <c r="A6" i="25"/>
  <c r="A7" i="25"/>
  <c r="A8" i="25"/>
  <c r="A9" i="25"/>
  <c r="A10" i="25"/>
  <c r="A11" i="25"/>
  <c r="A12" i="25"/>
  <c r="A13" i="25"/>
  <c r="A14" i="25"/>
  <c r="A15" i="25"/>
  <c r="A16" i="25"/>
  <c r="A17" i="25"/>
  <c r="A18" i="25"/>
  <c r="A19" i="25"/>
  <c r="A20" i="25"/>
  <c r="A21" i="25"/>
  <c r="A22" i="25"/>
  <c r="A23" i="25"/>
  <c r="A24" i="25"/>
  <c r="A25" i="25"/>
  <c r="A26" i="25"/>
  <c r="A27" i="25"/>
  <c r="A28" i="25"/>
  <c r="A29" i="25"/>
  <c r="A30" i="25"/>
  <c r="A31" i="25"/>
  <c r="A32" i="25"/>
  <c r="A33" i="25"/>
  <c r="A34" i="25"/>
  <c r="A35" i="25"/>
  <c r="A36" i="25"/>
  <c r="A37" i="25"/>
  <c r="A38" i="25"/>
  <c r="A39" i="25"/>
  <c r="A40" i="25"/>
  <c r="A41" i="25"/>
  <c r="A42" i="25"/>
  <c r="A43" i="25"/>
  <c r="A44" i="25"/>
  <c r="A45" i="25"/>
  <c r="A46" i="25"/>
  <c r="A47" i="25"/>
  <c r="A48" i="25"/>
  <c r="A49" i="25"/>
  <c r="A50" i="25"/>
  <c r="A51" i="25"/>
  <c r="A52" i="25"/>
  <c r="A53" i="25"/>
  <c r="A54" i="25"/>
  <c r="A55" i="25"/>
  <c r="A56" i="25"/>
  <c r="A57" i="25"/>
  <c r="A58" i="25"/>
  <c r="A59" i="25"/>
  <c r="A60" i="25"/>
  <c r="A61" i="25"/>
  <c r="A62" i="25"/>
  <c r="A63" i="25"/>
  <c r="A64" i="25"/>
  <c r="A65" i="25"/>
  <c r="A66" i="25"/>
  <c r="A67" i="25"/>
  <c r="A68" i="25"/>
  <c r="A69" i="25"/>
  <c r="A70" i="25"/>
  <c r="A71" i="25"/>
  <c r="A72" i="25"/>
  <c r="A73" i="25"/>
  <c r="A74" i="25"/>
  <c r="A75" i="25"/>
  <c r="A76" i="25"/>
  <c r="A77" i="25"/>
  <c r="A78" i="25"/>
  <c r="A79" i="25"/>
  <c r="A80" i="25"/>
  <c r="A81" i="25"/>
  <c r="A82" i="25"/>
  <c r="A83" i="25"/>
  <c r="A84" i="25"/>
  <c r="A85" i="25"/>
  <c r="A86" i="25"/>
  <c r="A87" i="25"/>
  <c r="A88" i="25"/>
  <c r="A89" i="25"/>
  <c r="A90" i="25"/>
  <c r="A91" i="25"/>
  <c r="A92" i="25"/>
  <c r="A93" i="25"/>
  <c r="A94" i="25"/>
  <c r="A95" i="25"/>
  <c r="A96" i="25"/>
  <c r="A97" i="25"/>
  <c r="A98" i="25"/>
  <c r="A99" i="25"/>
  <c r="A100" i="25"/>
  <c r="A101" i="25"/>
  <c r="A102" i="25"/>
  <c r="A103" i="25"/>
  <c r="A104" i="25"/>
  <c r="A105" i="25"/>
  <c r="A106" i="25"/>
  <c r="A107" i="25"/>
  <c r="A108" i="25"/>
  <c r="A109" i="25"/>
  <c r="A110" i="25"/>
  <c r="A111" i="25"/>
  <c r="A112" i="25"/>
  <c r="A113" i="25"/>
  <c r="A114" i="25"/>
  <c r="A115" i="25"/>
  <c r="A116" i="25"/>
  <c r="A117" i="25"/>
  <c r="A118" i="25"/>
  <c r="A119" i="25"/>
  <c r="A120" i="25"/>
  <c r="A121" i="25"/>
  <c r="A122" i="25"/>
  <c r="A123" i="25"/>
  <c r="A124" i="25"/>
  <c r="A125" i="25"/>
  <c r="A126" i="25"/>
  <c r="A127" i="25"/>
  <c r="A128" i="25"/>
  <c r="A129" i="25"/>
  <c r="A130" i="25"/>
  <c r="A131" i="25"/>
  <c r="A132" i="25"/>
  <c r="A133" i="25"/>
  <c r="A134" i="25"/>
  <c r="A135" i="25"/>
  <c r="A136" i="25"/>
  <c r="A137" i="25"/>
  <c r="A138" i="25"/>
  <c r="A139" i="25"/>
  <c r="A140" i="25"/>
  <c r="A141" i="25"/>
  <c r="A142" i="25"/>
  <c r="A143" i="25"/>
  <c r="A144" i="25"/>
  <c r="A145" i="25"/>
  <c r="A146" i="25"/>
  <c r="A147" i="25"/>
  <c r="A148" i="25"/>
  <c r="A149" i="25"/>
  <c r="A150" i="25"/>
  <c r="A151" i="25"/>
  <c r="A152" i="25"/>
  <c r="A153" i="25"/>
  <c r="A154" i="25"/>
  <c r="A155" i="25"/>
  <c r="A156" i="25"/>
  <c r="A157" i="25"/>
  <c r="A158" i="25"/>
  <c r="A159" i="25"/>
  <c r="A160" i="25"/>
  <c r="A161" i="25"/>
  <c r="A162" i="25"/>
  <c r="A163" i="25"/>
  <c r="A164" i="25"/>
  <c r="A165" i="25"/>
  <c r="A166" i="25"/>
  <c r="A167" i="25"/>
  <c r="A168" i="25"/>
  <c r="A169" i="25"/>
  <c r="A170" i="25"/>
  <c r="A171" i="25"/>
  <c r="A172" i="25"/>
  <c r="A173" i="25"/>
  <c r="A174" i="25"/>
  <c r="A175" i="25"/>
  <c r="A176" i="25"/>
  <c r="A177" i="25"/>
  <c r="A178" i="25"/>
  <c r="A179" i="25"/>
  <c r="A180" i="25"/>
  <c r="A181" i="25"/>
  <c r="A182" i="25"/>
  <c r="A183" i="25"/>
  <c r="A184" i="25"/>
  <c r="A185" i="25"/>
  <c r="A186" i="25"/>
  <c r="A187" i="25"/>
  <c r="A188" i="25"/>
  <c r="A189" i="25"/>
  <c r="A190" i="25"/>
  <c r="A191" i="25"/>
  <c r="A192" i="25"/>
  <c r="A193" i="25"/>
  <c r="A194" i="25"/>
  <c r="A195" i="25"/>
  <c r="A196" i="25"/>
  <c r="A197" i="25"/>
  <c r="A198" i="25"/>
  <c r="A199" i="25"/>
  <c r="A200" i="25"/>
  <c r="A201" i="25"/>
  <c r="A202" i="25"/>
  <c r="A203" i="25"/>
  <c r="A204" i="25"/>
  <c r="A205" i="25"/>
  <c r="A206" i="25"/>
  <c r="A207" i="25"/>
  <c r="A208" i="25"/>
  <c r="A209" i="25"/>
  <c r="A210" i="25"/>
  <c r="A211" i="25"/>
  <c r="A212" i="25"/>
  <c r="A213" i="25"/>
  <c r="A214" i="25"/>
  <c r="A215" i="25"/>
  <c r="A216" i="25"/>
  <c r="A217" i="25"/>
  <c r="A218" i="25"/>
  <c r="A219" i="25"/>
  <c r="A220" i="25"/>
  <c r="A221" i="25"/>
  <c r="A222" i="25"/>
  <c r="A223" i="25"/>
  <c r="A224" i="25"/>
  <c r="A225" i="25"/>
  <c r="A226" i="25"/>
  <c r="A227" i="25"/>
  <c r="A228" i="25"/>
  <c r="A229" i="25"/>
  <c r="A230" i="25"/>
  <c r="A231" i="25"/>
  <c r="A232" i="25"/>
  <c r="A233" i="25"/>
  <c r="A234" i="25"/>
  <c r="A235" i="25"/>
  <c r="A236" i="25"/>
  <c r="A237" i="25"/>
  <c r="A238" i="25"/>
  <c r="A239" i="25"/>
  <c r="A240" i="25"/>
  <c r="A241" i="25"/>
  <c r="A242" i="25"/>
  <c r="A243" i="25"/>
  <c r="A244" i="25"/>
  <c r="A245" i="25"/>
  <c r="A246" i="25"/>
  <c r="A247" i="25"/>
  <c r="A248" i="25"/>
  <c r="A249" i="25"/>
  <c r="A250" i="25"/>
  <c r="A251" i="25"/>
  <c r="A252" i="25"/>
  <c r="A253" i="25"/>
  <c r="A254" i="25"/>
  <c r="A255" i="25"/>
  <c r="A256" i="25"/>
  <c r="A257" i="25"/>
  <c r="A258" i="25"/>
  <c r="A259" i="25"/>
  <c r="A260" i="25"/>
  <c r="A261" i="25"/>
  <c r="A262" i="25"/>
  <c r="A263" i="25"/>
  <c r="A264" i="25"/>
  <c r="A265" i="25"/>
  <c r="A266" i="25"/>
  <c r="A267" i="25"/>
  <c r="A268" i="25"/>
  <c r="A269" i="25"/>
  <c r="A270" i="25"/>
  <c r="A271" i="25"/>
  <c r="A272" i="25"/>
  <c r="A273" i="25"/>
  <c r="A274" i="25"/>
  <c r="A275" i="25"/>
  <c r="A276" i="25"/>
  <c r="A277" i="25"/>
  <c r="A278" i="25"/>
  <c r="A279" i="25"/>
  <c r="A280" i="25"/>
  <c r="A281" i="25"/>
  <c r="A282" i="25"/>
  <c r="A283" i="25"/>
  <c r="A284" i="25"/>
  <c r="A285" i="25"/>
  <c r="A286" i="25"/>
  <c r="A287" i="25"/>
  <c r="A288" i="25"/>
  <c r="A289" i="25"/>
  <c r="A290" i="25"/>
  <c r="A291" i="25"/>
  <c r="A292" i="25"/>
  <c r="A293" i="25"/>
  <c r="A294" i="25"/>
  <c r="A295" i="25"/>
  <c r="A296" i="25"/>
  <c r="A297" i="25"/>
  <c r="A298" i="25"/>
  <c r="A299" i="25"/>
  <c r="A300" i="25"/>
  <c r="A301" i="25"/>
  <c r="A302" i="25"/>
  <c r="A303" i="25"/>
  <c r="A304" i="25"/>
  <c r="A305" i="25"/>
  <c r="A306" i="25"/>
  <c r="A307" i="25"/>
  <c r="A308" i="25"/>
  <c r="A309" i="25"/>
  <c r="A310" i="25"/>
  <c r="A311" i="25"/>
  <c r="A312" i="25"/>
  <c r="A313" i="25"/>
  <c r="A314" i="25"/>
  <c r="A315" i="25"/>
  <c r="A316" i="25"/>
  <c r="A317" i="25"/>
  <c r="A318" i="25"/>
  <c r="A319" i="25"/>
  <c r="A320" i="25"/>
  <c r="A321" i="25"/>
  <c r="A322" i="25"/>
  <c r="A323" i="25"/>
  <c r="A324" i="25"/>
  <c r="A325" i="25"/>
  <c r="A326" i="25"/>
  <c r="A327" i="25"/>
  <c r="A328" i="25"/>
  <c r="A329" i="25"/>
  <c r="A330" i="25"/>
  <c r="A331" i="25"/>
  <c r="A332" i="25"/>
  <c r="A333" i="25"/>
  <c r="A334" i="25"/>
  <c r="A335" i="25"/>
  <c r="A336" i="25"/>
  <c r="A337" i="25"/>
  <c r="A338" i="25"/>
  <c r="A339" i="25"/>
  <c r="A340" i="25"/>
  <c r="A341" i="25"/>
  <c r="A342" i="25"/>
  <c r="A343" i="25"/>
  <c r="A344" i="25"/>
  <c r="A345" i="25"/>
  <c r="A346" i="25"/>
  <c r="A347" i="25"/>
  <c r="A348" i="25"/>
  <c r="A349" i="25"/>
  <c r="A350" i="25"/>
  <c r="A351" i="25"/>
  <c r="A352" i="25"/>
  <c r="A353" i="25"/>
  <c r="A354" i="25"/>
  <c r="A355" i="25"/>
  <c r="A356" i="25"/>
  <c r="A357" i="25"/>
  <c r="A358" i="25"/>
  <c r="A359" i="25"/>
  <c r="A360" i="25"/>
  <c r="A361" i="25"/>
  <c r="A362" i="25"/>
  <c r="A363" i="25"/>
  <c r="A364" i="25"/>
  <c r="A365" i="25"/>
  <c r="A366" i="25"/>
  <c r="A367" i="25"/>
  <c r="A368" i="25"/>
  <c r="A369" i="25"/>
  <c r="A2" i="25"/>
  <c r="R111" i="23"/>
  <c r="R110" i="23"/>
  <c r="R109" i="23"/>
  <c r="R108" i="23"/>
  <c r="R5" i="23"/>
  <c r="R6" i="23"/>
  <c r="R7" i="23"/>
  <c r="R8" i="23"/>
  <c r="R9" i="23"/>
  <c r="R10" i="23"/>
  <c r="R11" i="23"/>
  <c r="R12" i="23"/>
  <c r="R13" i="23"/>
  <c r="R14" i="23"/>
  <c r="R15" i="23"/>
  <c r="R16" i="23"/>
  <c r="R17" i="23"/>
  <c r="R18" i="23"/>
  <c r="R19" i="23"/>
  <c r="R20" i="23"/>
  <c r="R21" i="23"/>
  <c r="R22" i="23"/>
  <c r="R23" i="23"/>
  <c r="R24" i="23"/>
  <c r="R25" i="23"/>
  <c r="R26" i="23"/>
  <c r="R27" i="23"/>
  <c r="R28" i="23"/>
  <c r="R29" i="23"/>
  <c r="R30" i="23"/>
  <c r="R31" i="23"/>
  <c r="R32" i="23"/>
  <c r="R33" i="23"/>
  <c r="R34" i="23"/>
  <c r="R35" i="23"/>
  <c r="R36" i="23"/>
  <c r="R37" i="23"/>
  <c r="R38" i="23"/>
  <c r="R39" i="23"/>
  <c r="R40" i="23"/>
  <c r="R41" i="23"/>
  <c r="R42" i="23"/>
  <c r="R43" i="23"/>
  <c r="R44" i="23"/>
  <c r="R45" i="23"/>
  <c r="R46" i="23"/>
  <c r="R47" i="23"/>
  <c r="R48" i="23"/>
  <c r="R49" i="23"/>
  <c r="R50" i="23"/>
  <c r="R51" i="23"/>
  <c r="R52" i="23"/>
  <c r="R53" i="23"/>
  <c r="R54" i="23"/>
  <c r="R55" i="23"/>
  <c r="R56" i="23"/>
  <c r="R57" i="23"/>
  <c r="R58" i="23"/>
  <c r="R59" i="23"/>
  <c r="R60" i="23"/>
  <c r="R61" i="23"/>
  <c r="R62" i="23"/>
  <c r="R63" i="23"/>
  <c r="R64" i="23"/>
  <c r="R65" i="23"/>
  <c r="R66" i="23"/>
  <c r="R67" i="23"/>
  <c r="R68" i="23"/>
  <c r="R69" i="23"/>
  <c r="R70" i="23"/>
  <c r="R71" i="23"/>
  <c r="R72" i="23"/>
  <c r="R73" i="23"/>
  <c r="R74" i="23"/>
  <c r="R75" i="23"/>
  <c r="R76" i="23"/>
  <c r="R77" i="23"/>
  <c r="R78" i="23"/>
  <c r="R79" i="23"/>
  <c r="R80" i="23"/>
  <c r="R81" i="23"/>
  <c r="R82" i="23"/>
  <c r="R83" i="23"/>
  <c r="R84" i="23"/>
  <c r="R85" i="23"/>
  <c r="R86" i="23"/>
  <c r="R87" i="23"/>
  <c r="R88" i="23"/>
  <c r="R89" i="23"/>
  <c r="R90" i="23"/>
  <c r="R91" i="23"/>
  <c r="R92" i="23"/>
  <c r="R93" i="23"/>
  <c r="R94" i="23"/>
  <c r="R95" i="23"/>
  <c r="R96" i="23"/>
  <c r="R97" i="23"/>
  <c r="R98" i="23"/>
  <c r="R99" i="23"/>
  <c r="R100" i="23"/>
  <c r="R101" i="23"/>
  <c r="R102" i="23"/>
  <c r="R103" i="23"/>
  <c r="R104" i="23"/>
  <c r="R105" i="23"/>
  <c r="R106" i="23"/>
  <c r="R107" i="23"/>
  <c r="R4" i="23"/>
  <c r="R3" i="23"/>
  <c r="R2" i="23"/>
  <c r="J3" i="23"/>
  <c r="J4" i="23"/>
  <c r="J5" i="23"/>
  <c r="J2" i="23"/>
  <c r="AE149" i="23"/>
  <c r="AA3" i="23"/>
  <c r="AA4" i="23" s="1"/>
  <c r="AA5" i="23" s="1"/>
  <c r="AA6" i="23" s="1"/>
  <c r="AA7" i="23" s="1"/>
  <c r="AA8" i="23" s="1"/>
  <c r="AA9" i="23" s="1"/>
  <c r="AA10" i="23" s="1"/>
  <c r="AA12" i="23"/>
  <c r="AA13" i="23" s="1"/>
  <c r="AA14" i="23" s="1"/>
  <c r="AA15" i="23" s="1"/>
  <c r="AA16" i="23" s="1"/>
  <c r="AA17" i="23" s="1"/>
  <c r="AA18" i="23" s="1"/>
  <c r="AA20" i="23"/>
  <c r="AA21" i="23" s="1"/>
  <c r="AA22" i="23" s="1"/>
  <c r="AA23" i="23" s="1"/>
  <c r="AA24" i="23" s="1"/>
  <c r="AA25" i="23" s="1"/>
  <c r="AA26" i="23" s="1"/>
  <c r="AA27" i="23" s="1"/>
  <c r="AA28" i="23" s="1"/>
  <c r="AA29" i="23" s="1"/>
  <c r="AA31" i="23"/>
  <c r="AA32" i="23" s="1"/>
  <c r="AA33" i="23" s="1"/>
  <c r="AA34" i="23" s="1"/>
  <c r="AA35" i="23" s="1"/>
  <c r="AA36" i="23" s="1"/>
  <c r="AA37" i="23" s="1"/>
  <c r="AA38" i="23" s="1"/>
  <c r="AA39" i="23" s="1"/>
  <c r="AA40" i="23" s="1"/>
  <c r="AA42" i="23"/>
  <c r="AA43" i="23" s="1"/>
  <c r="AA44" i="23" s="1"/>
  <c r="AA45" i="23" s="1"/>
  <c r="AA46" i="23" s="1"/>
  <c r="AA47" i="23" s="1"/>
  <c r="AA48" i="23" s="1"/>
  <c r="AA49" i="23" s="1"/>
  <c r="AA50" i="23" s="1"/>
  <c r="AA52" i="23"/>
  <c r="AA53" i="23" s="1"/>
  <c r="AA54" i="23" s="1"/>
  <c r="AA55" i="23" s="1"/>
  <c r="AA56" i="23" s="1"/>
  <c r="AA57" i="23" s="1"/>
  <c r="AA58" i="23" s="1"/>
  <c r="AA59" i="23" s="1"/>
  <c r="AA61" i="23"/>
  <c r="AA62" i="23" s="1"/>
  <c r="AA63" i="23" s="1"/>
  <c r="AA64" i="23" s="1"/>
  <c r="AA65" i="23" s="1"/>
  <c r="AA66" i="23" s="1"/>
  <c r="AA67" i="23" s="1"/>
  <c r="AA69" i="23"/>
  <c r="AA70" i="23" s="1"/>
  <c r="AA71" i="23" s="1"/>
  <c r="AA72" i="23" s="1"/>
  <c r="AA73" i="23" s="1"/>
  <c r="AA74" i="23" s="1"/>
  <c r="AA75" i="23" s="1"/>
  <c r="AA76" i="23" s="1"/>
  <c r="AA77" i="23" s="1"/>
  <c r="AA78" i="23" s="1"/>
  <c r="AA80" i="23"/>
  <c r="AA81" i="23" s="1"/>
  <c r="AA82" i="23" s="1"/>
  <c r="AA83" i="23" s="1"/>
  <c r="AA84" i="23" s="1"/>
  <c r="AA85" i="23" s="1"/>
  <c r="AA86" i="23" s="1"/>
  <c r="AA87" i="23" s="1"/>
  <c r="AA88" i="23" s="1"/>
  <c r="AA89" i="23" s="1"/>
  <c r="AA91" i="23"/>
  <c r="AA92" i="23" s="1"/>
  <c r="AA93" i="23" s="1"/>
  <c r="AA94" i="23" s="1"/>
  <c r="AA95" i="23" s="1"/>
  <c r="AA96" i="23" s="1"/>
  <c r="AA97" i="23" s="1"/>
  <c r="AA98" i="23" s="1"/>
  <c r="AA99" i="23" s="1"/>
  <c r="AA101" i="23"/>
  <c r="AA102" i="23" s="1"/>
  <c r="AA103" i="23" s="1"/>
  <c r="AA104" i="23" s="1"/>
  <c r="AA105" i="23" s="1"/>
  <c r="AA106" i="23" s="1"/>
  <c r="AA107" i="23" s="1"/>
  <c r="AA108" i="23" s="1"/>
  <c r="AA110" i="23"/>
  <c r="AA111" i="23" s="1"/>
  <c r="AA112" i="23" s="1"/>
  <c r="AA113" i="23" s="1"/>
  <c r="AA114" i="23" s="1"/>
  <c r="AA115" i="23" s="1"/>
  <c r="AA116" i="23" s="1"/>
  <c r="AA118" i="23"/>
  <c r="AA119" i="23" s="1"/>
  <c r="AA120" i="23" s="1"/>
  <c r="AA121" i="23" s="1"/>
  <c r="AA122" i="23" s="1"/>
  <c r="AA123" i="23" s="1"/>
  <c r="AA124" i="23" s="1"/>
  <c r="AA125" i="23" s="1"/>
  <c r="AA126" i="23" s="1"/>
  <c r="AA127" i="23" s="1"/>
  <c r="AA129" i="23"/>
  <c r="AA130" i="23" s="1"/>
  <c r="AA131" i="23" s="1"/>
  <c r="AA132" i="23" s="1"/>
  <c r="AA133" i="23" s="1"/>
  <c r="AA134" i="23" s="1"/>
  <c r="AA135" i="23" s="1"/>
  <c r="AA136" i="23" s="1"/>
  <c r="AA137" i="23" s="1"/>
  <c r="AA138" i="23" s="1"/>
  <c r="AA140" i="23"/>
  <c r="AA141" i="23" s="1"/>
  <c r="AA142" i="23" s="1"/>
  <c r="AA143" i="23" s="1"/>
  <c r="AA144" i="23" s="1"/>
  <c r="AA145" i="23" s="1"/>
  <c r="AA146" i="23" s="1"/>
  <c r="AA147" i="23" s="1"/>
  <c r="AA148" i="23" s="1"/>
  <c r="N354" i="22"/>
  <c r="N370" i="22"/>
  <c r="N386" i="22"/>
  <c r="N402" i="22"/>
  <c r="N418" i="22"/>
  <c r="N434" i="22"/>
  <c r="N450" i="22"/>
  <c r="N466" i="22"/>
  <c r="N482" i="22"/>
  <c r="N498" i="22"/>
  <c r="N514" i="22"/>
  <c r="N530" i="22"/>
  <c r="N546" i="22"/>
  <c r="N562" i="22"/>
  <c r="N578" i="22"/>
  <c r="N594" i="22"/>
  <c r="N610" i="22"/>
  <c r="N626" i="22"/>
  <c r="M2" i="22"/>
  <c r="M3" i="22"/>
  <c r="M4" i="22"/>
  <c r="M5" i="22"/>
  <c r="M6" i="22"/>
  <c r="M7" i="22"/>
  <c r="M8" i="22"/>
  <c r="M9" i="22"/>
  <c r="M10" i="22"/>
  <c r="M11" i="22"/>
  <c r="M12" i="22"/>
  <c r="M13" i="22"/>
  <c r="M14" i="22"/>
  <c r="M15" i="22"/>
  <c r="M16" i="22"/>
  <c r="M17" i="22"/>
  <c r="M18" i="22"/>
  <c r="M19" i="22"/>
  <c r="M20" i="22"/>
  <c r="M21" i="22"/>
  <c r="M22" i="22"/>
  <c r="M23" i="22"/>
  <c r="M24" i="22"/>
  <c r="M25" i="22"/>
  <c r="M26" i="22"/>
  <c r="M27" i="22"/>
  <c r="M28" i="22"/>
  <c r="M29" i="22"/>
  <c r="M30" i="22"/>
  <c r="M31" i="22"/>
  <c r="M32" i="22"/>
  <c r="M33" i="22"/>
  <c r="M34" i="22"/>
  <c r="M35" i="22"/>
  <c r="M36" i="22"/>
  <c r="M37" i="22"/>
  <c r="M38" i="22"/>
  <c r="M39" i="22"/>
  <c r="M40" i="22"/>
  <c r="M41" i="22"/>
  <c r="M42" i="22"/>
  <c r="M43" i="22"/>
  <c r="M44" i="22"/>
  <c r="M45" i="22"/>
  <c r="M46" i="22"/>
  <c r="M47" i="22"/>
  <c r="M48" i="22"/>
  <c r="M49" i="22"/>
  <c r="M50" i="22"/>
  <c r="M51" i="22"/>
  <c r="M52" i="22"/>
  <c r="M53" i="22"/>
  <c r="M54" i="22"/>
  <c r="M55" i="22"/>
  <c r="M56" i="22"/>
  <c r="M57" i="22"/>
  <c r="M58" i="22"/>
  <c r="M59" i="22"/>
  <c r="M60" i="22"/>
  <c r="M61" i="22"/>
  <c r="M62" i="22"/>
  <c r="M63" i="22"/>
  <c r="M64" i="22"/>
  <c r="M65" i="22"/>
  <c r="M66" i="22"/>
  <c r="M67" i="22"/>
  <c r="M68" i="22"/>
  <c r="M69" i="22"/>
  <c r="M70" i="22"/>
  <c r="M71" i="22"/>
  <c r="M72" i="22"/>
  <c r="M73" i="22"/>
  <c r="M74" i="22"/>
  <c r="M75" i="22"/>
  <c r="M76" i="22"/>
  <c r="M77" i="22"/>
  <c r="M78" i="22"/>
  <c r="M79" i="22"/>
  <c r="M80" i="22"/>
  <c r="M81" i="22"/>
  <c r="M82" i="22"/>
  <c r="M83" i="22"/>
  <c r="M84" i="22"/>
  <c r="M85" i="22"/>
  <c r="M86" i="22"/>
  <c r="M87" i="22"/>
  <c r="M88" i="22"/>
  <c r="M89" i="22"/>
  <c r="M90" i="22"/>
  <c r="M91" i="22"/>
  <c r="M92" i="22"/>
  <c r="M93" i="22"/>
  <c r="M94" i="22"/>
  <c r="M95" i="22"/>
  <c r="M96" i="22"/>
  <c r="M97" i="22"/>
  <c r="M98" i="22"/>
  <c r="M99" i="22"/>
  <c r="M100" i="22"/>
  <c r="M101" i="22"/>
  <c r="M102" i="22"/>
  <c r="M103" i="22"/>
  <c r="M104" i="22"/>
  <c r="M105" i="22"/>
  <c r="M106" i="22"/>
  <c r="M107" i="22"/>
  <c r="M108" i="22"/>
  <c r="M109" i="22"/>
  <c r="M110" i="22"/>
  <c r="M111" i="22"/>
  <c r="M112" i="22"/>
  <c r="M113" i="22"/>
  <c r="M114" i="22"/>
  <c r="M115" i="22"/>
  <c r="M116" i="22"/>
  <c r="M117" i="22"/>
  <c r="M118" i="22"/>
  <c r="M119" i="22"/>
  <c r="M120" i="22"/>
  <c r="M121" i="22"/>
  <c r="M122" i="22"/>
  <c r="M123" i="22"/>
  <c r="M124" i="22"/>
  <c r="M125" i="22"/>
  <c r="M126" i="22"/>
  <c r="M127" i="22"/>
  <c r="M128" i="22"/>
  <c r="M129" i="22"/>
  <c r="M130" i="22"/>
  <c r="M131" i="22"/>
  <c r="M132" i="22"/>
  <c r="M133" i="22"/>
  <c r="M134" i="22"/>
  <c r="M135" i="22"/>
  <c r="M136" i="22"/>
  <c r="M137" i="22"/>
  <c r="M138" i="22"/>
  <c r="M139" i="22"/>
  <c r="M140" i="22"/>
  <c r="M141" i="22"/>
  <c r="M142" i="22"/>
  <c r="M143" i="22"/>
  <c r="M144" i="22"/>
  <c r="M145" i="22"/>
  <c r="M146" i="22"/>
  <c r="M147" i="22"/>
  <c r="M148" i="22"/>
  <c r="M149" i="22"/>
  <c r="M150" i="22"/>
  <c r="M151" i="22"/>
  <c r="M152" i="22"/>
  <c r="M153" i="22"/>
  <c r="M154" i="22"/>
  <c r="M155" i="22"/>
  <c r="M156" i="22"/>
  <c r="M157" i="22"/>
  <c r="M158" i="22"/>
  <c r="M159" i="22"/>
  <c r="M160" i="22"/>
  <c r="M161" i="22"/>
  <c r="M162" i="22"/>
  <c r="M163" i="22"/>
  <c r="M164" i="22"/>
  <c r="M165" i="22"/>
  <c r="M166" i="22"/>
  <c r="M167" i="22"/>
  <c r="M168" i="22"/>
  <c r="M169" i="22"/>
  <c r="M170" i="22"/>
  <c r="M171" i="22"/>
  <c r="M172" i="22"/>
  <c r="M173" i="22"/>
  <c r="M174" i="22"/>
  <c r="M175" i="22"/>
  <c r="M176" i="22"/>
  <c r="M177" i="22"/>
  <c r="M178" i="22"/>
  <c r="M179" i="22"/>
  <c r="M180" i="22"/>
  <c r="M181" i="22"/>
  <c r="M182" i="22"/>
  <c r="M183" i="22"/>
  <c r="M184" i="22"/>
  <c r="M185" i="22"/>
  <c r="M186" i="22"/>
  <c r="M187" i="22"/>
  <c r="M188" i="22"/>
  <c r="M189" i="22"/>
  <c r="M190" i="22"/>
  <c r="M191" i="22"/>
  <c r="M192" i="22"/>
  <c r="M193" i="22"/>
  <c r="M194" i="22"/>
  <c r="M195" i="22"/>
  <c r="M196" i="22"/>
  <c r="M197" i="22"/>
  <c r="M198" i="22"/>
  <c r="M199" i="22"/>
  <c r="M200" i="22"/>
  <c r="M201" i="22"/>
  <c r="M202" i="22"/>
  <c r="M203" i="22"/>
  <c r="M204" i="22"/>
  <c r="M205" i="22"/>
  <c r="M206" i="22"/>
  <c r="M207" i="22"/>
  <c r="M208" i="22"/>
  <c r="M209" i="22"/>
  <c r="M210" i="22"/>
  <c r="M211" i="22"/>
  <c r="M212" i="22"/>
  <c r="M213" i="22"/>
  <c r="M214" i="22"/>
  <c r="M215" i="22"/>
  <c r="M216" i="22"/>
  <c r="M217" i="22"/>
  <c r="M218" i="22"/>
  <c r="M219" i="22"/>
  <c r="M220" i="22"/>
  <c r="M221" i="22"/>
  <c r="M222" i="22"/>
  <c r="M223" i="22"/>
  <c r="M224" i="22"/>
  <c r="M225" i="22"/>
  <c r="M226" i="22"/>
  <c r="M227" i="22"/>
  <c r="M228" i="22"/>
  <c r="M229" i="22"/>
  <c r="M230" i="22"/>
  <c r="M231" i="22"/>
  <c r="M232" i="22"/>
  <c r="M233" i="22"/>
  <c r="M234" i="22"/>
  <c r="M235" i="22"/>
  <c r="M236" i="22"/>
  <c r="M237" i="22"/>
  <c r="M238" i="22"/>
  <c r="M239" i="22"/>
  <c r="M240" i="22"/>
  <c r="M241" i="22"/>
  <c r="M242" i="22"/>
  <c r="M243" i="22"/>
  <c r="M244" i="22"/>
  <c r="M245" i="22"/>
  <c r="M246" i="22"/>
  <c r="M247" i="22"/>
  <c r="M248" i="22"/>
  <c r="M249" i="22"/>
  <c r="M250" i="22"/>
  <c r="M251" i="22"/>
  <c r="M252" i="22"/>
  <c r="M253" i="22"/>
  <c r="M254" i="22"/>
  <c r="M255" i="22"/>
  <c r="M256" i="22"/>
  <c r="M257" i="22"/>
  <c r="M258" i="22"/>
  <c r="M259" i="22"/>
  <c r="M260" i="22"/>
  <c r="M261" i="22"/>
  <c r="M262" i="22"/>
  <c r="M263" i="22"/>
  <c r="M264" i="22"/>
  <c r="M265" i="22"/>
  <c r="M266" i="22"/>
  <c r="M267" i="22"/>
  <c r="M268" i="22"/>
  <c r="M269" i="22"/>
  <c r="M270" i="22"/>
  <c r="M271" i="22"/>
  <c r="M272" i="22"/>
  <c r="M273" i="22"/>
  <c r="M274" i="22"/>
  <c r="M275" i="22"/>
  <c r="M276" i="22"/>
  <c r="M277" i="22"/>
  <c r="M278" i="22"/>
  <c r="M279" i="22"/>
  <c r="M280" i="22"/>
  <c r="M281" i="22"/>
  <c r="M282" i="22"/>
  <c r="M283" i="22"/>
  <c r="M284" i="22"/>
  <c r="M285" i="22"/>
  <c r="M286" i="22"/>
  <c r="M287" i="22"/>
  <c r="M288" i="22"/>
  <c r="M289" i="22"/>
  <c r="M290" i="22"/>
  <c r="M291" i="22"/>
  <c r="M292" i="22"/>
  <c r="M293" i="22"/>
  <c r="M294" i="22"/>
  <c r="M295" i="22"/>
  <c r="M296" i="22"/>
  <c r="M297" i="22"/>
  <c r="M298" i="22"/>
  <c r="M299" i="22"/>
  <c r="M300" i="22"/>
  <c r="M301" i="22"/>
  <c r="M302" i="22"/>
  <c r="M303" i="22"/>
  <c r="M304" i="22"/>
  <c r="M305" i="22"/>
  <c r="M306" i="22"/>
  <c r="M307" i="22"/>
  <c r="M308" i="22"/>
  <c r="M309" i="22"/>
  <c r="M310" i="22"/>
  <c r="M311" i="22"/>
  <c r="M312" i="22"/>
  <c r="M313" i="22"/>
  <c r="M314" i="22"/>
  <c r="M315" i="22"/>
  <c r="M316" i="22"/>
  <c r="M317" i="22"/>
  <c r="M318" i="22"/>
  <c r="M319" i="22"/>
  <c r="M320" i="22"/>
  <c r="M321" i="22"/>
  <c r="M322" i="22"/>
  <c r="M323" i="22"/>
  <c r="M324" i="22"/>
  <c r="M325" i="22"/>
  <c r="M326" i="22"/>
  <c r="M327" i="22"/>
  <c r="M328" i="22"/>
  <c r="M329" i="22"/>
  <c r="M330" i="22"/>
  <c r="M331" i="22"/>
  <c r="M332" i="22"/>
  <c r="M333" i="22"/>
  <c r="M334" i="22"/>
  <c r="M335" i="22"/>
  <c r="M336" i="22"/>
  <c r="M337" i="22"/>
  <c r="M338" i="22"/>
  <c r="M339" i="22"/>
  <c r="M340" i="22"/>
  <c r="M341" i="22"/>
  <c r="M342" i="22"/>
  <c r="M343" i="22"/>
  <c r="M344" i="22"/>
  <c r="M345" i="22"/>
  <c r="M346" i="22"/>
  <c r="M347" i="22"/>
  <c r="M348" i="22"/>
  <c r="M349" i="22"/>
  <c r="M350" i="22"/>
  <c r="M351" i="22"/>
  <c r="M352" i="22"/>
  <c r="M353" i="22"/>
  <c r="M354" i="22"/>
  <c r="M355" i="22"/>
  <c r="M356" i="22"/>
  <c r="M357" i="22"/>
  <c r="M358" i="22"/>
  <c r="M359" i="22"/>
  <c r="M360" i="22"/>
  <c r="M361" i="22"/>
  <c r="M362" i="22"/>
  <c r="M363" i="22"/>
  <c r="M364" i="22"/>
  <c r="M365" i="22"/>
  <c r="M366" i="22"/>
  <c r="M367" i="22"/>
  <c r="M368" i="22"/>
  <c r="M369" i="22"/>
  <c r="M370" i="22"/>
  <c r="M371" i="22"/>
  <c r="M372" i="22"/>
  <c r="M373" i="22"/>
  <c r="M374" i="22"/>
  <c r="M375" i="22"/>
  <c r="M376" i="22"/>
  <c r="M377" i="22"/>
  <c r="M378" i="22"/>
  <c r="M379" i="22"/>
  <c r="M380" i="22"/>
  <c r="M381" i="22"/>
  <c r="M382" i="22"/>
  <c r="M383" i="22"/>
  <c r="M384" i="22"/>
  <c r="M385" i="22"/>
  <c r="M386" i="22"/>
  <c r="M387" i="22"/>
  <c r="M388" i="22"/>
  <c r="M389" i="22"/>
  <c r="M390" i="22"/>
  <c r="M391" i="22"/>
  <c r="M392" i="22"/>
  <c r="M393" i="22"/>
  <c r="M394" i="22"/>
  <c r="M395" i="22"/>
  <c r="M396" i="22"/>
  <c r="M397" i="22"/>
  <c r="M398" i="22"/>
  <c r="M399" i="22"/>
  <c r="M400" i="22"/>
  <c r="M401" i="22"/>
  <c r="M402" i="22"/>
  <c r="M403" i="22"/>
  <c r="M404" i="22"/>
  <c r="M405" i="22"/>
  <c r="M406" i="22"/>
  <c r="M407" i="22"/>
  <c r="M408" i="22"/>
  <c r="M409" i="22"/>
  <c r="M410" i="22"/>
  <c r="M411" i="22"/>
  <c r="M412" i="22"/>
  <c r="M413" i="22"/>
  <c r="M414" i="22"/>
  <c r="M415" i="22"/>
  <c r="M416" i="22"/>
  <c r="M417" i="22"/>
  <c r="M418" i="22"/>
  <c r="M419" i="22"/>
  <c r="M420" i="22"/>
  <c r="M421" i="22"/>
  <c r="M422" i="22"/>
  <c r="M423" i="22"/>
  <c r="M424" i="22"/>
  <c r="M425" i="22"/>
  <c r="M426" i="22"/>
  <c r="M427" i="22"/>
  <c r="M428" i="22"/>
  <c r="M429" i="22"/>
  <c r="M430" i="22"/>
  <c r="M431" i="22"/>
  <c r="M432" i="22"/>
  <c r="M433" i="22"/>
  <c r="M434" i="22"/>
  <c r="M435" i="22"/>
  <c r="M436" i="22"/>
  <c r="M437" i="22"/>
  <c r="M438" i="22"/>
  <c r="M439" i="22"/>
  <c r="M440" i="22"/>
  <c r="M441" i="22"/>
  <c r="M442" i="22"/>
  <c r="M443" i="22"/>
  <c r="M444" i="22"/>
  <c r="M445" i="22"/>
  <c r="M446" i="22"/>
  <c r="M447" i="22"/>
  <c r="M448" i="22"/>
  <c r="M449" i="22"/>
  <c r="M450" i="22"/>
  <c r="M451" i="22"/>
  <c r="M452" i="22"/>
  <c r="M453" i="22"/>
  <c r="M454" i="22"/>
  <c r="M455" i="22"/>
  <c r="M456" i="22"/>
  <c r="M457" i="22"/>
  <c r="M458" i="22"/>
  <c r="M459" i="22"/>
  <c r="M460" i="22"/>
  <c r="M461" i="22"/>
  <c r="M462" i="22"/>
  <c r="M463" i="22"/>
  <c r="M464" i="22"/>
  <c r="M465" i="22"/>
  <c r="M466" i="22"/>
  <c r="M467" i="22"/>
  <c r="M468" i="22"/>
  <c r="M469" i="22"/>
  <c r="M470" i="22"/>
  <c r="M471" i="22"/>
  <c r="M472" i="22"/>
  <c r="M473" i="22"/>
  <c r="M474" i="22"/>
  <c r="M475" i="22"/>
  <c r="M476" i="22"/>
  <c r="M477" i="22"/>
  <c r="M478" i="22"/>
  <c r="M479" i="22"/>
  <c r="M480" i="22"/>
  <c r="M481" i="22"/>
  <c r="M482" i="22"/>
  <c r="M483" i="22"/>
  <c r="M484" i="22"/>
  <c r="M485" i="22"/>
  <c r="M486" i="22"/>
  <c r="M487" i="22"/>
  <c r="M488" i="22"/>
  <c r="M489" i="22"/>
  <c r="M490" i="22"/>
  <c r="M491" i="22"/>
  <c r="M492" i="22"/>
  <c r="M493" i="22"/>
  <c r="M494" i="22"/>
  <c r="M495" i="22"/>
  <c r="M496" i="22"/>
  <c r="M497" i="22"/>
  <c r="M498" i="22"/>
  <c r="M499" i="22"/>
  <c r="M500" i="22"/>
  <c r="M501" i="22"/>
  <c r="M502" i="22"/>
  <c r="M503" i="22"/>
  <c r="M504" i="22"/>
  <c r="M505" i="22"/>
  <c r="M506" i="22"/>
  <c r="M507" i="22"/>
  <c r="M508" i="22"/>
  <c r="M509" i="22"/>
  <c r="M510" i="22"/>
  <c r="M511" i="22"/>
  <c r="M512" i="22"/>
  <c r="M513" i="22"/>
  <c r="M514" i="22"/>
  <c r="M515" i="22"/>
  <c r="M516" i="22"/>
  <c r="M517" i="22"/>
  <c r="M518" i="22"/>
  <c r="M519" i="22"/>
  <c r="M520" i="22"/>
  <c r="M521" i="22"/>
  <c r="M522" i="22"/>
  <c r="M523" i="22"/>
  <c r="M524" i="22"/>
  <c r="M525" i="22"/>
  <c r="M526" i="22"/>
  <c r="M527" i="22"/>
  <c r="M528" i="22"/>
  <c r="M529" i="22"/>
  <c r="M530" i="22"/>
  <c r="M531" i="22"/>
  <c r="M532" i="22"/>
  <c r="M533" i="22"/>
  <c r="M534" i="22"/>
  <c r="M535" i="22"/>
  <c r="M536" i="22"/>
  <c r="M537" i="22"/>
  <c r="M538" i="22"/>
  <c r="M539" i="22"/>
  <c r="M540" i="22"/>
  <c r="M541" i="22"/>
  <c r="M542" i="22"/>
  <c r="M543" i="22"/>
  <c r="M544" i="22"/>
  <c r="M545" i="22"/>
  <c r="M546" i="22"/>
  <c r="M547" i="22"/>
  <c r="M548" i="22"/>
  <c r="M549" i="22"/>
  <c r="M550" i="22"/>
  <c r="M551" i="22"/>
  <c r="M552" i="22"/>
  <c r="M553" i="22"/>
  <c r="M554" i="22"/>
  <c r="M555" i="22"/>
  <c r="M556" i="22"/>
  <c r="M557" i="22"/>
  <c r="M558" i="22"/>
  <c r="M559" i="22"/>
  <c r="M560" i="22"/>
  <c r="M561" i="22"/>
  <c r="M562" i="22"/>
  <c r="M563" i="22"/>
  <c r="M564" i="22"/>
  <c r="M565" i="22"/>
  <c r="M566" i="22"/>
  <c r="M567" i="22"/>
  <c r="M568" i="22"/>
  <c r="M569" i="22"/>
  <c r="M570" i="22"/>
  <c r="M571" i="22"/>
  <c r="M572" i="22"/>
  <c r="M573" i="22"/>
  <c r="M574" i="22"/>
  <c r="M575" i="22"/>
  <c r="M576" i="22"/>
  <c r="M577" i="22"/>
  <c r="M578" i="22"/>
  <c r="M579" i="22"/>
  <c r="M580" i="22"/>
  <c r="M581" i="22"/>
  <c r="M582" i="22"/>
  <c r="M583" i="22"/>
  <c r="M584" i="22"/>
  <c r="M585" i="22"/>
  <c r="M586" i="22"/>
  <c r="M587" i="22"/>
  <c r="M588" i="22"/>
  <c r="M589" i="22"/>
  <c r="M590" i="22"/>
  <c r="M591" i="22"/>
  <c r="M592" i="22"/>
  <c r="M593" i="22"/>
  <c r="M594" i="22"/>
  <c r="M595" i="22"/>
  <c r="M596" i="22"/>
  <c r="M597" i="22"/>
  <c r="M598" i="22"/>
  <c r="M599" i="22"/>
  <c r="M600" i="22"/>
  <c r="M601" i="22"/>
  <c r="M602" i="22"/>
  <c r="M603" i="22"/>
  <c r="M604" i="22"/>
  <c r="M605" i="22"/>
  <c r="M606" i="22"/>
  <c r="M607" i="22"/>
  <c r="M608" i="22"/>
  <c r="M609" i="22"/>
  <c r="M610" i="22"/>
  <c r="M611" i="22"/>
  <c r="M612" i="22"/>
  <c r="M613" i="22"/>
  <c r="M614" i="22"/>
  <c r="M615" i="22"/>
  <c r="M616" i="22"/>
  <c r="M617" i="22"/>
  <c r="M618" i="22"/>
  <c r="M619" i="22"/>
  <c r="M620" i="22"/>
  <c r="M621" i="22"/>
  <c r="M622" i="22"/>
  <c r="M623" i="22"/>
  <c r="M624" i="22"/>
  <c r="M625" i="22"/>
  <c r="M626" i="22"/>
  <c r="M627" i="22"/>
  <c r="M628" i="22"/>
  <c r="M629" i="22"/>
  <c r="M630" i="22"/>
  <c r="M631" i="22"/>
  <c r="M632" i="22"/>
  <c r="M633" i="22"/>
  <c r="M634" i="22"/>
  <c r="M635" i="22"/>
  <c r="M636" i="22"/>
  <c r="M637" i="22"/>
  <c r="M638" i="22"/>
  <c r="M639" i="22"/>
  <c r="M640" i="22"/>
  <c r="K2" i="22"/>
  <c r="K3" i="22"/>
  <c r="K4" i="22"/>
  <c r="K5" i="22"/>
  <c r="K6" i="22"/>
  <c r="K7" i="22"/>
  <c r="K8" i="22"/>
  <c r="K9" i="22"/>
  <c r="K10" i="22"/>
  <c r="K11" i="22"/>
  <c r="K12" i="22"/>
  <c r="K13" i="22"/>
  <c r="K14" i="22"/>
  <c r="K15" i="22"/>
  <c r="K16" i="22"/>
  <c r="K17" i="22"/>
  <c r="K18" i="22"/>
  <c r="K19" i="22"/>
  <c r="K20" i="22"/>
  <c r="K21" i="22"/>
  <c r="K22" i="22"/>
  <c r="K23" i="22"/>
  <c r="K24" i="22"/>
  <c r="K25" i="22"/>
  <c r="K26" i="22"/>
  <c r="K27" i="22"/>
  <c r="K28" i="22"/>
  <c r="K29" i="22"/>
  <c r="K30" i="22"/>
  <c r="K31" i="22"/>
  <c r="K32" i="22"/>
  <c r="K33" i="22"/>
  <c r="K34" i="22"/>
  <c r="K35" i="22"/>
  <c r="K36" i="22"/>
  <c r="K37" i="22"/>
  <c r="K38" i="22"/>
  <c r="K39" i="22"/>
  <c r="K40" i="22"/>
  <c r="K41" i="22"/>
  <c r="K42" i="22"/>
  <c r="K43" i="22"/>
  <c r="K44" i="22"/>
  <c r="K45" i="22"/>
  <c r="K46" i="22"/>
  <c r="K47" i="22"/>
  <c r="K48" i="22"/>
  <c r="K49" i="22"/>
  <c r="K50" i="22"/>
  <c r="K51" i="22"/>
  <c r="K52" i="22"/>
  <c r="K53" i="22"/>
  <c r="K54" i="22"/>
  <c r="K55" i="22"/>
  <c r="K56" i="22"/>
  <c r="K57" i="22"/>
  <c r="K58" i="22"/>
  <c r="K59" i="22"/>
  <c r="K60" i="22"/>
  <c r="K61" i="22"/>
  <c r="K62" i="22"/>
  <c r="K63" i="22"/>
  <c r="K64" i="22"/>
  <c r="K65" i="22"/>
  <c r="K66" i="22"/>
  <c r="K67" i="22"/>
  <c r="K68" i="22"/>
  <c r="K69" i="22"/>
  <c r="K70" i="22"/>
  <c r="K71" i="22"/>
  <c r="K72" i="22"/>
  <c r="K73" i="22"/>
  <c r="K74" i="22"/>
  <c r="K75" i="22"/>
  <c r="K76" i="22"/>
  <c r="K77" i="22"/>
  <c r="K78" i="22"/>
  <c r="K79" i="22"/>
  <c r="K80" i="22"/>
  <c r="K81" i="22"/>
  <c r="K82" i="22"/>
  <c r="K83" i="22"/>
  <c r="K84" i="22"/>
  <c r="K85" i="22"/>
  <c r="K86" i="22"/>
  <c r="K87" i="22"/>
  <c r="K88" i="22"/>
  <c r="K89" i="22"/>
  <c r="K90" i="22"/>
  <c r="K91" i="22"/>
  <c r="K92" i="22"/>
  <c r="K93" i="22"/>
  <c r="K94" i="22"/>
  <c r="K95" i="22"/>
  <c r="K96" i="22"/>
  <c r="K97" i="22"/>
  <c r="K98" i="22"/>
  <c r="K99" i="22"/>
  <c r="K100" i="22"/>
  <c r="K101" i="22"/>
  <c r="K102" i="22"/>
  <c r="K103" i="22"/>
  <c r="K104" i="22"/>
  <c r="K105" i="22"/>
  <c r="K106" i="22"/>
  <c r="K107" i="22"/>
  <c r="K108" i="22"/>
  <c r="K109" i="22"/>
  <c r="K110" i="22"/>
  <c r="K111" i="22"/>
  <c r="K112" i="22"/>
  <c r="K113" i="22"/>
  <c r="K114" i="22"/>
  <c r="K115" i="22"/>
  <c r="K116" i="22"/>
  <c r="K117" i="22"/>
  <c r="K118" i="22"/>
  <c r="K119" i="22"/>
  <c r="K120" i="22"/>
  <c r="K121" i="22"/>
  <c r="K122" i="22"/>
  <c r="K123" i="22"/>
  <c r="K124" i="22"/>
  <c r="K125" i="22"/>
  <c r="K126" i="22"/>
  <c r="K127" i="22"/>
  <c r="K128" i="22"/>
  <c r="K129" i="22"/>
  <c r="K130" i="22"/>
  <c r="K131" i="22"/>
  <c r="K132" i="22"/>
  <c r="K133" i="22"/>
  <c r="K134" i="22"/>
  <c r="K135" i="22"/>
  <c r="K136" i="22"/>
  <c r="K137" i="22"/>
  <c r="K138" i="22"/>
  <c r="K139" i="22"/>
  <c r="K140" i="22"/>
  <c r="K141" i="22"/>
  <c r="K142" i="22"/>
  <c r="K143" i="22"/>
  <c r="K144" i="22"/>
  <c r="K145" i="22"/>
  <c r="K146" i="22"/>
  <c r="K147" i="22"/>
  <c r="K148" i="22"/>
  <c r="K149" i="22"/>
  <c r="K150" i="22"/>
  <c r="K151" i="22"/>
  <c r="K152" i="22"/>
  <c r="K153" i="22"/>
  <c r="K154" i="22"/>
  <c r="K155" i="22"/>
  <c r="K156" i="22"/>
  <c r="K157" i="22"/>
  <c r="K158" i="22"/>
  <c r="K159" i="22"/>
  <c r="K160" i="22"/>
  <c r="K161" i="22"/>
  <c r="K162" i="22"/>
  <c r="K163" i="22"/>
  <c r="K164" i="22"/>
  <c r="K165" i="22"/>
  <c r="K166" i="22"/>
  <c r="K167" i="22"/>
  <c r="K168" i="22"/>
  <c r="K169" i="22"/>
  <c r="K170" i="22"/>
  <c r="K171" i="22"/>
  <c r="K172" i="22"/>
  <c r="K173" i="22"/>
  <c r="K174" i="22"/>
  <c r="K175" i="22"/>
  <c r="K176" i="22"/>
  <c r="K177" i="22"/>
  <c r="K178" i="22"/>
  <c r="K179" i="22"/>
  <c r="K180" i="22"/>
  <c r="K181" i="22"/>
  <c r="K182" i="22"/>
  <c r="K183" i="22"/>
  <c r="K184" i="22"/>
  <c r="K185" i="22"/>
  <c r="K186" i="22"/>
  <c r="K187" i="22"/>
  <c r="K188" i="22"/>
  <c r="K189" i="22"/>
  <c r="K190" i="22"/>
  <c r="K191" i="22"/>
  <c r="K192" i="22"/>
  <c r="K193" i="22"/>
  <c r="K194" i="22"/>
  <c r="K195" i="22"/>
  <c r="K196" i="22"/>
  <c r="K197" i="22"/>
  <c r="K198" i="22"/>
  <c r="K199" i="22"/>
  <c r="K200" i="22"/>
  <c r="K201" i="22"/>
  <c r="K202" i="22"/>
  <c r="K203" i="22"/>
  <c r="K204" i="22"/>
  <c r="K205" i="22"/>
  <c r="K206" i="22"/>
  <c r="K207" i="22"/>
  <c r="K208" i="22"/>
  <c r="K209" i="22"/>
  <c r="K210" i="22"/>
  <c r="K211" i="22"/>
  <c r="K212" i="22"/>
  <c r="K213" i="22"/>
  <c r="K214" i="22"/>
  <c r="K215" i="22"/>
  <c r="K216" i="22"/>
  <c r="K217" i="22"/>
  <c r="K218" i="22"/>
  <c r="K219" i="22"/>
  <c r="K220" i="22"/>
  <c r="K221" i="22"/>
  <c r="K222" i="22"/>
  <c r="K223" i="22"/>
  <c r="K224" i="22"/>
  <c r="K225" i="22"/>
  <c r="K226" i="22"/>
  <c r="K227" i="22"/>
  <c r="K228" i="22"/>
  <c r="K229" i="22"/>
  <c r="K230" i="22"/>
  <c r="K231" i="22"/>
  <c r="K232" i="22"/>
  <c r="K233" i="22"/>
  <c r="K234" i="22"/>
  <c r="K235" i="22"/>
  <c r="K236" i="22"/>
  <c r="K237" i="22"/>
  <c r="K238" i="22"/>
  <c r="K239" i="22"/>
  <c r="K240" i="22"/>
  <c r="K241" i="22"/>
  <c r="K242" i="22"/>
  <c r="K243" i="22"/>
  <c r="K244" i="22"/>
  <c r="K245" i="22"/>
  <c r="K246" i="22"/>
  <c r="K247" i="22"/>
  <c r="K248" i="22"/>
  <c r="K249" i="22"/>
  <c r="K250" i="22"/>
  <c r="K251" i="22"/>
  <c r="K252" i="22"/>
  <c r="K253" i="22"/>
  <c r="K254" i="22"/>
  <c r="K255" i="22"/>
  <c r="K256" i="22"/>
  <c r="K257" i="22"/>
  <c r="K258" i="22"/>
  <c r="K259" i="22"/>
  <c r="K260" i="22"/>
  <c r="K261" i="22"/>
  <c r="K262" i="22"/>
  <c r="K263" i="22"/>
  <c r="K264" i="22"/>
  <c r="K265" i="22"/>
  <c r="K266" i="22"/>
  <c r="K267" i="22"/>
  <c r="K268" i="22"/>
  <c r="K269" i="22"/>
  <c r="K270" i="22"/>
  <c r="K271" i="22"/>
  <c r="K272" i="22"/>
  <c r="K273" i="22"/>
  <c r="K274" i="22"/>
  <c r="K275" i="22"/>
  <c r="K276" i="22"/>
  <c r="K277" i="22"/>
  <c r="K278" i="22"/>
  <c r="K279" i="22"/>
  <c r="K280" i="22"/>
  <c r="K281" i="22"/>
  <c r="K282" i="22"/>
  <c r="K283" i="22"/>
  <c r="K284" i="22"/>
  <c r="K285" i="22"/>
  <c r="K286" i="22"/>
  <c r="K287" i="22"/>
  <c r="K288" i="22"/>
  <c r="K289" i="22"/>
  <c r="K290" i="22"/>
  <c r="K291" i="22"/>
  <c r="K292" i="22"/>
  <c r="K293" i="22"/>
  <c r="K294" i="22"/>
  <c r="K295" i="22"/>
  <c r="K296" i="22"/>
  <c r="K297" i="22"/>
  <c r="K298" i="22"/>
  <c r="K299" i="22"/>
  <c r="K300" i="22"/>
  <c r="K301" i="22"/>
  <c r="K302" i="22"/>
  <c r="K303" i="22"/>
  <c r="K304" i="22"/>
  <c r="K305" i="22"/>
  <c r="K306" i="22"/>
  <c r="K307" i="22"/>
  <c r="K308" i="22"/>
  <c r="K309" i="22"/>
  <c r="K310" i="22"/>
  <c r="K311" i="22"/>
  <c r="K312" i="22"/>
  <c r="K313" i="22"/>
  <c r="K314" i="22"/>
  <c r="K315" i="22"/>
  <c r="K316" i="22"/>
  <c r="K317" i="22"/>
  <c r="K318" i="22"/>
  <c r="K319" i="22"/>
  <c r="K320" i="22"/>
  <c r="K321" i="22"/>
  <c r="K322" i="22"/>
  <c r="K323" i="22"/>
  <c r="K324" i="22"/>
  <c r="K325" i="22"/>
  <c r="K326" i="22"/>
  <c r="K327" i="22"/>
  <c r="K328" i="22"/>
  <c r="K329" i="22"/>
  <c r="K330" i="22"/>
  <c r="K331" i="22"/>
  <c r="K332" i="22"/>
  <c r="K333" i="22"/>
  <c r="K334" i="22"/>
  <c r="K335" i="22"/>
  <c r="K336" i="22"/>
  <c r="K337" i="22"/>
  <c r="K338" i="22"/>
  <c r="K339" i="22"/>
  <c r="K340" i="22"/>
  <c r="K341" i="22"/>
  <c r="K342" i="22"/>
  <c r="K343" i="22"/>
  <c r="K344" i="22"/>
  <c r="K345" i="22"/>
  <c r="K346" i="22"/>
  <c r="K347" i="22"/>
  <c r="K348" i="22"/>
  <c r="K349" i="22"/>
  <c r="K350" i="22"/>
  <c r="K351" i="22"/>
  <c r="K352" i="22"/>
  <c r="K353" i="22"/>
  <c r="K354" i="22"/>
  <c r="K355" i="22"/>
  <c r="K356" i="22"/>
  <c r="K357" i="22"/>
  <c r="K358" i="22"/>
  <c r="K359" i="22"/>
  <c r="K360" i="22"/>
  <c r="K361" i="22"/>
  <c r="K362" i="22"/>
  <c r="K363" i="22"/>
  <c r="K364" i="22"/>
  <c r="K365" i="22"/>
  <c r="K366" i="22"/>
  <c r="K367" i="22"/>
  <c r="K368" i="22"/>
  <c r="K369" i="22"/>
  <c r="K370" i="22"/>
  <c r="K371" i="22"/>
  <c r="K372" i="22"/>
  <c r="K373" i="22"/>
  <c r="K374" i="22"/>
  <c r="K375" i="22"/>
  <c r="K376" i="22"/>
  <c r="K377" i="22"/>
  <c r="K378" i="22"/>
  <c r="K379" i="22"/>
  <c r="K380" i="22"/>
  <c r="K381" i="22"/>
  <c r="K382" i="22"/>
  <c r="K383" i="22"/>
  <c r="K384" i="22"/>
  <c r="K385" i="22"/>
  <c r="K386" i="22"/>
  <c r="K387" i="22"/>
  <c r="K388" i="22"/>
  <c r="K389" i="22"/>
  <c r="K390" i="22"/>
  <c r="K391" i="22"/>
  <c r="K392" i="22"/>
  <c r="K393" i="22"/>
  <c r="K394" i="22"/>
  <c r="K395" i="22"/>
  <c r="K396" i="22"/>
  <c r="K397" i="22"/>
  <c r="K398" i="22"/>
  <c r="K399" i="22"/>
  <c r="K400" i="22"/>
  <c r="K401" i="22"/>
  <c r="K402" i="22"/>
  <c r="K403" i="22"/>
  <c r="K404" i="22"/>
  <c r="K405" i="22"/>
  <c r="K406" i="22"/>
  <c r="K407" i="22"/>
  <c r="K408" i="22"/>
  <c r="K409" i="22"/>
  <c r="K410" i="22"/>
  <c r="K411" i="22"/>
  <c r="K412" i="22"/>
  <c r="K413" i="22"/>
  <c r="K414" i="22"/>
  <c r="K415" i="22"/>
  <c r="K416" i="22"/>
  <c r="K417" i="22"/>
  <c r="K418" i="22"/>
  <c r="K419" i="22"/>
  <c r="K420" i="22"/>
  <c r="K421" i="22"/>
  <c r="K422" i="22"/>
  <c r="K423" i="22"/>
  <c r="K424" i="22"/>
  <c r="K425" i="22"/>
  <c r="K426" i="22"/>
  <c r="K427" i="22"/>
  <c r="K428" i="22"/>
  <c r="K429" i="22"/>
  <c r="K430" i="22"/>
  <c r="K431" i="22"/>
  <c r="K432" i="22"/>
  <c r="K433" i="22"/>
  <c r="K434" i="22"/>
  <c r="K435" i="22"/>
  <c r="K436" i="22"/>
  <c r="K437" i="22"/>
  <c r="K438" i="22"/>
  <c r="K439" i="22"/>
  <c r="K440" i="22"/>
  <c r="K441" i="22"/>
  <c r="K442" i="22"/>
  <c r="K443" i="22"/>
  <c r="K444" i="22"/>
  <c r="K445" i="22"/>
  <c r="K446" i="22"/>
  <c r="K447" i="22"/>
  <c r="K448" i="22"/>
  <c r="K449" i="22"/>
  <c r="K450" i="22"/>
  <c r="K451" i="22"/>
  <c r="K452" i="22"/>
  <c r="K453" i="22"/>
  <c r="K454" i="22"/>
  <c r="K455" i="22"/>
  <c r="K456" i="22"/>
  <c r="K457" i="22"/>
  <c r="K458" i="22"/>
  <c r="K459" i="22"/>
  <c r="K460" i="22"/>
  <c r="K461" i="22"/>
  <c r="K462" i="22"/>
  <c r="K463" i="22"/>
  <c r="K464" i="22"/>
  <c r="K465" i="22"/>
  <c r="K466" i="22"/>
  <c r="K467" i="22"/>
  <c r="K468" i="22"/>
  <c r="K469" i="22"/>
  <c r="K470" i="22"/>
  <c r="K471" i="22"/>
  <c r="K472" i="22"/>
  <c r="K473" i="22"/>
  <c r="K474" i="22"/>
  <c r="K475" i="22"/>
  <c r="K476" i="22"/>
  <c r="K477" i="22"/>
  <c r="K478" i="22"/>
  <c r="K479" i="22"/>
  <c r="K480" i="22"/>
  <c r="K481" i="22"/>
  <c r="K482" i="22"/>
  <c r="K483" i="22"/>
  <c r="K484" i="22"/>
  <c r="K485" i="22"/>
  <c r="K486" i="22"/>
  <c r="K487" i="22"/>
  <c r="K488" i="22"/>
  <c r="K489" i="22"/>
  <c r="K490" i="22"/>
  <c r="K491" i="22"/>
  <c r="K492" i="22"/>
  <c r="K493" i="22"/>
  <c r="K494" i="22"/>
  <c r="K495" i="22"/>
  <c r="K496" i="22"/>
  <c r="K497" i="22"/>
  <c r="K498" i="22"/>
  <c r="K499" i="22"/>
  <c r="K500" i="22"/>
  <c r="K501" i="22"/>
  <c r="K502" i="22"/>
  <c r="K503" i="22"/>
  <c r="K504" i="22"/>
  <c r="K505" i="22"/>
  <c r="K506" i="22"/>
  <c r="K507" i="22"/>
  <c r="K508" i="22"/>
  <c r="K509" i="22"/>
  <c r="K510" i="22"/>
  <c r="K511" i="22"/>
  <c r="K512" i="22"/>
  <c r="K513" i="22"/>
  <c r="K514" i="22"/>
  <c r="K515" i="22"/>
  <c r="K516" i="22"/>
  <c r="K517" i="22"/>
  <c r="K518" i="22"/>
  <c r="K519" i="22"/>
  <c r="K520" i="22"/>
  <c r="K521" i="22"/>
  <c r="K522" i="22"/>
  <c r="K523" i="22"/>
  <c r="K524" i="22"/>
  <c r="K525" i="22"/>
  <c r="K526" i="22"/>
  <c r="K527" i="22"/>
  <c r="K528" i="22"/>
  <c r="K529" i="22"/>
  <c r="K530" i="22"/>
  <c r="K531" i="22"/>
  <c r="K532" i="22"/>
  <c r="K533" i="22"/>
  <c r="K534" i="22"/>
  <c r="K535" i="22"/>
  <c r="K536" i="22"/>
  <c r="K537" i="22"/>
  <c r="K538" i="22"/>
  <c r="K539" i="22"/>
  <c r="K540" i="22"/>
  <c r="K541" i="22"/>
  <c r="K542" i="22"/>
  <c r="K543" i="22"/>
  <c r="K544" i="22"/>
  <c r="K545" i="22"/>
  <c r="K546" i="22"/>
  <c r="K547" i="22"/>
  <c r="K548" i="22"/>
  <c r="K549" i="22"/>
  <c r="K550" i="22"/>
  <c r="K551" i="22"/>
  <c r="K552" i="22"/>
  <c r="K553" i="22"/>
  <c r="K554" i="22"/>
  <c r="K555" i="22"/>
  <c r="K556" i="22"/>
  <c r="K557" i="22"/>
  <c r="K558" i="22"/>
  <c r="K559" i="22"/>
  <c r="K560" i="22"/>
  <c r="K561" i="22"/>
  <c r="K562" i="22"/>
  <c r="K563" i="22"/>
  <c r="K564" i="22"/>
  <c r="K565" i="22"/>
  <c r="K566" i="22"/>
  <c r="K567" i="22"/>
  <c r="K568" i="22"/>
  <c r="K569" i="22"/>
  <c r="K570" i="22"/>
  <c r="K571" i="22"/>
  <c r="K572" i="22"/>
  <c r="K573" i="22"/>
  <c r="K574" i="22"/>
  <c r="K575" i="22"/>
  <c r="K576" i="22"/>
  <c r="K577" i="22"/>
  <c r="K578" i="22"/>
  <c r="K579" i="22"/>
  <c r="K580" i="22"/>
  <c r="K581" i="22"/>
  <c r="K582" i="22"/>
  <c r="K583" i="22"/>
  <c r="K584" i="22"/>
  <c r="K585" i="22"/>
  <c r="K586" i="22"/>
  <c r="K587" i="22"/>
  <c r="K588" i="22"/>
  <c r="K589" i="22"/>
  <c r="K590" i="22"/>
  <c r="K591" i="22"/>
  <c r="K592" i="22"/>
  <c r="K593" i="22"/>
  <c r="K594" i="22"/>
  <c r="K595" i="22"/>
  <c r="K596" i="22"/>
  <c r="K597" i="22"/>
  <c r="K598" i="22"/>
  <c r="K599" i="22"/>
  <c r="K600" i="22"/>
  <c r="K601" i="22"/>
  <c r="K602" i="22"/>
  <c r="K603" i="22"/>
  <c r="K604" i="22"/>
  <c r="K605" i="22"/>
  <c r="K606" i="22"/>
  <c r="K607" i="22"/>
  <c r="K608" i="22"/>
  <c r="K609" i="22"/>
  <c r="K610" i="22"/>
  <c r="K611" i="22"/>
  <c r="K612" i="22"/>
  <c r="K613" i="22"/>
  <c r="K614" i="22"/>
  <c r="K615" i="22"/>
  <c r="K616" i="22"/>
  <c r="K617" i="22"/>
  <c r="K618" i="22"/>
  <c r="K619" i="22"/>
  <c r="K620" i="22"/>
  <c r="K621" i="22"/>
  <c r="K622" i="22"/>
  <c r="K623" i="22"/>
  <c r="K624" i="22"/>
  <c r="K625" i="22"/>
  <c r="K626" i="22"/>
  <c r="K627" i="22"/>
  <c r="K628" i="22"/>
  <c r="K629" i="22"/>
  <c r="K630" i="22"/>
  <c r="K631" i="22"/>
  <c r="K632" i="22"/>
  <c r="K633" i="22"/>
  <c r="K634" i="22"/>
  <c r="K635" i="22"/>
  <c r="K636" i="22"/>
  <c r="K637" i="22"/>
  <c r="K638" i="22"/>
  <c r="K639" i="22"/>
  <c r="K640" i="22"/>
  <c r="J2" i="22"/>
  <c r="N2" i="22" s="1"/>
  <c r="J3" i="22"/>
  <c r="N3" i="22" s="1"/>
  <c r="J4" i="22"/>
  <c r="N4" i="22" s="1"/>
  <c r="J5" i="22"/>
  <c r="N5" i="22" s="1"/>
  <c r="J6" i="22"/>
  <c r="N6" i="22" s="1"/>
  <c r="J7" i="22"/>
  <c r="N7" i="22" s="1"/>
  <c r="J8" i="22"/>
  <c r="N8" i="22" s="1"/>
  <c r="J9" i="22"/>
  <c r="N9" i="22" s="1"/>
  <c r="J10" i="22"/>
  <c r="N10" i="22" s="1"/>
  <c r="J11" i="22"/>
  <c r="N11" i="22" s="1"/>
  <c r="J12" i="22"/>
  <c r="N12" i="22" s="1"/>
  <c r="J13" i="22"/>
  <c r="N13" i="22" s="1"/>
  <c r="J14" i="22"/>
  <c r="N14" i="22" s="1"/>
  <c r="J15" i="22"/>
  <c r="N15" i="22" s="1"/>
  <c r="J16" i="22"/>
  <c r="N16" i="22" s="1"/>
  <c r="J17" i="22"/>
  <c r="N17" i="22" s="1"/>
  <c r="J18" i="22"/>
  <c r="N18" i="22" s="1"/>
  <c r="J19" i="22"/>
  <c r="N19" i="22" s="1"/>
  <c r="J20" i="22"/>
  <c r="N20" i="22" s="1"/>
  <c r="J21" i="22"/>
  <c r="N21" i="22" s="1"/>
  <c r="J22" i="22"/>
  <c r="N22" i="22" s="1"/>
  <c r="J23" i="22"/>
  <c r="N23" i="22" s="1"/>
  <c r="J24" i="22"/>
  <c r="N24" i="22" s="1"/>
  <c r="J25" i="22"/>
  <c r="N25" i="22" s="1"/>
  <c r="J26" i="22"/>
  <c r="N26" i="22" s="1"/>
  <c r="J27" i="22"/>
  <c r="N27" i="22" s="1"/>
  <c r="J28" i="22"/>
  <c r="N28" i="22" s="1"/>
  <c r="J29" i="22"/>
  <c r="N29" i="22" s="1"/>
  <c r="J30" i="22"/>
  <c r="N30" i="22" s="1"/>
  <c r="J31" i="22"/>
  <c r="N31" i="22" s="1"/>
  <c r="J32" i="22"/>
  <c r="N32" i="22" s="1"/>
  <c r="J33" i="22"/>
  <c r="N33" i="22" s="1"/>
  <c r="J34" i="22"/>
  <c r="N34" i="22" s="1"/>
  <c r="J35" i="22"/>
  <c r="N35" i="22" s="1"/>
  <c r="J36" i="22"/>
  <c r="N36" i="22" s="1"/>
  <c r="J37" i="22"/>
  <c r="N37" i="22" s="1"/>
  <c r="J38" i="22"/>
  <c r="N38" i="22" s="1"/>
  <c r="J39" i="22"/>
  <c r="N39" i="22" s="1"/>
  <c r="J40" i="22"/>
  <c r="N40" i="22" s="1"/>
  <c r="J41" i="22"/>
  <c r="N41" i="22" s="1"/>
  <c r="J42" i="22"/>
  <c r="N42" i="22" s="1"/>
  <c r="J43" i="22"/>
  <c r="N43" i="22" s="1"/>
  <c r="J44" i="22"/>
  <c r="N44" i="22" s="1"/>
  <c r="J45" i="22"/>
  <c r="N45" i="22" s="1"/>
  <c r="J46" i="22"/>
  <c r="N46" i="22" s="1"/>
  <c r="J47" i="22"/>
  <c r="N47" i="22" s="1"/>
  <c r="J48" i="22"/>
  <c r="N48" i="22" s="1"/>
  <c r="J49" i="22"/>
  <c r="N49" i="22" s="1"/>
  <c r="J50" i="22"/>
  <c r="N50" i="22" s="1"/>
  <c r="J51" i="22"/>
  <c r="N51" i="22" s="1"/>
  <c r="J52" i="22"/>
  <c r="N52" i="22" s="1"/>
  <c r="J53" i="22"/>
  <c r="N53" i="22" s="1"/>
  <c r="J54" i="22"/>
  <c r="N54" i="22" s="1"/>
  <c r="J55" i="22"/>
  <c r="N55" i="22" s="1"/>
  <c r="J56" i="22"/>
  <c r="N56" i="22" s="1"/>
  <c r="J57" i="22"/>
  <c r="N57" i="22" s="1"/>
  <c r="J58" i="22"/>
  <c r="N58" i="22" s="1"/>
  <c r="J59" i="22"/>
  <c r="N59" i="22" s="1"/>
  <c r="J60" i="22"/>
  <c r="N60" i="22" s="1"/>
  <c r="J61" i="22"/>
  <c r="N61" i="22" s="1"/>
  <c r="J62" i="22"/>
  <c r="N62" i="22" s="1"/>
  <c r="J63" i="22"/>
  <c r="N63" i="22" s="1"/>
  <c r="J64" i="22"/>
  <c r="N64" i="22" s="1"/>
  <c r="J65" i="22"/>
  <c r="N65" i="22" s="1"/>
  <c r="J66" i="22"/>
  <c r="N66" i="22" s="1"/>
  <c r="J67" i="22"/>
  <c r="N67" i="22" s="1"/>
  <c r="J68" i="22"/>
  <c r="N68" i="22" s="1"/>
  <c r="J69" i="22"/>
  <c r="N69" i="22" s="1"/>
  <c r="J70" i="22"/>
  <c r="N70" i="22" s="1"/>
  <c r="J71" i="22"/>
  <c r="N71" i="22" s="1"/>
  <c r="J72" i="22"/>
  <c r="N72" i="22" s="1"/>
  <c r="J73" i="22"/>
  <c r="N73" i="22" s="1"/>
  <c r="J74" i="22"/>
  <c r="N74" i="22" s="1"/>
  <c r="J75" i="22"/>
  <c r="N75" i="22" s="1"/>
  <c r="J76" i="22"/>
  <c r="N76" i="22" s="1"/>
  <c r="J77" i="22"/>
  <c r="N77" i="22" s="1"/>
  <c r="J78" i="22"/>
  <c r="N78" i="22" s="1"/>
  <c r="J79" i="22"/>
  <c r="N79" i="22" s="1"/>
  <c r="J80" i="22"/>
  <c r="N80" i="22" s="1"/>
  <c r="J81" i="22"/>
  <c r="N81" i="22" s="1"/>
  <c r="J82" i="22"/>
  <c r="N82" i="22" s="1"/>
  <c r="J83" i="22"/>
  <c r="N83" i="22" s="1"/>
  <c r="J84" i="22"/>
  <c r="N84" i="22" s="1"/>
  <c r="J85" i="22"/>
  <c r="N85" i="22" s="1"/>
  <c r="J86" i="22"/>
  <c r="N86" i="22" s="1"/>
  <c r="J87" i="22"/>
  <c r="N87" i="22" s="1"/>
  <c r="J88" i="22"/>
  <c r="N88" i="22" s="1"/>
  <c r="J89" i="22"/>
  <c r="N89" i="22" s="1"/>
  <c r="J90" i="22"/>
  <c r="N90" i="22" s="1"/>
  <c r="J91" i="22"/>
  <c r="N91" i="22" s="1"/>
  <c r="J92" i="22"/>
  <c r="N92" i="22" s="1"/>
  <c r="J93" i="22"/>
  <c r="N93" i="22" s="1"/>
  <c r="J94" i="22"/>
  <c r="N94" i="22" s="1"/>
  <c r="J95" i="22"/>
  <c r="N95" i="22" s="1"/>
  <c r="J96" i="22"/>
  <c r="N96" i="22" s="1"/>
  <c r="J97" i="22"/>
  <c r="N97" i="22" s="1"/>
  <c r="J98" i="22"/>
  <c r="N98" i="22" s="1"/>
  <c r="J99" i="22"/>
  <c r="N99" i="22" s="1"/>
  <c r="J100" i="22"/>
  <c r="N100" i="22" s="1"/>
  <c r="J101" i="22"/>
  <c r="N101" i="22" s="1"/>
  <c r="J102" i="22"/>
  <c r="N102" i="22" s="1"/>
  <c r="J103" i="22"/>
  <c r="N103" i="22" s="1"/>
  <c r="J104" i="22"/>
  <c r="N104" i="22" s="1"/>
  <c r="J105" i="22"/>
  <c r="N105" i="22" s="1"/>
  <c r="J106" i="22"/>
  <c r="N106" i="22" s="1"/>
  <c r="J107" i="22"/>
  <c r="N107" i="22" s="1"/>
  <c r="J108" i="22"/>
  <c r="N108" i="22" s="1"/>
  <c r="J109" i="22"/>
  <c r="N109" i="22" s="1"/>
  <c r="J110" i="22"/>
  <c r="N110" i="22" s="1"/>
  <c r="J111" i="22"/>
  <c r="N111" i="22" s="1"/>
  <c r="J112" i="22"/>
  <c r="N112" i="22" s="1"/>
  <c r="J113" i="22"/>
  <c r="N113" i="22" s="1"/>
  <c r="J114" i="22"/>
  <c r="N114" i="22" s="1"/>
  <c r="J115" i="22"/>
  <c r="N115" i="22" s="1"/>
  <c r="J116" i="22"/>
  <c r="N116" i="22" s="1"/>
  <c r="J117" i="22"/>
  <c r="N117" i="22" s="1"/>
  <c r="J118" i="22"/>
  <c r="N118" i="22" s="1"/>
  <c r="J119" i="22"/>
  <c r="N119" i="22" s="1"/>
  <c r="J120" i="22"/>
  <c r="N120" i="22" s="1"/>
  <c r="J121" i="22"/>
  <c r="N121" i="22" s="1"/>
  <c r="J122" i="22"/>
  <c r="N122" i="22" s="1"/>
  <c r="J123" i="22"/>
  <c r="N123" i="22" s="1"/>
  <c r="J124" i="22"/>
  <c r="N124" i="22" s="1"/>
  <c r="J125" i="22"/>
  <c r="N125" i="22" s="1"/>
  <c r="J126" i="22"/>
  <c r="N126" i="22" s="1"/>
  <c r="J127" i="22"/>
  <c r="N127" i="22" s="1"/>
  <c r="J128" i="22"/>
  <c r="N128" i="22" s="1"/>
  <c r="J129" i="22"/>
  <c r="N129" i="22" s="1"/>
  <c r="J130" i="22"/>
  <c r="N130" i="22" s="1"/>
  <c r="J131" i="22"/>
  <c r="N131" i="22" s="1"/>
  <c r="J132" i="22"/>
  <c r="N132" i="22" s="1"/>
  <c r="J133" i="22"/>
  <c r="N133" i="22" s="1"/>
  <c r="J134" i="22"/>
  <c r="N134" i="22" s="1"/>
  <c r="J135" i="22"/>
  <c r="N135" i="22" s="1"/>
  <c r="J136" i="22"/>
  <c r="N136" i="22" s="1"/>
  <c r="J137" i="22"/>
  <c r="N137" i="22" s="1"/>
  <c r="J138" i="22"/>
  <c r="N138" i="22" s="1"/>
  <c r="J139" i="22"/>
  <c r="N139" i="22" s="1"/>
  <c r="J140" i="22"/>
  <c r="N140" i="22" s="1"/>
  <c r="J141" i="22"/>
  <c r="N141" i="22" s="1"/>
  <c r="J142" i="22"/>
  <c r="N142" i="22" s="1"/>
  <c r="J143" i="22"/>
  <c r="N143" i="22" s="1"/>
  <c r="J144" i="22"/>
  <c r="N144" i="22" s="1"/>
  <c r="J145" i="22"/>
  <c r="N145" i="22" s="1"/>
  <c r="J146" i="22"/>
  <c r="N146" i="22" s="1"/>
  <c r="J147" i="22"/>
  <c r="N147" i="22" s="1"/>
  <c r="J148" i="22"/>
  <c r="N148" i="22" s="1"/>
  <c r="J149" i="22"/>
  <c r="N149" i="22" s="1"/>
  <c r="J150" i="22"/>
  <c r="N150" i="22" s="1"/>
  <c r="J151" i="22"/>
  <c r="N151" i="22" s="1"/>
  <c r="J152" i="22"/>
  <c r="N152" i="22" s="1"/>
  <c r="J153" i="22"/>
  <c r="N153" i="22" s="1"/>
  <c r="J154" i="22"/>
  <c r="N154" i="22" s="1"/>
  <c r="J155" i="22"/>
  <c r="N155" i="22" s="1"/>
  <c r="J156" i="22"/>
  <c r="N156" i="22" s="1"/>
  <c r="J157" i="22"/>
  <c r="N157" i="22" s="1"/>
  <c r="J158" i="22"/>
  <c r="N158" i="22" s="1"/>
  <c r="J159" i="22"/>
  <c r="N159" i="22" s="1"/>
  <c r="J160" i="22"/>
  <c r="N160" i="22" s="1"/>
  <c r="J161" i="22"/>
  <c r="N161" i="22" s="1"/>
  <c r="J162" i="22"/>
  <c r="N162" i="22" s="1"/>
  <c r="J163" i="22"/>
  <c r="N163" i="22" s="1"/>
  <c r="J164" i="22"/>
  <c r="N164" i="22" s="1"/>
  <c r="J165" i="22"/>
  <c r="N165" i="22" s="1"/>
  <c r="J166" i="22"/>
  <c r="N166" i="22" s="1"/>
  <c r="J167" i="22"/>
  <c r="N167" i="22" s="1"/>
  <c r="J168" i="22"/>
  <c r="N168" i="22" s="1"/>
  <c r="J169" i="22"/>
  <c r="N169" i="22" s="1"/>
  <c r="J170" i="22"/>
  <c r="N170" i="22" s="1"/>
  <c r="J171" i="22"/>
  <c r="N171" i="22" s="1"/>
  <c r="J172" i="22"/>
  <c r="N172" i="22" s="1"/>
  <c r="J173" i="22"/>
  <c r="N173" i="22" s="1"/>
  <c r="J174" i="22"/>
  <c r="N174" i="22" s="1"/>
  <c r="J175" i="22"/>
  <c r="N175" i="22" s="1"/>
  <c r="J176" i="22"/>
  <c r="N176" i="22" s="1"/>
  <c r="J177" i="22"/>
  <c r="N177" i="22" s="1"/>
  <c r="J178" i="22"/>
  <c r="N178" i="22" s="1"/>
  <c r="J179" i="22"/>
  <c r="N179" i="22" s="1"/>
  <c r="J180" i="22"/>
  <c r="N180" i="22" s="1"/>
  <c r="J181" i="22"/>
  <c r="N181" i="22" s="1"/>
  <c r="J182" i="22"/>
  <c r="N182" i="22" s="1"/>
  <c r="J183" i="22"/>
  <c r="N183" i="22" s="1"/>
  <c r="J184" i="22"/>
  <c r="N184" i="22" s="1"/>
  <c r="J185" i="22"/>
  <c r="N185" i="22" s="1"/>
  <c r="J186" i="22"/>
  <c r="N186" i="22" s="1"/>
  <c r="J187" i="22"/>
  <c r="N187" i="22" s="1"/>
  <c r="J188" i="22"/>
  <c r="N188" i="22" s="1"/>
  <c r="J189" i="22"/>
  <c r="N189" i="22" s="1"/>
  <c r="J190" i="22"/>
  <c r="N190" i="22" s="1"/>
  <c r="J191" i="22"/>
  <c r="N191" i="22" s="1"/>
  <c r="J192" i="22"/>
  <c r="N192" i="22" s="1"/>
  <c r="J193" i="22"/>
  <c r="N193" i="22" s="1"/>
  <c r="J194" i="22"/>
  <c r="N194" i="22" s="1"/>
  <c r="J195" i="22"/>
  <c r="N195" i="22" s="1"/>
  <c r="J196" i="22"/>
  <c r="N196" i="22" s="1"/>
  <c r="J197" i="22"/>
  <c r="N197" i="22" s="1"/>
  <c r="J198" i="22"/>
  <c r="N198" i="22" s="1"/>
  <c r="J199" i="22"/>
  <c r="N199" i="22" s="1"/>
  <c r="J200" i="22"/>
  <c r="N200" i="22" s="1"/>
  <c r="J201" i="22"/>
  <c r="N201" i="22" s="1"/>
  <c r="J202" i="22"/>
  <c r="N202" i="22" s="1"/>
  <c r="J203" i="22"/>
  <c r="N203" i="22" s="1"/>
  <c r="J204" i="22"/>
  <c r="N204" i="22" s="1"/>
  <c r="J205" i="22"/>
  <c r="N205" i="22" s="1"/>
  <c r="J206" i="22"/>
  <c r="N206" i="22" s="1"/>
  <c r="J207" i="22"/>
  <c r="N207" i="22" s="1"/>
  <c r="J208" i="22"/>
  <c r="N208" i="22" s="1"/>
  <c r="J209" i="22"/>
  <c r="N209" i="22" s="1"/>
  <c r="J210" i="22"/>
  <c r="N210" i="22" s="1"/>
  <c r="J211" i="22"/>
  <c r="N211" i="22" s="1"/>
  <c r="J212" i="22"/>
  <c r="N212" i="22" s="1"/>
  <c r="J213" i="22"/>
  <c r="N213" i="22" s="1"/>
  <c r="J214" i="22"/>
  <c r="N214" i="22" s="1"/>
  <c r="J215" i="22"/>
  <c r="N215" i="22" s="1"/>
  <c r="J216" i="22"/>
  <c r="N216" i="22" s="1"/>
  <c r="J217" i="22"/>
  <c r="N217" i="22" s="1"/>
  <c r="J218" i="22"/>
  <c r="N218" i="22" s="1"/>
  <c r="J219" i="22"/>
  <c r="N219" i="22" s="1"/>
  <c r="J220" i="22"/>
  <c r="N220" i="22" s="1"/>
  <c r="J221" i="22"/>
  <c r="N221" i="22" s="1"/>
  <c r="J222" i="22"/>
  <c r="N222" i="22" s="1"/>
  <c r="J223" i="22"/>
  <c r="N223" i="22" s="1"/>
  <c r="J224" i="22"/>
  <c r="N224" i="22" s="1"/>
  <c r="J225" i="22"/>
  <c r="N225" i="22" s="1"/>
  <c r="J226" i="22"/>
  <c r="N226" i="22" s="1"/>
  <c r="J227" i="22"/>
  <c r="N227" i="22" s="1"/>
  <c r="J228" i="22"/>
  <c r="N228" i="22" s="1"/>
  <c r="J229" i="22"/>
  <c r="N229" i="22" s="1"/>
  <c r="J230" i="22"/>
  <c r="N230" i="22" s="1"/>
  <c r="J231" i="22"/>
  <c r="N231" i="22" s="1"/>
  <c r="J232" i="22"/>
  <c r="N232" i="22" s="1"/>
  <c r="J233" i="22"/>
  <c r="N233" i="22" s="1"/>
  <c r="J234" i="22"/>
  <c r="N234" i="22" s="1"/>
  <c r="J235" i="22"/>
  <c r="N235" i="22" s="1"/>
  <c r="J236" i="22"/>
  <c r="N236" i="22" s="1"/>
  <c r="J237" i="22"/>
  <c r="N237" i="22" s="1"/>
  <c r="J238" i="22"/>
  <c r="N238" i="22" s="1"/>
  <c r="J239" i="22"/>
  <c r="N239" i="22" s="1"/>
  <c r="J240" i="22"/>
  <c r="N240" i="22" s="1"/>
  <c r="J241" i="22"/>
  <c r="N241" i="22" s="1"/>
  <c r="J242" i="22"/>
  <c r="N242" i="22" s="1"/>
  <c r="J243" i="22"/>
  <c r="N243" i="22" s="1"/>
  <c r="J244" i="22"/>
  <c r="N244" i="22" s="1"/>
  <c r="J245" i="22"/>
  <c r="N245" i="22" s="1"/>
  <c r="J246" i="22"/>
  <c r="N246" i="22" s="1"/>
  <c r="J247" i="22"/>
  <c r="N247" i="22" s="1"/>
  <c r="J248" i="22"/>
  <c r="N248" i="22" s="1"/>
  <c r="J249" i="22"/>
  <c r="N249" i="22" s="1"/>
  <c r="J250" i="22"/>
  <c r="N250" i="22" s="1"/>
  <c r="J251" i="22"/>
  <c r="N251" i="22" s="1"/>
  <c r="J252" i="22"/>
  <c r="N252" i="22" s="1"/>
  <c r="J253" i="22"/>
  <c r="N253" i="22" s="1"/>
  <c r="J254" i="22"/>
  <c r="N254" i="22" s="1"/>
  <c r="J255" i="22"/>
  <c r="N255" i="22" s="1"/>
  <c r="J256" i="22"/>
  <c r="N256" i="22" s="1"/>
  <c r="J257" i="22"/>
  <c r="N257" i="22" s="1"/>
  <c r="J258" i="22"/>
  <c r="N258" i="22" s="1"/>
  <c r="J259" i="22"/>
  <c r="N259" i="22" s="1"/>
  <c r="J260" i="22"/>
  <c r="N260" i="22" s="1"/>
  <c r="J261" i="22"/>
  <c r="N261" i="22" s="1"/>
  <c r="J262" i="22"/>
  <c r="N262" i="22" s="1"/>
  <c r="J263" i="22"/>
  <c r="N263" i="22" s="1"/>
  <c r="J264" i="22"/>
  <c r="N264" i="22" s="1"/>
  <c r="J265" i="22"/>
  <c r="N265" i="22" s="1"/>
  <c r="J266" i="22"/>
  <c r="N266" i="22" s="1"/>
  <c r="J267" i="22"/>
  <c r="N267" i="22" s="1"/>
  <c r="J268" i="22"/>
  <c r="N268" i="22" s="1"/>
  <c r="J269" i="22"/>
  <c r="N269" i="22" s="1"/>
  <c r="J270" i="22"/>
  <c r="N270" i="22" s="1"/>
  <c r="J271" i="22"/>
  <c r="N271" i="22" s="1"/>
  <c r="J272" i="22"/>
  <c r="N272" i="22" s="1"/>
  <c r="J273" i="22"/>
  <c r="N273" i="22" s="1"/>
  <c r="J274" i="22"/>
  <c r="N274" i="22" s="1"/>
  <c r="J275" i="22"/>
  <c r="N275" i="22" s="1"/>
  <c r="J276" i="22"/>
  <c r="N276" i="22" s="1"/>
  <c r="J277" i="22"/>
  <c r="N277" i="22" s="1"/>
  <c r="J278" i="22"/>
  <c r="N278" i="22" s="1"/>
  <c r="J279" i="22"/>
  <c r="N279" i="22" s="1"/>
  <c r="J280" i="22"/>
  <c r="N280" i="22" s="1"/>
  <c r="J281" i="22"/>
  <c r="N281" i="22" s="1"/>
  <c r="J282" i="22"/>
  <c r="N282" i="22" s="1"/>
  <c r="J283" i="22"/>
  <c r="N283" i="22" s="1"/>
  <c r="J284" i="22"/>
  <c r="N284" i="22" s="1"/>
  <c r="J285" i="22"/>
  <c r="N285" i="22" s="1"/>
  <c r="J286" i="22"/>
  <c r="N286" i="22" s="1"/>
  <c r="J287" i="22"/>
  <c r="N287" i="22" s="1"/>
  <c r="J288" i="22"/>
  <c r="N288" i="22" s="1"/>
  <c r="J289" i="22"/>
  <c r="N289" i="22" s="1"/>
  <c r="J290" i="22"/>
  <c r="N290" i="22" s="1"/>
  <c r="J291" i="22"/>
  <c r="N291" i="22" s="1"/>
  <c r="J292" i="22"/>
  <c r="N292" i="22" s="1"/>
  <c r="J293" i="22"/>
  <c r="N293" i="22" s="1"/>
  <c r="J294" i="22"/>
  <c r="N294" i="22" s="1"/>
  <c r="J295" i="22"/>
  <c r="N295" i="22" s="1"/>
  <c r="J296" i="22"/>
  <c r="N296" i="22" s="1"/>
  <c r="J297" i="22"/>
  <c r="N297" i="22" s="1"/>
  <c r="J298" i="22"/>
  <c r="N298" i="22" s="1"/>
  <c r="J299" i="22"/>
  <c r="N299" i="22" s="1"/>
  <c r="J300" i="22"/>
  <c r="N300" i="22" s="1"/>
  <c r="J301" i="22"/>
  <c r="N301" i="22" s="1"/>
  <c r="J302" i="22"/>
  <c r="N302" i="22" s="1"/>
  <c r="J303" i="22"/>
  <c r="N303" i="22" s="1"/>
  <c r="J304" i="22"/>
  <c r="N304" i="22" s="1"/>
  <c r="J305" i="22"/>
  <c r="N305" i="22" s="1"/>
  <c r="J306" i="22"/>
  <c r="N306" i="22" s="1"/>
  <c r="J307" i="22"/>
  <c r="N307" i="22" s="1"/>
  <c r="J308" i="22"/>
  <c r="N308" i="22" s="1"/>
  <c r="J309" i="22"/>
  <c r="N309" i="22" s="1"/>
  <c r="J310" i="22"/>
  <c r="N310" i="22" s="1"/>
  <c r="J311" i="22"/>
  <c r="N311" i="22" s="1"/>
  <c r="J312" i="22"/>
  <c r="N312" i="22" s="1"/>
  <c r="J313" i="22"/>
  <c r="N313" i="22" s="1"/>
  <c r="J314" i="22"/>
  <c r="N314" i="22" s="1"/>
  <c r="J315" i="22"/>
  <c r="N315" i="22" s="1"/>
  <c r="J316" i="22"/>
  <c r="N316" i="22" s="1"/>
  <c r="J317" i="22"/>
  <c r="N317" i="22" s="1"/>
  <c r="J318" i="22"/>
  <c r="N318" i="22" s="1"/>
  <c r="J319" i="22"/>
  <c r="N319" i="22" s="1"/>
  <c r="J320" i="22"/>
  <c r="N320" i="22" s="1"/>
  <c r="J321" i="22"/>
  <c r="N321" i="22" s="1"/>
  <c r="J322" i="22"/>
  <c r="N322" i="22" s="1"/>
  <c r="J323" i="22"/>
  <c r="N323" i="22" s="1"/>
  <c r="J324" i="22"/>
  <c r="N324" i="22" s="1"/>
  <c r="J325" i="22"/>
  <c r="N325" i="22" s="1"/>
  <c r="J326" i="22"/>
  <c r="N326" i="22" s="1"/>
  <c r="J327" i="22"/>
  <c r="N327" i="22" s="1"/>
  <c r="J328" i="22"/>
  <c r="N328" i="22" s="1"/>
  <c r="J329" i="22"/>
  <c r="N329" i="22" s="1"/>
  <c r="J330" i="22"/>
  <c r="N330" i="22" s="1"/>
  <c r="J331" i="22"/>
  <c r="N331" i="22" s="1"/>
  <c r="J332" i="22"/>
  <c r="N332" i="22" s="1"/>
  <c r="J333" i="22"/>
  <c r="N333" i="22" s="1"/>
  <c r="J334" i="22"/>
  <c r="N334" i="22" s="1"/>
  <c r="J335" i="22"/>
  <c r="N335" i="22" s="1"/>
  <c r="J336" i="22"/>
  <c r="N336" i="22" s="1"/>
  <c r="J337" i="22"/>
  <c r="N337" i="22" s="1"/>
  <c r="J338" i="22"/>
  <c r="N338" i="22" s="1"/>
  <c r="J339" i="22"/>
  <c r="N339" i="22" s="1"/>
  <c r="J340" i="22"/>
  <c r="N340" i="22" s="1"/>
  <c r="J341" i="22"/>
  <c r="N341" i="22" s="1"/>
  <c r="J342" i="22"/>
  <c r="N342" i="22" s="1"/>
  <c r="J343" i="22"/>
  <c r="N343" i="22" s="1"/>
  <c r="J344" i="22"/>
  <c r="N344" i="22" s="1"/>
  <c r="J345" i="22"/>
  <c r="N345" i="22" s="1"/>
  <c r="J346" i="22"/>
  <c r="N346" i="22" s="1"/>
  <c r="J347" i="22"/>
  <c r="N347" i="22" s="1"/>
  <c r="J348" i="22"/>
  <c r="N348" i="22" s="1"/>
  <c r="J349" i="22"/>
  <c r="N349" i="22" s="1"/>
  <c r="J350" i="22"/>
  <c r="N350" i="22" s="1"/>
  <c r="J351" i="22"/>
  <c r="N351" i="22" s="1"/>
  <c r="J352" i="22"/>
  <c r="N352" i="22" s="1"/>
  <c r="J353" i="22"/>
  <c r="N353" i="22" s="1"/>
  <c r="J354" i="22"/>
  <c r="J355" i="22"/>
  <c r="N355" i="22" s="1"/>
  <c r="J356" i="22"/>
  <c r="N356" i="22" s="1"/>
  <c r="J357" i="22"/>
  <c r="N357" i="22" s="1"/>
  <c r="J358" i="22"/>
  <c r="N358" i="22" s="1"/>
  <c r="J359" i="22"/>
  <c r="N359" i="22" s="1"/>
  <c r="J360" i="22"/>
  <c r="N360" i="22" s="1"/>
  <c r="J361" i="22"/>
  <c r="N361" i="22" s="1"/>
  <c r="J362" i="22"/>
  <c r="N362" i="22" s="1"/>
  <c r="J363" i="22"/>
  <c r="N363" i="22" s="1"/>
  <c r="J364" i="22"/>
  <c r="N364" i="22" s="1"/>
  <c r="J365" i="22"/>
  <c r="N365" i="22" s="1"/>
  <c r="J366" i="22"/>
  <c r="N366" i="22" s="1"/>
  <c r="J367" i="22"/>
  <c r="N367" i="22" s="1"/>
  <c r="J368" i="22"/>
  <c r="N368" i="22" s="1"/>
  <c r="J369" i="22"/>
  <c r="N369" i="22" s="1"/>
  <c r="J370" i="22"/>
  <c r="J371" i="22"/>
  <c r="N371" i="22" s="1"/>
  <c r="J372" i="22"/>
  <c r="N372" i="22" s="1"/>
  <c r="J373" i="22"/>
  <c r="N373" i="22" s="1"/>
  <c r="J374" i="22"/>
  <c r="N374" i="22" s="1"/>
  <c r="J375" i="22"/>
  <c r="N375" i="22" s="1"/>
  <c r="J376" i="22"/>
  <c r="N376" i="22" s="1"/>
  <c r="J377" i="22"/>
  <c r="N377" i="22" s="1"/>
  <c r="J378" i="22"/>
  <c r="N378" i="22" s="1"/>
  <c r="J379" i="22"/>
  <c r="N379" i="22" s="1"/>
  <c r="J380" i="22"/>
  <c r="N380" i="22" s="1"/>
  <c r="J381" i="22"/>
  <c r="N381" i="22" s="1"/>
  <c r="J382" i="22"/>
  <c r="N382" i="22" s="1"/>
  <c r="J383" i="22"/>
  <c r="N383" i="22" s="1"/>
  <c r="J384" i="22"/>
  <c r="N384" i="22" s="1"/>
  <c r="J385" i="22"/>
  <c r="N385" i="22" s="1"/>
  <c r="J386" i="22"/>
  <c r="J387" i="22"/>
  <c r="N387" i="22" s="1"/>
  <c r="J388" i="22"/>
  <c r="N388" i="22" s="1"/>
  <c r="J389" i="22"/>
  <c r="N389" i="22" s="1"/>
  <c r="J390" i="22"/>
  <c r="N390" i="22" s="1"/>
  <c r="J391" i="22"/>
  <c r="N391" i="22" s="1"/>
  <c r="J392" i="22"/>
  <c r="N392" i="22" s="1"/>
  <c r="J393" i="22"/>
  <c r="N393" i="22" s="1"/>
  <c r="J394" i="22"/>
  <c r="N394" i="22" s="1"/>
  <c r="J395" i="22"/>
  <c r="N395" i="22" s="1"/>
  <c r="J396" i="22"/>
  <c r="N396" i="22" s="1"/>
  <c r="J397" i="22"/>
  <c r="N397" i="22" s="1"/>
  <c r="J398" i="22"/>
  <c r="N398" i="22" s="1"/>
  <c r="J399" i="22"/>
  <c r="N399" i="22" s="1"/>
  <c r="J400" i="22"/>
  <c r="N400" i="22" s="1"/>
  <c r="J401" i="22"/>
  <c r="N401" i="22" s="1"/>
  <c r="J402" i="22"/>
  <c r="J403" i="22"/>
  <c r="N403" i="22" s="1"/>
  <c r="J404" i="22"/>
  <c r="N404" i="22" s="1"/>
  <c r="J405" i="22"/>
  <c r="N405" i="22" s="1"/>
  <c r="J406" i="22"/>
  <c r="N406" i="22" s="1"/>
  <c r="J407" i="22"/>
  <c r="N407" i="22" s="1"/>
  <c r="J408" i="22"/>
  <c r="N408" i="22" s="1"/>
  <c r="J409" i="22"/>
  <c r="N409" i="22" s="1"/>
  <c r="J410" i="22"/>
  <c r="N410" i="22" s="1"/>
  <c r="J411" i="22"/>
  <c r="N411" i="22" s="1"/>
  <c r="J412" i="22"/>
  <c r="N412" i="22" s="1"/>
  <c r="J413" i="22"/>
  <c r="N413" i="22" s="1"/>
  <c r="J414" i="22"/>
  <c r="N414" i="22" s="1"/>
  <c r="J415" i="22"/>
  <c r="N415" i="22" s="1"/>
  <c r="J416" i="22"/>
  <c r="N416" i="22" s="1"/>
  <c r="J417" i="22"/>
  <c r="N417" i="22" s="1"/>
  <c r="J418" i="22"/>
  <c r="J419" i="22"/>
  <c r="N419" i="22" s="1"/>
  <c r="J420" i="22"/>
  <c r="N420" i="22" s="1"/>
  <c r="J421" i="22"/>
  <c r="N421" i="22" s="1"/>
  <c r="J422" i="22"/>
  <c r="N422" i="22" s="1"/>
  <c r="J423" i="22"/>
  <c r="N423" i="22" s="1"/>
  <c r="J424" i="22"/>
  <c r="N424" i="22" s="1"/>
  <c r="J425" i="22"/>
  <c r="N425" i="22" s="1"/>
  <c r="J426" i="22"/>
  <c r="N426" i="22" s="1"/>
  <c r="J427" i="22"/>
  <c r="N427" i="22" s="1"/>
  <c r="J428" i="22"/>
  <c r="N428" i="22" s="1"/>
  <c r="J429" i="22"/>
  <c r="N429" i="22" s="1"/>
  <c r="J430" i="22"/>
  <c r="N430" i="22" s="1"/>
  <c r="J431" i="22"/>
  <c r="N431" i="22" s="1"/>
  <c r="J432" i="22"/>
  <c r="N432" i="22" s="1"/>
  <c r="J433" i="22"/>
  <c r="N433" i="22" s="1"/>
  <c r="J434" i="22"/>
  <c r="J435" i="22"/>
  <c r="N435" i="22" s="1"/>
  <c r="J436" i="22"/>
  <c r="N436" i="22" s="1"/>
  <c r="J437" i="22"/>
  <c r="N437" i="22" s="1"/>
  <c r="J438" i="22"/>
  <c r="N438" i="22" s="1"/>
  <c r="J439" i="22"/>
  <c r="N439" i="22" s="1"/>
  <c r="J440" i="22"/>
  <c r="N440" i="22" s="1"/>
  <c r="J441" i="22"/>
  <c r="N441" i="22" s="1"/>
  <c r="J442" i="22"/>
  <c r="N442" i="22" s="1"/>
  <c r="J443" i="22"/>
  <c r="N443" i="22" s="1"/>
  <c r="J444" i="22"/>
  <c r="N444" i="22" s="1"/>
  <c r="J445" i="22"/>
  <c r="N445" i="22" s="1"/>
  <c r="J446" i="22"/>
  <c r="N446" i="22" s="1"/>
  <c r="J447" i="22"/>
  <c r="N447" i="22" s="1"/>
  <c r="J448" i="22"/>
  <c r="N448" i="22" s="1"/>
  <c r="J449" i="22"/>
  <c r="N449" i="22" s="1"/>
  <c r="J450" i="22"/>
  <c r="J451" i="22"/>
  <c r="N451" i="22" s="1"/>
  <c r="J452" i="22"/>
  <c r="N452" i="22" s="1"/>
  <c r="J453" i="22"/>
  <c r="N453" i="22" s="1"/>
  <c r="J454" i="22"/>
  <c r="N454" i="22" s="1"/>
  <c r="J455" i="22"/>
  <c r="N455" i="22" s="1"/>
  <c r="J456" i="22"/>
  <c r="N456" i="22" s="1"/>
  <c r="J457" i="22"/>
  <c r="N457" i="22" s="1"/>
  <c r="J458" i="22"/>
  <c r="N458" i="22" s="1"/>
  <c r="J459" i="22"/>
  <c r="N459" i="22" s="1"/>
  <c r="J460" i="22"/>
  <c r="N460" i="22" s="1"/>
  <c r="J461" i="22"/>
  <c r="N461" i="22" s="1"/>
  <c r="J462" i="22"/>
  <c r="N462" i="22" s="1"/>
  <c r="J463" i="22"/>
  <c r="N463" i="22" s="1"/>
  <c r="J464" i="22"/>
  <c r="N464" i="22" s="1"/>
  <c r="J465" i="22"/>
  <c r="N465" i="22" s="1"/>
  <c r="J466" i="22"/>
  <c r="J467" i="22"/>
  <c r="N467" i="22" s="1"/>
  <c r="J468" i="22"/>
  <c r="N468" i="22" s="1"/>
  <c r="J469" i="22"/>
  <c r="N469" i="22" s="1"/>
  <c r="J470" i="22"/>
  <c r="N470" i="22" s="1"/>
  <c r="J471" i="22"/>
  <c r="N471" i="22" s="1"/>
  <c r="J472" i="22"/>
  <c r="N472" i="22" s="1"/>
  <c r="J473" i="22"/>
  <c r="N473" i="22" s="1"/>
  <c r="J474" i="22"/>
  <c r="N474" i="22" s="1"/>
  <c r="J475" i="22"/>
  <c r="N475" i="22" s="1"/>
  <c r="J476" i="22"/>
  <c r="N476" i="22" s="1"/>
  <c r="J477" i="22"/>
  <c r="N477" i="22" s="1"/>
  <c r="J478" i="22"/>
  <c r="N478" i="22" s="1"/>
  <c r="J479" i="22"/>
  <c r="N479" i="22" s="1"/>
  <c r="J480" i="22"/>
  <c r="N480" i="22" s="1"/>
  <c r="J481" i="22"/>
  <c r="N481" i="22" s="1"/>
  <c r="J482" i="22"/>
  <c r="J483" i="22"/>
  <c r="N483" i="22" s="1"/>
  <c r="J484" i="22"/>
  <c r="N484" i="22" s="1"/>
  <c r="J485" i="22"/>
  <c r="N485" i="22" s="1"/>
  <c r="J486" i="22"/>
  <c r="N486" i="22" s="1"/>
  <c r="J487" i="22"/>
  <c r="N487" i="22" s="1"/>
  <c r="J488" i="22"/>
  <c r="N488" i="22" s="1"/>
  <c r="J489" i="22"/>
  <c r="N489" i="22" s="1"/>
  <c r="J490" i="22"/>
  <c r="N490" i="22" s="1"/>
  <c r="J491" i="22"/>
  <c r="N491" i="22" s="1"/>
  <c r="J492" i="22"/>
  <c r="N492" i="22" s="1"/>
  <c r="J493" i="22"/>
  <c r="N493" i="22" s="1"/>
  <c r="J494" i="22"/>
  <c r="N494" i="22" s="1"/>
  <c r="J495" i="22"/>
  <c r="N495" i="22" s="1"/>
  <c r="J496" i="22"/>
  <c r="N496" i="22" s="1"/>
  <c r="J497" i="22"/>
  <c r="N497" i="22" s="1"/>
  <c r="J498" i="22"/>
  <c r="J499" i="22"/>
  <c r="N499" i="22" s="1"/>
  <c r="J500" i="22"/>
  <c r="N500" i="22" s="1"/>
  <c r="J501" i="22"/>
  <c r="N501" i="22" s="1"/>
  <c r="J502" i="22"/>
  <c r="N502" i="22" s="1"/>
  <c r="J503" i="22"/>
  <c r="N503" i="22" s="1"/>
  <c r="J504" i="22"/>
  <c r="N504" i="22" s="1"/>
  <c r="J505" i="22"/>
  <c r="N505" i="22" s="1"/>
  <c r="J506" i="22"/>
  <c r="N506" i="22" s="1"/>
  <c r="J507" i="22"/>
  <c r="N507" i="22" s="1"/>
  <c r="J508" i="22"/>
  <c r="N508" i="22" s="1"/>
  <c r="J509" i="22"/>
  <c r="N509" i="22" s="1"/>
  <c r="J510" i="22"/>
  <c r="N510" i="22" s="1"/>
  <c r="J511" i="22"/>
  <c r="N511" i="22" s="1"/>
  <c r="J512" i="22"/>
  <c r="N512" i="22" s="1"/>
  <c r="J513" i="22"/>
  <c r="N513" i="22" s="1"/>
  <c r="J514" i="22"/>
  <c r="J515" i="22"/>
  <c r="N515" i="22" s="1"/>
  <c r="J516" i="22"/>
  <c r="N516" i="22" s="1"/>
  <c r="J517" i="22"/>
  <c r="N517" i="22" s="1"/>
  <c r="J518" i="22"/>
  <c r="N518" i="22" s="1"/>
  <c r="J519" i="22"/>
  <c r="N519" i="22" s="1"/>
  <c r="J520" i="22"/>
  <c r="N520" i="22" s="1"/>
  <c r="J521" i="22"/>
  <c r="N521" i="22" s="1"/>
  <c r="J522" i="22"/>
  <c r="N522" i="22" s="1"/>
  <c r="J523" i="22"/>
  <c r="N523" i="22" s="1"/>
  <c r="J524" i="22"/>
  <c r="N524" i="22" s="1"/>
  <c r="J525" i="22"/>
  <c r="N525" i="22" s="1"/>
  <c r="J526" i="22"/>
  <c r="N526" i="22" s="1"/>
  <c r="J527" i="22"/>
  <c r="N527" i="22" s="1"/>
  <c r="J528" i="22"/>
  <c r="N528" i="22" s="1"/>
  <c r="J529" i="22"/>
  <c r="N529" i="22" s="1"/>
  <c r="J530" i="22"/>
  <c r="J531" i="22"/>
  <c r="N531" i="22" s="1"/>
  <c r="J532" i="22"/>
  <c r="N532" i="22" s="1"/>
  <c r="J533" i="22"/>
  <c r="N533" i="22" s="1"/>
  <c r="J534" i="22"/>
  <c r="N534" i="22" s="1"/>
  <c r="J535" i="22"/>
  <c r="N535" i="22" s="1"/>
  <c r="J536" i="22"/>
  <c r="N536" i="22" s="1"/>
  <c r="J537" i="22"/>
  <c r="N537" i="22" s="1"/>
  <c r="J538" i="22"/>
  <c r="N538" i="22" s="1"/>
  <c r="J539" i="22"/>
  <c r="N539" i="22" s="1"/>
  <c r="J540" i="22"/>
  <c r="N540" i="22" s="1"/>
  <c r="J541" i="22"/>
  <c r="N541" i="22" s="1"/>
  <c r="J542" i="22"/>
  <c r="N542" i="22" s="1"/>
  <c r="J543" i="22"/>
  <c r="N543" i="22" s="1"/>
  <c r="J544" i="22"/>
  <c r="N544" i="22" s="1"/>
  <c r="J545" i="22"/>
  <c r="N545" i="22" s="1"/>
  <c r="J546" i="22"/>
  <c r="J547" i="22"/>
  <c r="N547" i="22" s="1"/>
  <c r="J548" i="22"/>
  <c r="N548" i="22" s="1"/>
  <c r="J549" i="22"/>
  <c r="N549" i="22" s="1"/>
  <c r="J550" i="22"/>
  <c r="N550" i="22" s="1"/>
  <c r="J551" i="22"/>
  <c r="N551" i="22" s="1"/>
  <c r="J552" i="22"/>
  <c r="N552" i="22" s="1"/>
  <c r="J553" i="22"/>
  <c r="N553" i="22" s="1"/>
  <c r="J554" i="22"/>
  <c r="N554" i="22" s="1"/>
  <c r="J555" i="22"/>
  <c r="N555" i="22" s="1"/>
  <c r="J556" i="22"/>
  <c r="N556" i="22" s="1"/>
  <c r="J557" i="22"/>
  <c r="N557" i="22" s="1"/>
  <c r="J558" i="22"/>
  <c r="N558" i="22" s="1"/>
  <c r="J559" i="22"/>
  <c r="N559" i="22" s="1"/>
  <c r="J560" i="22"/>
  <c r="N560" i="22" s="1"/>
  <c r="J561" i="22"/>
  <c r="N561" i="22" s="1"/>
  <c r="J562" i="22"/>
  <c r="J563" i="22"/>
  <c r="N563" i="22" s="1"/>
  <c r="J564" i="22"/>
  <c r="N564" i="22" s="1"/>
  <c r="J565" i="22"/>
  <c r="N565" i="22" s="1"/>
  <c r="J566" i="22"/>
  <c r="N566" i="22" s="1"/>
  <c r="J567" i="22"/>
  <c r="N567" i="22" s="1"/>
  <c r="J568" i="22"/>
  <c r="N568" i="22" s="1"/>
  <c r="J569" i="22"/>
  <c r="N569" i="22" s="1"/>
  <c r="J570" i="22"/>
  <c r="N570" i="22" s="1"/>
  <c r="J571" i="22"/>
  <c r="N571" i="22" s="1"/>
  <c r="J572" i="22"/>
  <c r="N572" i="22" s="1"/>
  <c r="J573" i="22"/>
  <c r="N573" i="22" s="1"/>
  <c r="J574" i="22"/>
  <c r="N574" i="22" s="1"/>
  <c r="J575" i="22"/>
  <c r="N575" i="22" s="1"/>
  <c r="J576" i="22"/>
  <c r="N576" i="22" s="1"/>
  <c r="J577" i="22"/>
  <c r="N577" i="22" s="1"/>
  <c r="J578" i="22"/>
  <c r="J579" i="22"/>
  <c r="N579" i="22" s="1"/>
  <c r="J580" i="22"/>
  <c r="N580" i="22" s="1"/>
  <c r="J581" i="22"/>
  <c r="N581" i="22" s="1"/>
  <c r="J582" i="22"/>
  <c r="N582" i="22" s="1"/>
  <c r="J583" i="22"/>
  <c r="N583" i="22" s="1"/>
  <c r="J584" i="22"/>
  <c r="N584" i="22" s="1"/>
  <c r="J585" i="22"/>
  <c r="N585" i="22" s="1"/>
  <c r="J586" i="22"/>
  <c r="N586" i="22" s="1"/>
  <c r="J587" i="22"/>
  <c r="N587" i="22" s="1"/>
  <c r="J588" i="22"/>
  <c r="N588" i="22" s="1"/>
  <c r="J589" i="22"/>
  <c r="N589" i="22" s="1"/>
  <c r="J590" i="22"/>
  <c r="N590" i="22" s="1"/>
  <c r="J591" i="22"/>
  <c r="N591" i="22" s="1"/>
  <c r="J592" i="22"/>
  <c r="N592" i="22" s="1"/>
  <c r="J593" i="22"/>
  <c r="N593" i="22" s="1"/>
  <c r="J594" i="22"/>
  <c r="J595" i="22"/>
  <c r="N595" i="22" s="1"/>
  <c r="J596" i="22"/>
  <c r="N596" i="22" s="1"/>
  <c r="J597" i="22"/>
  <c r="N597" i="22" s="1"/>
  <c r="J598" i="22"/>
  <c r="N598" i="22" s="1"/>
  <c r="J599" i="22"/>
  <c r="N599" i="22" s="1"/>
  <c r="J600" i="22"/>
  <c r="N600" i="22" s="1"/>
  <c r="J601" i="22"/>
  <c r="N601" i="22" s="1"/>
  <c r="J602" i="22"/>
  <c r="N602" i="22" s="1"/>
  <c r="J603" i="22"/>
  <c r="N603" i="22" s="1"/>
  <c r="J604" i="22"/>
  <c r="N604" i="22" s="1"/>
  <c r="J605" i="22"/>
  <c r="N605" i="22" s="1"/>
  <c r="J606" i="22"/>
  <c r="N606" i="22" s="1"/>
  <c r="J607" i="22"/>
  <c r="N607" i="22" s="1"/>
  <c r="J608" i="22"/>
  <c r="N608" i="22" s="1"/>
  <c r="J609" i="22"/>
  <c r="N609" i="22" s="1"/>
  <c r="J610" i="22"/>
  <c r="J611" i="22"/>
  <c r="N611" i="22" s="1"/>
  <c r="J612" i="22"/>
  <c r="N612" i="22" s="1"/>
  <c r="J613" i="22"/>
  <c r="N613" i="22" s="1"/>
  <c r="J614" i="22"/>
  <c r="N614" i="22" s="1"/>
  <c r="J615" i="22"/>
  <c r="N615" i="22" s="1"/>
  <c r="J616" i="22"/>
  <c r="N616" i="22" s="1"/>
  <c r="J617" i="22"/>
  <c r="N617" i="22" s="1"/>
  <c r="J618" i="22"/>
  <c r="N618" i="22" s="1"/>
  <c r="J619" i="22"/>
  <c r="N619" i="22" s="1"/>
  <c r="J620" i="22"/>
  <c r="N620" i="22" s="1"/>
  <c r="J621" i="22"/>
  <c r="N621" i="22" s="1"/>
  <c r="J622" i="22"/>
  <c r="N622" i="22" s="1"/>
  <c r="J623" i="22"/>
  <c r="N623" i="22" s="1"/>
  <c r="J624" i="22"/>
  <c r="N624" i="22" s="1"/>
  <c r="J625" i="22"/>
  <c r="N625" i="22" s="1"/>
  <c r="J626" i="22"/>
  <c r="J627" i="22"/>
  <c r="N627" i="22" s="1"/>
  <c r="J628" i="22"/>
  <c r="N628" i="22" s="1"/>
  <c r="J629" i="22"/>
  <c r="N629" i="22" s="1"/>
  <c r="J630" i="22"/>
  <c r="N630" i="22" s="1"/>
  <c r="J631" i="22"/>
  <c r="N631" i="22" s="1"/>
  <c r="J632" i="22"/>
  <c r="N632" i="22" s="1"/>
  <c r="J633" i="22"/>
  <c r="N633" i="22" s="1"/>
  <c r="J634" i="22"/>
  <c r="N634" i="22" s="1"/>
  <c r="J635" i="22"/>
  <c r="N635" i="22" s="1"/>
  <c r="J636" i="22"/>
  <c r="N636" i="22" s="1"/>
  <c r="J637" i="22"/>
  <c r="N637" i="22" s="1"/>
  <c r="J638" i="22"/>
  <c r="N638" i="22" s="1"/>
  <c r="J639" i="22"/>
  <c r="N639" i="22" s="1"/>
  <c r="J640" i="22"/>
  <c r="N640" i="22" s="1"/>
  <c r="I2" i="22"/>
  <c r="I3" i="22"/>
  <c r="I4" i="22"/>
  <c r="I5" i="22"/>
  <c r="I6" i="22"/>
  <c r="I7" i="22"/>
  <c r="I8" i="22"/>
  <c r="I9" i="22"/>
  <c r="I10" i="22"/>
  <c r="I11" i="22"/>
  <c r="I12" i="22"/>
  <c r="I13" i="22"/>
  <c r="I14" i="22"/>
  <c r="I15" i="22"/>
  <c r="I16" i="22"/>
  <c r="I17" i="22"/>
  <c r="I18" i="22"/>
  <c r="I19" i="22"/>
  <c r="I20" i="22"/>
  <c r="I21" i="22"/>
  <c r="I22" i="22"/>
  <c r="I23" i="22"/>
  <c r="I24" i="22"/>
  <c r="I25" i="22"/>
  <c r="I26" i="22"/>
  <c r="I27" i="22"/>
  <c r="I28" i="22"/>
  <c r="I29" i="22"/>
  <c r="I30" i="22"/>
  <c r="I31" i="22"/>
  <c r="I32" i="22"/>
  <c r="I33" i="22"/>
  <c r="I34" i="22"/>
  <c r="I35" i="22"/>
  <c r="I36" i="22"/>
  <c r="I37" i="22"/>
  <c r="I38" i="22"/>
  <c r="I39" i="22"/>
  <c r="I40" i="22"/>
  <c r="I41" i="22"/>
  <c r="I42" i="22"/>
  <c r="I43" i="22"/>
  <c r="I44" i="22"/>
  <c r="I45" i="22"/>
  <c r="I46" i="22"/>
  <c r="I47" i="22"/>
  <c r="I48" i="22"/>
  <c r="I49" i="22"/>
  <c r="I50" i="22"/>
  <c r="I51" i="22"/>
  <c r="I52" i="22"/>
  <c r="I53" i="22"/>
  <c r="I54" i="22"/>
  <c r="I55" i="22"/>
  <c r="I56" i="22"/>
  <c r="I57" i="22"/>
  <c r="I58" i="22"/>
  <c r="I59" i="22"/>
  <c r="I60" i="22"/>
  <c r="I61" i="22"/>
  <c r="I62" i="22"/>
  <c r="I63" i="22"/>
  <c r="I64" i="22"/>
  <c r="I65" i="22"/>
  <c r="I66" i="22"/>
  <c r="I67" i="22"/>
  <c r="I68" i="22"/>
  <c r="I69" i="22"/>
  <c r="I70" i="22"/>
  <c r="I71" i="22"/>
  <c r="I72" i="22"/>
  <c r="I73" i="22"/>
  <c r="I74" i="22"/>
  <c r="I75" i="22"/>
  <c r="I76" i="22"/>
  <c r="I77" i="22"/>
  <c r="I78" i="22"/>
  <c r="I79" i="22"/>
  <c r="I80" i="22"/>
  <c r="I81" i="22"/>
  <c r="I82" i="22"/>
  <c r="I83" i="22"/>
  <c r="I84" i="22"/>
  <c r="I85" i="22"/>
  <c r="I86" i="22"/>
  <c r="I87" i="22"/>
  <c r="I88" i="22"/>
  <c r="I89" i="22"/>
  <c r="I90" i="22"/>
  <c r="I91" i="22"/>
  <c r="I92" i="22"/>
  <c r="I93" i="22"/>
  <c r="I94" i="22"/>
  <c r="I95" i="22"/>
  <c r="I96" i="22"/>
  <c r="I97" i="22"/>
  <c r="I98" i="22"/>
  <c r="I99" i="22"/>
  <c r="I100" i="22"/>
  <c r="I101" i="22"/>
  <c r="I102" i="22"/>
  <c r="I103" i="22"/>
  <c r="I104" i="22"/>
  <c r="I105" i="22"/>
  <c r="I106" i="22"/>
  <c r="I107" i="22"/>
  <c r="I108" i="22"/>
  <c r="I109" i="22"/>
  <c r="I110" i="22"/>
  <c r="I111" i="22"/>
  <c r="I112" i="22"/>
  <c r="I113" i="22"/>
  <c r="I114" i="22"/>
  <c r="I115" i="22"/>
  <c r="I116" i="22"/>
  <c r="I117" i="22"/>
  <c r="I118" i="22"/>
  <c r="I119" i="22"/>
  <c r="I120" i="22"/>
  <c r="I121" i="22"/>
  <c r="I122" i="22"/>
  <c r="I123" i="22"/>
  <c r="I124" i="22"/>
  <c r="I125" i="22"/>
  <c r="I126" i="22"/>
  <c r="I127" i="22"/>
  <c r="I128" i="22"/>
  <c r="I129" i="22"/>
  <c r="I130" i="22"/>
  <c r="I131" i="22"/>
  <c r="I132" i="22"/>
  <c r="I133" i="22"/>
  <c r="I134" i="22"/>
  <c r="I135" i="22"/>
  <c r="I136" i="22"/>
  <c r="I137" i="22"/>
  <c r="I138" i="22"/>
  <c r="I139" i="22"/>
  <c r="I140" i="22"/>
  <c r="I141" i="22"/>
  <c r="I142" i="22"/>
  <c r="I143" i="22"/>
  <c r="I144" i="22"/>
  <c r="I145" i="22"/>
  <c r="I146" i="22"/>
  <c r="I147" i="22"/>
  <c r="I148" i="22"/>
  <c r="I149" i="22"/>
  <c r="I150" i="22"/>
  <c r="I151" i="22"/>
  <c r="I152" i="22"/>
  <c r="I153" i="22"/>
  <c r="I154" i="22"/>
  <c r="I155" i="22"/>
  <c r="I156" i="22"/>
  <c r="I157" i="22"/>
  <c r="I158" i="22"/>
  <c r="I159" i="22"/>
  <c r="I160" i="22"/>
  <c r="I161" i="22"/>
  <c r="I162" i="22"/>
  <c r="I163" i="22"/>
  <c r="I164" i="22"/>
  <c r="I165" i="22"/>
  <c r="I166" i="22"/>
  <c r="I167" i="22"/>
  <c r="I168" i="22"/>
  <c r="I169" i="22"/>
  <c r="I170" i="22"/>
  <c r="I171" i="22"/>
  <c r="I172" i="22"/>
  <c r="I173" i="22"/>
  <c r="I174" i="22"/>
  <c r="I175" i="22"/>
  <c r="I176" i="22"/>
  <c r="I177" i="22"/>
  <c r="I178" i="22"/>
  <c r="I179" i="22"/>
  <c r="I180" i="22"/>
  <c r="I181" i="22"/>
  <c r="I182" i="22"/>
  <c r="I183" i="22"/>
  <c r="I184" i="22"/>
  <c r="I185" i="22"/>
  <c r="I186" i="22"/>
  <c r="I187" i="22"/>
  <c r="I188" i="22"/>
  <c r="I189" i="22"/>
  <c r="I190" i="22"/>
  <c r="I191" i="22"/>
  <c r="I192" i="22"/>
  <c r="I193" i="22"/>
  <c r="I194" i="22"/>
  <c r="I195" i="22"/>
  <c r="I196" i="22"/>
  <c r="I197" i="22"/>
  <c r="I198" i="22"/>
  <c r="I199" i="22"/>
  <c r="I200" i="22"/>
  <c r="I201" i="22"/>
  <c r="I202" i="22"/>
  <c r="I203" i="22"/>
  <c r="I204" i="22"/>
  <c r="I205" i="22"/>
  <c r="I206" i="22"/>
  <c r="I207" i="22"/>
  <c r="I208" i="22"/>
  <c r="I209" i="22"/>
  <c r="I210" i="22"/>
  <c r="I211" i="22"/>
  <c r="I212" i="22"/>
  <c r="I213" i="22"/>
  <c r="I214" i="22"/>
  <c r="I215" i="22"/>
  <c r="I216" i="22"/>
  <c r="I217" i="22"/>
  <c r="I218" i="22"/>
  <c r="I219" i="22"/>
  <c r="I220" i="22"/>
  <c r="I221" i="22"/>
  <c r="I222" i="22"/>
  <c r="I223" i="22"/>
  <c r="I224" i="22"/>
  <c r="I225" i="22"/>
  <c r="I226" i="22"/>
  <c r="I227" i="22"/>
  <c r="I228" i="22"/>
  <c r="I229" i="22"/>
  <c r="I230" i="22"/>
  <c r="I231" i="22"/>
  <c r="I232" i="22"/>
  <c r="I233" i="22"/>
  <c r="I234" i="22"/>
  <c r="I235" i="22"/>
  <c r="I236" i="22"/>
  <c r="I237" i="22"/>
  <c r="I238" i="22"/>
  <c r="I239" i="22"/>
  <c r="I240" i="22"/>
  <c r="I241" i="22"/>
  <c r="I242" i="22"/>
  <c r="I243" i="22"/>
  <c r="I244" i="22"/>
  <c r="I245" i="22"/>
  <c r="I246" i="22"/>
  <c r="I247" i="22"/>
  <c r="I248" i="22"/>
  <c r="I249" i="22"/>
  <c r="I250" i="22"/>
  <c r="I251" i="22"/>
  <c r="I252" i="22"/>
  <c r="I253" i="22"/>
  <c r="I254" i="22"/>
  <c r="I255" i="22"/>
  <c r="I256" i="22"/>
  <c r="I257" i="22"/>
  <c r="I258" i="22"/>
  <c r="I259" i="22"/>
  <c r="I260" i="22"/>
  <c r="I261" i="22"/>
  <c r="I262" i="22"/>
  <c r="I263" i="22"/>
  <c r="I264" i="22"/>
  <c r="I265" i="22"/>
  <c r="I266" i="22"/>
  <c r="I267" i="22"/>
  <c r="I268" i="22"/>
  <c r="I269" i="22"/>
  <c r="I270" i="22"/>
  <c r="I271" i="22"/>
  <c r="I272" i="22"/>
  <c r="I273" i="22"/>
  <c r="I274" i="22"/>
  <c r="I275" i="22"/>
  <c r="I276" i="22"/>
  <c r="I277" i="22"/>
  <c r="I278" i="22"/>
  <c r="I279" i="22"/>
  <c r="I280" i="22"/>
  <c r="I281" i="22"/>
  <c r="I282" i="22"/>
  <c r="I283" i="22"/>
  <c r="I284" i="22"/>
  <c r="I285" i="22"/>
  <c r="I286" i="22"/>
  <c r="I287" i="22"/>
  <c r="I288" i="22"/>
  <c r="I289" i="22"/>
  <c r="I290" i="22"/>
  <c r="I291" i="22"/>
  <c r="I292" i="22"/>
  <c r="I293" i="22"/>
  <c r="I294" i="22"/>
  <c r="I295" i="22"/>
  <c r="I296" i="22"/>
  <c r="I297" i="22"/>
  <c r="I298" i="22"/>
  <c r="I299" i="22"/>
  <c r="I300" i="22"/>
  <c r="I301" i="22"/>
  <c r="I302" i="22"/>
  <c r="I303" i="22"/>
  <c r="I304" i="22"/>
  <c r="I305" i="22"/>
  <c r="I306" i="22"/>
  <c r="I307" i="22"/>
  <c r="I308" i="22"/>
  <c r="I309" i="22"/>
  <c r="I310" i="22"/>
  <c r="I311" i="22"/>
  <c r="I312" i="22"/>
  <c r="I313" i="22"/>
  <c r="I314" i="22"/>
  <c r="I315" i="22"/>
  <c r="I316" i="22"/>
  <c r="I317" i="22"/>
  <c r="I318" i="22"/>
  <c r="I319" i="22"/>
  <c r="I320" i="22"/>
  <c r="I321" i="22"/>
  <c r="I322" i="22"/>
  <c r="I323" i="22"/>
  <c r="I324" i="22"/>
  <c r="I325" i="22"/>
  <c r="I326" i="22"/>
  <c r="I327" i="22"/>
  <c r="I328" i="22"/>
  <c r="I329" i="22"/>
  <c r="I330" i="22"/>
  <c r="I331" i="22"/>
  <c r="I332" i="22"/>
  <c r="I333" i="22"/>
  <c r="I334" i="22"/>
  <c r="I335" i="22"/>
  <c r="I336" i="22"/>
  <c r="I337" i="22"/>
  <c r="I338" i="22"/>
  <c r="I339" i="22"/>
  <c r="I340" i="22"/>
  <c r="I341" i="22"/>
  <c r="I342" i="22"/>
  <c r="I343" i="22"/>
  <c r="I344" i="22"/>
  <c r="I345" i="22"/>
  <c r="I346" i="22"/>
  <c r="I347" i="22"/>
  <c r="I348" i="22"/>
  <c r="I349" i="22"/>
  <c r="I350" i="22"/>
  <c r="I351" i="22"/>
  <c r="I352" i="22"/>
  <c r="I353" i="22"/>
  <c r="I354" i="22"/>
  <c r="I355" i="22"/>
  <c r="I356" i="22"/>
  <c r="I357" i="22"/>
  <c r="I358" i="22"/>
  <c r="I359" i="22"/>
  <c r="I360" i="22"/>
  <c r="I361" i="22"/>
  <c r="I362" i="22"/>
  <c r="I363" i="22"/>
  <c r="I364" i="22"/>
  <c r="I365" i="22"/>
  <c r="I366" i="22"/>
  <c r="I367" i="22"/>
  <c r="I368" i="22"/>
  <c r="I369" i="22"/>
  <c r="I370" i="22"/>
  <c r="I371" i="22"/>
  <c r="I372" i="22"/>
  <c r="I373" i="22"/>
  <c r="I374" i="22"/>
  <c r="I375" i="22"/>
  <c r="I376" i="22"/>
  <c r="I377" i="22"/>
  <c r="I378" i="22"/>
  <c r="I379" i="22"/>
  <c r="I380" i="22"/>
  <c r="I381" i="22"/>
  <c r="I382" i="22"/>
  <c r="I383" i="22"/>
  <c r="I384" i="22"/>
  <c r="I385" i="22"/>
  <c r="I386" i="22"/>
  <c r="I387" i="22"/>
  <c r="I388" i="22"/>
  <c r="I389" i="22"/>
  <c r="I390" i="22"/>
  <c r="I391" i="22"/>
  <c r="I392" i="22"/>
  <c r="I393" i="22"/>
  <c r="I394" i="22"/>
  <c r="I395" i="22"/>
  <c r="I396" i="22"/>
  <c r="I397" i="22"/>
  <c r="I398" i="22"/>
  <c r="I399" i="22"/>
  <c r="I400" i="22"/>
  <c r="I401" i="22"/>
  <c r="I402" i="22"/>
  <c r="I403" i="22"/>
  <c r="I404" i="22"/>
  <c r="I405" i="22"/>
  <c r="I406" i="22"/>
  <c r="I407" i="22"/>
  <c r="I408" i="22"/>
  <c r="I409" i="22"/>
  <c r="I410" i="22"/>
  <c r="I411" i="22"/>
  <c r="I412" i="22"/>
  <c r="I413" i="22"/>
  <c r="I414" i="22"/>
  <c r="I415" i="22"/>
  <c r="I416" i="22"/>
  <c r="I417" i="22"/>
  <c r="I418" i="22"/>
  <c r="I419" i="22"/>
  <c r="I420" i="22"/>
  <c r="I421" i="22"/>
  <c r="I422" i="22"/>
  <c r="I423" i="22"/>
  <c r="I424" i="22"/>
  <c r="I425" i="22"/>
  <c r="I426" i="22"/>
  <c r="I427" i="22"/>
  <c r="I428" i="22"/>
  <c r="I429" i="22"/>
  <c r="I430" i="22"/>
  <c r="I431" i="22"/>
  <c r="I432" i="22"/>
  <c r="I433" i="22"/>
  <c r="I434" i="22"/>
  <c r="I435" i="22"/>
  <c r="I436" i="22"/>
  <c r="I437" i="22"/>
  <c r="I438" i="22"/>
  <c r="I439" i="22"/>
  <c r="I440" i="22"/>
  <c r="I441" i="22"/>
  <c r="I442" i="22"/>
  <c r="I443" i="22"/>
  <c r="I444" i="22"/>
  <c r="I445" i="22"/>
  <c r="I446" i="22"/>
  <c r="I447" i="22"/>
  <c r="I448" i="22"/>
  <c r="I449" i="22"/>
  <c r="I450" i="22"/>
  <c r="I451" i="22"/>
  <c r="I452" i="22"/>
  <c r="I453" i="22"/>
  <c r="I454" i="22"/>
  <c r="I455" i="22"/>
  <c r="I456" i="22"/>
  <c r="I457" i="22"/>
  <c r="I458" i="22"/>
  <c r="I459" i="22"/>
  <c r="I460" i="22"/>
  <c r="I461" i="22"/>
  <c r="I462" i="22"/>
  <c r="I463" i="22"/>
  <c r="I464" i="22"/>
  <c r="I465" i="22"/>
  <c r="I466" i="22"/>
  <c r="I467" i="22"/>
  <c r="I468" i="22"/>
  <c r="I469" i="22"/>
  <c r="I470" i="22"/>
  <c r="I471" i="22"/>
  <c r="I472" i="22"/>
  <c r="I473" i="22"/>
  <c r="I474" i="22"/>
  <c r="I475" i="22"/>
  <c r="I476" i="22"/>
  <c r="I477" i="22"/>
  <c r="I478" i="22"/>
  <c r="I479" i="22"/>
  <c r="I480" i="22"/>
  <c r="I481" i="22"/>
  <c r="I482" i="22"/>
  <c r="I483" i="22"/>
  <c r="I484" i="22"/>
  <c r="I485" i="22"/>
  <c r="I486" i="22"/>
  <c r="I487" i="22"/>
  <c r="I488" i="22"/>
  <c r="I489" i="22"/>
  <c r="I490" i="22"/>
  <c r="I491" i="22"/>
  <c r="I492" i="22"/>
  <c r="I493" i="22"/>
  <c r="I494" i="22"/>
  <c r="I495" i="22"/>
  <c r="I496" i="22"/>
  <c r="I497" i="22"/>
  <c r="I498" i="22"/>
  <c r="I499" i="22"/>
  <c r="I500" i="22"/>
  <c r="I501" i="22"/>
  <c r="I502" i="22"/>
  <c r="I503" i="22"/>
  <c r="I504" i="22"/>
  <c r="I505" i="22"/>
  <c r="I506" i="22"/>
  <c r="I507" i="22"/>
  <c r="I508" i="22"/>
  <c r="I509" i="22"/>
  <c r="I510" i="22"/>
  <c r="I511" i="22"/>
  <c r="I512" i="22"/>
  <c r="I513" i="22"/>
  <c r="I514" i="22"/>
  <c r="I515" i="22"/>
  <c r="I516" i="22"/>
  <c r="I517" i="22"/>
  <c r="I518" i="22"/>
  <c r="I519" i="22"/>
  <c r="I520" i="22"/>
  <c r="I521" i="22"/>
  <c r="I522" i="22"/>
  <c r="I523" i="22"/>
  <c r="I524" i="22"/>
  <c r="I525" i="22"/>
  <c r="I526" i="22"/>
  <c r="I527" i="22"/>
  <c r="I528" i="22"/>
  <c r="I529" i="22"/>
  <c r="I530" i="22"/>
  <c r="I531" i="22"/>
  <c r="I532" i="22"/>
  <c r="I533" i="22"/>
  <c r="I534" i="22"/>
  <c r="I535" i="22"/>
  <c r="I536" i="22"/>
  <c r="I537" i="22"/>
  <c r="I538" i="22"/>
  <c r="I539" i="22"/>
  <c r="I540" i="22"/>
  <c r="I541" i="22"/>
  <c r="I542" i="22"/>
  <c r="I543" i="22"/>
  <c r="I544" i="22"/>
  <c r="I545" i="22"/>
  <c r="I546" i="22"/>
  <c r="I547" i="22"/>
  <c r="I548" i="22"/>
  <c r="I549" i="22"/>
  <c r="I550" i="22"/>
  <c r="I551" i="22"/>
  <c r="I552" i="22"/>
  <c r="I553" i="22"/>
  <c r="I554" i="22"/>
  <c r="I555" i="22"/>
  <c r="I556" i="22"/>
  <c r="I557" i="22"/>
  <c r="I558" i="22"/>
  <c r="I559" i="22"/>
  <c r="I560" i="22"/>
  <c r="I561" i="22"/>
  <c r="I562" i="22"/>
  <c r="I563" i="22"/>
  <c r="I564" i="22"/>
  <c r="I565" i="22"/>
  <c r="I566" i="22"/>
  <c r="I567" i="22"/>
  <c r="I568" i="22"/>
  <c r="I569" i="22"/>
  <c r="I570" i="22"/>
  <c r="I571" i="22"/>
  <c r="I572" i="22"/>
  <c r="I573" i="22"/>
  <c r="I574" i="22"/>
  <c r="I575" i="22"/>
  <c r="I576" i="22"/>
  <c r="I577" i="22"/>
  <c r="I578" i="22"/>
  <c r="I579" i="22"/>
  <c r="I580" i="22"/>
  <c r="I581" i="22"/>
  <c r="I582" i="22"/>
  <c r="I583" i="22"/>
  <c r="I584" i="22"/>
  <c r="I585" i="22"/>
  <c r="I586" i="22"/>
  <c r="I587" i="22"/>
  <c r="I588" i="22"/>
  <c r="I589" i="22"/>
  <c r="I590" i="22"/>
  <c r="I591" i="22"/>
  <c r="I592" i="22"/>
  <c r="I593" i="22"/>
  <c r="I594" i="22"/>
  <c r="I595" i="22"/>
  <c r="I596" i="22"/>
  <c r="I597" i="22"/>
  <c r="I598" i="22"/>
  <c r="I599" i="22"/>
  <c r="I600" i="22"/>
  <c r="I601" i="22"/>
  <c r="I602" i="22"/>
  <c r="I603" i="22"/>
  <c r="I604" i="22"/>
  <c r="I605" i="22"/>
  <c r="I606" i="22"/>
  <c r="I607" i="22"/>
  <c r="I608" i="22"/>
  <c r="I609" i="22"/>
  <c r="I610" i="22"/>
  <c r="I611" i="22"/>
  <c r="I612" i="22"/>
  <c r="I613" i="22"/>
  <c r="I614" i="22"/>
  <c r="I615" i="22"/>
  <c r="I616" i="22"/>
  <c r="I617" i="22"/>
  <c r="I618" i="22"/>
  <c r="I619" i="22"/>
  <c r="I620" i="22"/>
  <c r="I621" i="22"/>
  <c r="I622" i="22"/>
  <c r="I623" i="22"/>
  <c r="I624" i="22"/>
  <c r="I625" i="22"/>
  <c r="I626" i="22"/>
  <c r="I627" i="22"/>
  <c r="I628" i="22"/>
  <c r="I629" i="22"/>
  <c r="I630" i="22"/>
  <c r="I631" i="22"/>
  <c r="I632" i="22"/>
  <c r="I633" i="22"/>
  <c r="I634" i="22"/>
  <c r="I635" i="22"/>
  <c r="I636" i="22"/>
  <c r="I637" i="22"/>
  <c r="I638" i="22"/>
  <c r="I639" i="22"/>
  <c r="I640" i="22"/>
  <c r="I5" i="18"/>
  <c r="I6" i="18"/>
  <c r="I7" i="18"/>
  <c r="I8" i="18"/>
  <c r="I9" i="18"/>
  <c r="I10" i="18"/>
  <c r="I11" i="18"/>
  <c r="I12" i="18"/>
  <c r="I13" i="18"/>
  <c r="I14" i="18"/>
  <c r="I15" i="18"/>
  <c r="I16" i="18"/>
  <c r="I17" i="18"/>
  <c r="I18" i="18"/>
  <c r="I19" i="18"/>
  <c r="I20" i="18"/>
  <c r="I21" i="18"/>
  <c r="I22" i="18"/>
  <c r="I23" i="18"/>
  <c r="I24" i="18"/>
  <c r="I25" i="18"/>
  <c r="I26" i="18"/>
  <c r="I27" i="18"/>
  <c r="I28" i="18"/>
  <c r="I29" i="18"/>
  <c r="I30" i="18"/>
  <c r="I31" i="18"/>
  <c r="I32" i="18"/>
  <c r="I33" i="18"/>
  <c r="I34" i="18"/>
  <c r="I35" i="18"/>
  <c r="I36" i="18"/>
  <c r="I37" i="18"/>
  <c r="I38" i="18"/>
  <c r="I39" i="18"/>
  <c r="I40" i="18"/>
  <c r="I41" i="18"/>
  <c r="I42" i="18"/>
  <c r="I43" i="18"/>
  <c r="I44" i="18"/>
  <c r="I45" i="18"/>
  <c r="I46" i="18"/>
  <c r="I47" i="18"/>
  <c r="I48" i="18"/>
  <c r="I49" i="18"/>
  <c r="I50" i="18"/>
  <c r="I51" i="18"/>
  <c r="I52" i="18"/>
  <c r="I53" i="18"/>
  <c r="I54" i="18"/>
  <c r="I55" i="18"/>
  <c r="I56" i="18"/>
  <c r="I57" i="18"/>
  <c r="I58" i="18"/>
  <c r="I59" i="18"/>
  <c r="I60" i="18"/>
  <c r="I61" i="18"/>
  <c r="I62" i="18"/>
  <c r="I63" i="18"/>
  <c r="I64" i="18"/>
  <c r="I65" i="18"/>
  <c r="I66" i="18"/>
  <c r="I67" i="18"/>
  <c r="I68" i="18"/>
  <c r="I69" i="18"/>
  <c r="I70" i="18"/>
  <c r="I71" i="18"/>
  <c r="I72" i="18"/>
  <c r="I73" i="18"/>
  <c r="I74" i="18"/>
  <c r="I75" i="18"/>
  <c r="I76" i="18"/>
  <c r="I77" i="18"/>
  <c r="I78" i="18"/>
  <c r="I79" i="18"/>
  <c r="I80" i="18"/>
  <c r="I81" i="18"/>
  <c r="I82" i="18"/>
  <c r="I83" i="18"/>
  <c r="I84" i="18"/>
  <c r="I85" i="18"/>
  <c r="I86" i="18"/>
  <c r="I87" i="18"/>
  <c r="I88" i="18"/>
  <c r="I89" i="18"/>
  <c r="I90" i="18"/>
  <c r="I91" i="18"/>
  <c r="I92" i="18"/>
  <c r="I93" i="18"/>
  <c r="I94" i="18"/>
  <c r="I95" i="18"/>
  <c r="I96" i="18"/>
  <c r="I97" i="18"/>
  <c r="I98" i="18"/>
  <c r="I99" i="18"/>
  <c r="I100" i="18"/>
  <c r="I101" i="18"/>
  <c r="I102" i="18"/>
  <c r="I103" i="18"/>
  <c r="I104" i="18"/>
  <c r="I105" i="18"/>
  <c r="I106" i="18"/>
  <c r="I107" i="18"/>
  <c r="I108" i="18"/>
  <c r="I109" i="18"/>
  <c r="I110" i="18"/>
  <c r="I111" i="18"/>
  <c r="I112" i="18"/>
  <c r="I113" i="18"/>
  <c r="I114" i="18"/>
  <c r="I115" i="18"/>
  <c r="I116" i="18"/>
  <c r="I117" i="18"/>
  <c r="I118" i="18"/>
  <c r="I119" i="18"/>
  <c r="I120" i="18"/>
  <c r="I121" i="18"/>
  <c r="I122" i="18"/>
  <c r="I123" i="18"/>
  <c r="I124" i="18"/>
  <c r="I125" i="18"/>
  <c r="I126" i="18"/>
  <c r="I127" i="18"/>
  <c r="I128" i="18"/>
  <c r="I129" i="18"/>
  <c r="I130" i="18"/>
  <c r="I131" i="18"/>
  <c r="I132" i="18"/>
  <c r="I133" i="18"/>
  <c r="I134" i="18"/>
  <c r="I135" i="18"/>
  <c r="I136" i="18"/>
  <c r="I137" i="18"/>
  <c r="I138" i="18"/>
  <c r="I139" i="18"/>
  <c r="I140" i="18"/>
  <c r="I141" i="18"/>
  <c r="I142" i="18"/>
  <c r="I143" i="18"/>
  <c r="I144" i="18"/>
  <c r="I145" i="18"/>
  <c r="I146" i="18"/>
  <c r="I147" i="18"/>
  <c r="I148" i="18"/>
  <c r="I149" i="18"/>
  <c r="I150" i="18"/>
  <c r="I151" i="18"/>
  <c r="I152" i="18"/>
  <c r="I153" i="18"/>
  <c r="I154" i="18"/>
  <c r="I155" i="18"/>
  <c r="I156" i="18"/>
  <c r="I157" i="18"/>
  <c r="I158" i="18"/>
  <c r="I159" i="18"/>
  <c r="I160" i="18"/>
  <c r="I161" i="18"/>
  <c r="I162" i="18"/>
  <c r="I163" i="18"/>
  <c r="I164" i="18"/>
  <c r="I165" i="18"/>
  <c r="I166" i="18"/>
  <c r="I167" i="18"/>
  <c r="I168" i="18"/>
  <c r="I169" i="18"/>
  <c r="I170" i="18"/>
  <c r="I171" i="18"/>
  <c r="I172" i="18"/>
  <c r="I173" i="18"/>
  <c r="I174" i="18"/>
  <c r="I175" i="18"/>
  <c r="I176" i="18"/>
  <c r="I177" i="18"/>
  <c r="I178" i="18"/>
  <c r="I179" i="18"/>
  <c r="I180" i="18"/>
  <c r="I181" i="18"/>
  <c r="I182" i="18"/>
  <c r="I183" i="18"/>
  <c r="I184" i="18"/>
  <c r="I185" i="18"/>
  <c r="I186" i="18"/>
  <c r="I187" i="18"/>
  <c r="I188" i="18"/>
  <c r="I189" i="18"/>
  <c r="I190" i="18"/>
  <c r="I191" i="18"/>
  <c r="I192" i="18"/>
  <c r="I193" i="18"/>
  <c r="I194" i="18"/>
  <c r="I195" i="18"/>
  <c r="I196" i="18"/>
  <c r="I197" i="18"/>
  <c r="I198" i="18"/>
  <c r="I199" i="18"/>
  <c r="I200" i="18"/>
  <c r="I201" i="18"/>
  <c r="I202" i="18"/>
  <c r="I203" i="18"/>
  <c r="I204" i="18"/>
  <c r="I205" i="18"/>
  <c r="I206" i="18"/>
  <c r="I207" i="18"/>
  <c r="I208" i="18"/>
  <c r="I209" i="18"/>
  <c r="I210" i="18"/>
  <c r="I211" i="18"/>
  <c r="I212" i="18"/>
  <c r="I213" i="18"/>
  <c r="I214" i="18"/>
  <c r="I215" i="18"/>
  <c r="I216" i="18"/>
  <c r="I217" i="18"/>
  <c r="I218" i="18"/>
  <c r="I219" i="18"/>
  <c r="I220" i="18"/>
  <c r="I221" i="18"/>
  <c r="I222" i="18"/>
  <c r="I223" i="18"/>
  <c r="I224" i="18"/>
  <c r="I225" i="18"/>
  <c r="I226" i="18"/>
  <c r="I227" i="18"/>
  <c r="I228" i="18"/>
  <c r="I229" i="18"/>
  <c r="I230" i="18"/>
  <c r="I231" i="18"/>
  <c r="I232" i="18"/>
  <c r="I233" i="18"/>
  <c r="I234" i="18"/>
  <c r="I235" i="18"/>
  <c r="I236" i="18"/>
  <c r="I237" i="18"/>
  <c r="I238" i="18"/>
  <c r="I239" i="18"/>
  <c r="I240" i="18"/>
  <c r="I241" i="18"/>
  <c r="I242" i="18"/>
  <c r="I243" i="18"/>
  <c r="I244" i="18"/>
  <c r="I245" i="18"/>
  <c r="I246" i="18"/>
  <c r="I247" i="18"/>
  <c r="I248" i="18"/>
  <c r="I249" i="18"/>
  <c r="I250" i="18"/>
  <c r="I251" i="18"/>
  <c r="I252" i="18"/>
  <c r="I253" i="18"/>
  <c r="I254" i="18"/>
  <c r="I255" i="18"/>
  <c r="I256" i="18"/>
  <c r="I257" i="18"/>
  <c r="I258" i="18"/>
  <c r="I259" i="18"/>
  <c r="I260" i="18"/>
  <c r="I261" i="18"/>
  <c r="I262" i="18"/>
  <c r="I263" i="18"/>
  <c r="I264" i="18"/>
  <c r="I265" i="18"/>
  <c r="I266" i="18"/>
  <c r="I267" i="18"/>
  <c r="I268" i="18"/>
  <c r="I269" i="18"/>
  <c r="I270" i="18"/>
  <c r="I271" i="18"/>
  <c r="I272" i="18"/>
  <c r="I273" i="18"/>
  <c r="I274" i="18"/>
  <c r="I275" i="18"/>
  <c r="I276" i="18"/>
  <c r="I277" i="18"/>
  <c r="I278" i="18"/>
  <c r="I279" i="18"/>
  <c r="I280" i="18"/>
  <c r="I281" i="18"/>
  <c r="I282" i="18"/>
  <c r="I283" i="18"/>
  <c r="I284" i="18"/>
  <c r="I285" i="18"/>
  <c r="I286" i="18"/>
  <c r="I287" i="18"/>
  <c r="I288" i="18"/>
  <c r="I289" i="18"/>
  <c r="I290" i="18"/>
  <c r="I291" i="18"/>
  <c r="I292" i="18"/>
  <c r="I293" i="18"/>
  <c r="I294" i="18"/>
  <c r="I295" i="18"/>
  <c r="I296" i="18"/>
  <c r="I297" i="18"/>
  <c r="I298" i="18"/>
  <c r="I299" i="18"/>
  <c r="I300" i="18"/>
  <c r="I301" i="18"/>
  <c r="I302" i="18"/>
  <c r="I303" i="18"/>
  <c r="I304" i="18"/>
  <c r="I305" i="18"/>
  <c r="I306" i="18"/>
  <c r="I307" i="18"/>
  <c r="I308" i="18"/>
  <c r="I309" i="18"/>
  <c r="I310" i="18"/>
  <c r="I311" i="18"/>
  <c r="I312" i="18"/>
  <c r="I313" i="18"/>
  <c r="I314" i="18"/>
  <c r="I315" i="18"/>
  <c r="I316" i="18"/>
  <c r="I317" i="18"/>
  <c r="I318" i="18"/>
  <c r="I319" i="18"/>
  <c r="I320" i="18"/>
  <c r="I321" i="18"/>
  <c r="I322" i="18"/>
  <c r="I323" i="18"/>
  <c r="I324" i="18"/>
  <c r="I325" i="18"/>
  <c r="I326" i="18"/>
  <c r="I327" i="18"/>
  <c r="I328" i="18"/>
  <c r="I329" i="18"/>
  <c r="I330" i="18"/>
  <c r="I331" i="18"/>
  <c r="I332" i="18"/>
  <c r="I333" i="18"/>
  <c r="I334" i="18"/>
  <c r="I335" i="18"/>
  <c r="I336" i="18"/>
  <c r="I337" i="18"/>
  <c r="I338" i="18"/>
  <c r="I339" i="18"/>
  <c r="I340" i="18"/>
  <c r="I341" i="18"/>
  <c r="I342" i="18"/>
  <c r="I343" i="18"/>
  <c r="I344" i="18"/>
  <c r="I345" i="18"/>
  <c r="I346" i="18"/>
  <c r="I347" i="18"/>
  <c r="I348" i="18"/>
  <c r="I349" i="18"/>
  <c r="I350" i="18"/>
  <c r="I351" i="18"/>
  <c r="I352" i="18"/>
  <c r="I353" i="18"/>
  <c r="I354" i="18"/>
  <c r="I355" i="18"/>
  <c r="I356" i="18"/>
  <c r="I357" i="18"/>
  <c r="I358" i="18"/>
  <c r="I359" i="18"/>
  <c r="I360" i="18"/>
  <c r="I361" i="18"/>
  <c r="I362" i="18"/>
  <c r="I363" i="18"/>
  <c r="I364" i="18"/>
  <c r="I365" i="18"/>
  <c r="I366" i="18"/>
  <c r="I367" i="18"/>
  <c r="I368" i="18"/>
  <c r="I369" i="18"/>
  <c r="I370" i="18"/>
  <c r="I371" i="18"/>
  <c r="I372" i="18"/>
  <c r="I373" i="18"/>
  <c r="I374" i="18"/>
  <c r="I375" i="18"/>
  <c r="I376" i="18"/>
  <c r="I377" i="18"/>
  <c r="I378" i="18"/>
  <c r="I379" i="18"/>
  <c r="I380" i="18"/>
  <c r="I381" i="18"/>
  <c r="I382" i="18"/>
  <c r="I383" i="18"/>
  <c r="I384" i="18"/>
  <c r="I385" i="18"/>
  <c r="I386" i="18"/>
  <c r="I387" i="18"/>
  <c r="I388" i="18"/>
  <c r="I389" i="18"/>
  <c r="I390" i="18"/>
  <c r="I391" i="18"/>
  <c r="I392" i="18"/>
  <c r="I393" i="18"/>
  <c r="I394" i="18"/>
  <c r="I395" i="18"/>
  <c r="I396" i="18"/>
  <c r="I397" i="18"/>
  <c r="I398" i="18"/>
  <c r="I399" i="18"/>
  <c r="I400" i="18"/>
  <c r="I401" i="18"/>
  <c r="I402" i="18"/>
  <c r="I403" i="18"/>
  <c r="I404" i="18"/>
  <c r="I405" i="18"/>
  <c r="I406" i="18"/>
  <c r="I407" i="18"/>
  <c r="I408" i="18"/>
  <c r="I409" i="18"/>
  <c r="I410" i="18"/>
  <c r="I411" i="18"/>
  <c r="I412" i="18"/>
  <c r="I413" i="18"/>
  <c r="I414" i="18"/>
  <c r="I415" i="18"/>
  <c r="I416" i="18"/>
  <c r="I417" i="18"/>
  <c r="I418" i="18"/>
  <c r="I419" i="18"/>
  <c r="I420" i="18"/>
  <c r="I421" i="18"/>
  <c r="I422" i="18"/>
  <c r="I423" i="18"/>
  <c r="I424" i="18"/>
  <c r="I425" i="18"/>
  <c r="I426" i="18"/>
  <c r="I427" i="18"/>
  <c r="I428" i="18"/>
  <c r="I429" i="18"/>
  <c r="I430" i="18"/>
  <c r="I431" i="18"/>
  <c r="I432" i="18"/>
  <c r="I433" i="18"/>
  <c r="I434" i="18"/>
  <c r="I435" i="18"/>
  <c r="I436" i="18"/>
  <c r="I437" i="18"/>
  <c r="I438" i="18"/>
  <c r="I439" i="18"/>
  <c r="I440" i="18"/>
  <c r="I441" i="18"/>
  <c r="I442" i="18"/>
  <c r="I443" i="18"/>
  <c r="I444" i="18"/>
  <c r="I445" i="18"/>
  <c r="I446" i="18"/>
  <c r="I447" i="18"/>
  <c r="I448" i="18"/>
  <c r="I449" i="18"/>
  <c r="I450" i="18"/>
  <c r="I451" i="18"/>
  <c r="I452" i="18"/>
  <c r="I453" i="18"/>
  <c r="I454" i="18"/>
  <c r="I455" i="18"/>
  <c r="I456" i="18"/>
  <c r="I457" i="18"/>
  <c r="I458" i="18"/>
  <c r="I459" i="18"/>
  <c r="I460" i="18"/>
  <c r="I461" i="18"/>
  <c r="I462" i="18"/>
  <c r="I463" i="18"/>
  <c r="I464" i="18"/>
  <c r="I465" i="18"/>
  <c r="I466" i="18"/>
  <c r="I467" i="18"/>
  <c r="I468" i="18"/>
  <c r="I469" i="18"/>
  <c r="I470" i="18"/>
  <c r="I471" i="18"/>
  <c r="I472" i="18"/>
  <c r="I473" i="18"/>
  <c r="I474" i="18"/>
  <c r="I475" i="18"/>
  <c r="I476" i="18"/>
  <c r="I477" i="18"/>
  <c r="I478" i="18"/>
  <c r="I479" i="18"/>
  <c r="I480" i="18"/>
  <c r="I481" i="18"/>
  <c r="I482" i="18"/>
  <c r="I483" i="18"/>
  <c r="I484" i="18"/>
  <c r="I485" i="18"/>
  <c r="I486" i="18"/>
  <c r="I487" i="18"/>
  <c r="I488" i="18"/>
  <c r="I489" i="18"/>
  <c r="I490" i="18"/>
  <c r="I491" i="18"/>
  <c r="I492" i="18"/>
  <c r="I493" i="18"/>
  <c r="I494" i="18"/>
  <c r="I495" i="18"/>
  <c r="I496" i="18"/>
  <c r="I497" i="18"/>
  <c r="I498" i="18"/>
  <c r="I499" i="18"/>
  <c r="I500" i="18"/>
  <c r="I501" i="18"/>
  <c r="I502" i="18"/>
  <c r="I503" i="18"/>
  <c r="I504" i="18"/>
  <c r="I505" i="18"/>
  <c r="I506" i="18"/>
  <c r="I507" i="18"/>
  <c r="I508" i="18"/>
  <c r="I509" i="18"/>
  <c r="I510" i="18"/>
  <c r="I511" i="18"/>
  <c r="I512" i="18"/>
  <c r="I513" i="18"/>
  <c r="I514" i="18"/>
  <c r="I515" i="18"/>
  <c r="I516" i="18"/>
  <c r="I517" i="18"/>
  <c r="I518" i="18"/>
  <c r="I519" i="18"/>
  <c r="I520" i="18"/>
  <c r="I521" i="18"/>
  <c r="I522" i="18"/>
  <c r="I523" i="18"/>
  <c r="I524" i="18"/>
  <c r="I525" i="18"/>
  <c r="I526" i="18"/>
  <c r="I527" i="18"/>
  <c r="I528" i="18"/>
  <c r="I529" i="18"/>
  <c r="I530" i="18"/>
  <c r="I531" i="18"/>
  <c r="I532" i="18"/>
  <c r="I533" i="18"/>
  <c r="I534" i="18"/>
  <c r="I535" i="18"/>
  <c r="I536" i="18"/>
  <c r="I537" i="18"/>
  <c r="I538" i="18"/>
  <c r="I539" i="18"/>
  <c r="I540" i="18"/>
  <c r="I541" i="18"/>
  <c r="I542" i="18"/>
  <c r="I543" i="18"/>
  <c r="I544" i="18"/>
  <c r="I545" i="18"/>
  <c r="I546" i="18"/>
  <c r="I547" i="18"/>
  <c r="I548" i="18"/>
  <c r="I549" i="18"/>
  <c r="I550" i="18"/>
  <c r="I551" i="18"/>
  <c r="I552" i="18"/>
  <c r="I553" i="18"/>
  <c r="I554" i="18"/>
  <c r="I555" i="18"/>
  <c r="I556" i="18"/>
  <c r="I557" i="18"/>
  <c r="I558" i="18"/>
  <c r="I559" i="18"/>
  <c r="I560" i="18"/>
  <c r="I561" i="18"/>
  <c r="I562" i="18"/>
  <c r="I563" i="18"/>
  <c r="I564" i="18"/>
  <c r="I565" i="18"/>
  <c r="I566" i="18"/>
  <c r="I567" i="18"/>
  <c r="I568" i="18"/>
  <c r="I569" i="18"/>
  <c r="I570" i="18"/>
  <c r="I571" i="18"/>
  <c r="I572" i="18"/>
  <c r="I573" i="18"/>
  <c r="I574" i="18"/>
  <c r="I575" i="18"/>
  <c r="I576" i="18"/>
  <c r="I577" i="18"/>
  <c r="I578" i="18"/>
  <c r="I579" i="18"/>
  <c r="I580" i="18"/>
  <c r="I581" i="18"/>
  <c r="I582" i="18"/>
  <c r="I583" i="18"/>
  <c r="I584" i="18"/>
  <c r="I585" i="18"/>
  <c r="I586" i="18"/>
  <c r="I587" i="18"/>
  <c r="I588" i="18"/>
  <c r="I589" i="18"/>
  <c r="I590" i="18"/>
  <c r="I591" i="18"/>
  <c r="I592" i="18"/>
  <c r="I593" i="18"/>
  <c r="I594" i="18"/>
  <c r="I595" i="18"/>
  <c r="I596" i="18"/>
  <c r="I597" i="18"/>
  <c r="I598" i="18"/>
  <c r="I599" i="18"/>
  <c r="I600" i="18"/>
  <c r="I601" i="18"/>
  <c r="I602" i="18"/>
  <c r="I603" i="18"/>
  <c r="I604" i="18"/>
  <c r="I605" i="18"/>
  <c r="I606" i="18"/>
  <c r="I607" i="18"/>
  <c r="I608" i="18"/>
  <c r="I609" i="18"/>
  <c r="I610" i="18"/>
  <c r="I611" i="18"/>
  <c r="I612" i="18"/>
  <c r="I613" i="18"/>
  <c r="I614" i="18"/>
  <c r="I615" i="18"/>
  <c r="I616" i="18"/>
  <c r="I617" i="18"/>
  <c r="I618" i="18"/>
  <c r="I619" i="18"/>
  <c r="I620" i="18"/>
  <c r="I621" i="18"/>
  <c r="I622" i="18"/>
  <c r="I623" i="18"/>
  <c r="I624" i="18"/>
  <c r="I625" i="18"/>
  <c r="I626" i="18"/>
  <c r="I627" i="18"/>
  <c r="I628" i="18"/>
  <c r="I629" i="18"/>
  <c r="I630" i="18"/>
  <c r="I631" i="18"/>
  <c r="I632" i="18"/>
  <c r="I633" i="18"/>
  <c r="I634" i="18"/>
  <c r="I635" i="18"/>
  <c r="I636" i="18"/>
  <c r="I637" i="18"/>
  <c r="I638" i="18"/>
  <c r="I639" i="18"/>
  <c r="I640" i="18"/>
  <c r="I641" i="18"/>
  <c r="I642" i="18"/>
  <c r="I643" i="18"/>
  <c r="I644" i="18"/>
  <c r="I645" i="18"/>
  <c r="I646" i="18"/>
  <c r="I647" i="18"/>
  <c r="I648" i="18"/>
  <c r="I649" i="18"/>
  <c r="I650" i="18"/>
  <c r="I651" i="18"/>
  <c r="I652" i="18"/>
  <c r="I653" i="18"/>
  <c r="I654" i="18"/>
  <c r="I655" i="18"/>
  <c r="I656" i="18"/>
  <c r="I657" i="18"/>
  <c r="I658" i="18"/>
  <c r="I659" i="18"/>
  <c r="I660" i="18"/>
  <c r="I661" i="18"/>
  <c r="I662" i="18"/>
  <c r="I663" i="18"/>
  <c r="I664" i="18"/>
  <c r="I665" i="18"/>
  <c r="I666" i="18"/>
  <c r="I667" i="18"/>
  <c r="I668" i="18"/>
  <c r="I669" i="18"/>
  <c r="I670" i="18"/>
  <c r="I671" i="18"/>
  <c r="I672" i="18"/>
  <c r="I4" i="18"/>
  <c r="I5" i="17"/>
  <c r="J5" i="17" s="1"/>
  <c r="I4" i="17"/>
  <c r="J4" i="17" s="1"/>
  <c r="I3" i="17"/>
  <c r="J3" i="17" s="1"/>
  <c r="O13" i="12"/>
  <c r="O14" i="12"/>
  <c r="O15" i="12"/>
  <c r="O16" i="12"/>
  <c r="O17" i="12"/>
  <c r="O18" i="12"/>
  <c r="O19" i="12"/>
  <c r="O20" i="12"/>
  <c r="O21" i="12"/>
  <c r="O22" i="12"/>
  <c r="O23" i="12"/>
  <c r="O24" i="12"/>
  <c r="O25" i="12"/>
  <c r="O26" i="12"/>
  <c r="O27" i="12"/>
  <c r="O28" i="12"/>
  <c r="O29" i="12"/>
  <c r="O30" i="12"/>
  <c r="O31" i="12"/>
  <c r="O32" i="12"/>
  <c r="O33" i="12"/>
  <c r="O34" i="12"/>
  <c r="O35" i="12"/>
  <c r="O36" i="12"/>
  <c r="O37" i="12"/>
  <c r="O38" i="12"/>
  <c r="O39" i="12"/>
  <c r="O40" i="12"/>
  <c r="O41" i="12"/>
  <c r="O42" i="12"/>
  <c r="O43" i="12"/>
  <c r="O44" i="12"/>
  <c r="O45" i="12"/>
  <c r="O46" i="12"/>
  <c r="O47" i="12"/>
  <c r="O48" i="12"/>
  <c r="O49" i="12"/>
  <c r="O50" i="12"/>
  <c r="O51" i="12"/>
  <c r="O52" i="12"/>
  <c r="O53" i="12"/>
  <c r="O54" i="12"/>
  <c r="O55" i="12"/>
  <c r="O56" i="12"/>
  <c r="O57" i="12"/>
  <c r="O58" i="12"/>
  <c r="O59" i="12"/>
  <c r="O60" i="12"/>
  <c r="O61" i="12"/>
  <c r="O62" i="12"/>
  <c r="O63" i="12"/>
  <c r="O64" i="12"/>
  <c r="O65" i="12"/>
  <c r="O66" i="12"/>
  <c r="O67" i="12"/>
  <c r="O68" i="12"/>
  <c r="O69" i="12"/>
  <c r="O70" i="12"/>
  <c r="O71" i="12"/>
  <c r="O72" i="12"/>
  <c r="O73" i="12"/>
  <c r="O74" i="12"/>
  <c r="O75" i="12"/>
  <c r="O76" i="12"/>
  <c r="O77" i="12"/>
  <c r="O78" i="12"/>
  <c r="O79" i="12"/>
  <c r="O80" i="12"/>
  <c r="O81" i="12"/>
  <c r="O82" i="12"/>
  <c r="O83" i="12"/>
  <c r="O84" i="12"/>
  <c r="O85" i="12"/>
  <c r="O86" i="12"/>
  <c r="O87" i="12"/>
  <c r="O88" i="12"/>
  <c r="O89" i="12"/>
  <c r="O90" i="12"/>
  <c r="O91" i="12"/>
  <c r="O92" i="12"/>
  <c r="O93" i="12"/>
  <c r="O94" i="12"/>
  <c r="O95" i="12"/>
  <c r="O96" i="12"/>
  <c r="O97" i="12"/>
  <c r="O98" i="12"/>
  <c r="O99" i="12"/>
  <c r="O100" i="12"/>
  <c r="O101" i="12"/>
  <c r="O3" i="12"/>
  <c r="O4" i="12"/>
  <c r="O5" i="12"/>
  <c r="O6" i="12"/>
  <c r="O7" i="12"/>
  <c r="O8" i="12"/>
  <c r="O9" i="12"/>
  <c r="O10" i="12"/>
  <c r="O11" i="12"/>
  <c r="O12" i="12"/>
  <c r="O2" i="12"/>
  <c r="Y23" i="15"/>
  <c r="Y24" i="15"/>
  <c r="Y25" i="15"/>
  <c r="Y26" i="15"/>
  <c r="Y27" i="15"/>
  <c r="Y28" i="15"/>
  <c r="Y29" i="15"/>
  <c r="Y30" i="15"/>
  <c r="Y31" i="15"/>
  <c r="Y32" i="15"/>
  <c r="Y33" i="15"/>
  <c r="Y34" i="15"/>
  <c r="Y35" i="15"/>
  <c r="Y36" i="15"/>
  <c r="Y37" i="15"/>
  <c r="Y38" i="15"/>
  <c r="Y39" i="15"/>
  <c r="Y40" i="15"/>
  <c r="Y41" i="15"/>
  <c r="Y42" i="15"/>
  <c r="Y43" i="15"/>
  <c r="Y44" i="15"/>
  <c r="Y45" i="15"/>
  <c r="Y46" i="15"/>
  <c r="Y47" i="15"/>
  <c r="Y48" i="15"/>
  <c r="Y49" i="15"/>
  <c r="Y50" i="15"/>
  <c r="Y51" i="15"/>
  <c r="Y52" i="15"/>
  <c r="Y53" i="15"/>
  <c r="Y54" i="15"/>
  <c r="Y55" i="15"/>
  <c r="Y56" i="15"/>
  <c r="Y57" i="15"/>
  <c r="Y58" i="15"/>
  <c r="Y59" i="15"/>
  <c r="Y60" i="15"/>
  <c r="Y61" i="15"/>
  <c r="Y62" i="15"/>
  <c r="Y63" i="15"/>
  <c r="Y64" i="15"/>
  <c r="Y65" i="15"/>
  <c r="Y66" i="15"/>
  <c r="Y67" i="15"/>
  <c r="Y68" i="15"/>
  <c r="Y69" i="15"/>
  <c r="Y70" i="15"/>
  <c r="Y71" i="15"/>
  <c r="Y72" i="15"/>
  <c r="Y73" i="15"/>
  <c r="Y74" i="15"/>
  <c r="Y75" i="15"/>
  <c r="Y76" i="15"/>
  <c r="Y77" i="15"/>
  <c r="Y78" i="15"/>
  <c r="Y79" i="15"/>
  <c r="Y80" i="15"/>
  <c r="Y81" i="15"/>
  <c r="Y82" i="15"/>
  <c r="Y83" i="15"/>
  <c r="Y84" i="15"/>
  <c r="Y85" i="15"/>
  <c r="Y86" i="15"/>
  <c r="Y87" i="15"/>
  <c r="Y88" i="15"/>
  <c r="Y89" i="15"/>
  <c r="Y90" i="15"/>
  <c r="Y91" i="15"/>
  <c r="Y92" i="15"/>
  <c r="Y93" i="15"/>
  <c r="Y94" i="15"/>
  <c r="Y95" i="15"/>
  <c r="Y96" i="15"/>
  <c r="Y97" i="15"/>
  <c r="Y98" i="15"/>
  <c r="Y99" i="15"/>
  <c r="Y100" i="15"/>
  <c r="Y101" i="15"/>
  <c r="Y102" i="15"/>
  <c r="Y103" i="15"/>
  <c r="Y104" i="15"/>
  <c r="Y105" i="15"/>
  <c r="Y106" i="15"/>
  <c r="Y107" i="15"/>
  <c r="Y108" i="15"/>
  <c r="Y109" i="15"/>
  <c r="Y110" i="15"/>
  <c r="Y111" i="15"/>
  <c r="Y112" i="15"/>
  <c r="Y113" i="15"/>
  <c r="Y114" i="15"/>
  <c r="Y115" i="15"/>
  <c r="Y116" i="15"/>
  <c r="Y117" i="15"/>
  <c r="Y118" i="15"/>
  <c r="Y119" i="15"/>
  <c r="Y120" i="15"/>
  <c r="Y121" i="15"/>
  <c r="Y22" i="15"/>
  <c r="X23" i="15"/>
  <c r="X24" i="15"/>
  <c r="X25" i="15"/>
  <c r="X26" i="15"/>
  <c r="X27" i="15"/>
  <c r="X28" i="15"/>
  <c r="X29" i="15"/>
  <c r="X30" i="15"/>
  <c r="X31" i="15"/>
  <c r="X32" i="15"/>
  <c r="X33" i="15"/>
  <c r="X34" i="15"/>
  <c r="X35" i="15"/>
  <c r="X36" i="15"/>
  <c r="X37" i="15"/>
  <c r="X38" i="15"/>
  <c r="X39" i="15"/>
  <c r="X40" i="15"/>
  <c r="X41" i="15"/>
  <c r="X42" i="15"/>
  <c r="X43" i="15"/>
  <c r="X44" i="15"/>
  <c r="X45" i="15"/>
  <c r="X46" i="15"/>
  <c r="X47" i="15"/>
  <c r="X48" i="15"/>
  <c r="X49" i="15"/>
  <c r="X50" i="15"/>
  <c r="X51" i="15"/>
  <c r="X52" i="15"/>
  <c r="X53" i="15"/>
  <c r="X54" i="15"/>
  <c r="X55" i="15"/>
  <c r="X56" i="15"/>
  <c r="X57" i="15"/>
  <c r="X58" i="15"/>
  <c r="X59" i="15"/>
  <c r="X60" i="15"/>
  <c r="X61" i="15"/>
  <c r="X62" i="15"/>
  <c r="X63" i="15"/>
  <c r="X64" i="15"/>
  <c r="X65" i="15"/>
  <c r="X66" i="15"/>
  <c r="X67" i="15"/>
  <c r="X68" i="15"/>
  <c r="X69" i="15"/>
  <c r="X70" i="15"/>
  <c r="X71" i="15"/>
  <c r="X72" i="15"/>
  <c r="X73" i="15"/>
  <c r="X74" i="15"/>
  <c r="X75" i="15"/>
  <c r="X76" i="15"/>
  <c r="X77" i="15"/>
  <c r="X78" i="15"/>
  <c r="X79" i="15"/>
  <c r="X80" i="15"/>
  <c r="X81" i="15"/>
  <c r="X82" i="15"/>
  <c r="X83" i="15"/>
  <c r="X84" i="15"/>
  <c r="X85" i="15"/>
  <c r="X86" i="15"/>
  <c r="X87" i="15"/>
  <c r="X88" i="15"/>
  <c r="X89" i="15"/>
  <c r="X90" i="15"/>
  <c r="X91" i="15"/>
  <c r="X92" i="15"/>
  <c r="X93" i="15"/>
  <c r="X94" i="15"/>
  <c r="X95" i="15"/>
  <c r="X96" i="15"/>
  <c r="X97" i="15"/>
  <c r="X98" i="15"/>
  <c r="X99" i="15"/>
  <c r="X100" i="15"/>
  <c r="X101" i="15"/>
  <c r="X102" i="15"/>
  <c r="X103" i="15"/>
  <c r="X104" i="15"/>
  <c r="X105" i="15"/>
  <c r="X106" i="15"/>
  <c r="X107" i="15"/>
  <c r="X108" i="15"/>
  <c r="X109" i="15"/>
  <c r="X110" i="15"/>
  <c r="X111" i="15"/>
  <c r="X112" i="15"/>
  <c r="X113" i="15"/>
  <c r="X114" i="15"/>
  <c r="X115" i="15"/>
  <c r="X116" i="15"/>
  <c r="X117" i="15"/>
  <c r="X118" i="15"/>
  <c r="X119" i="15"/>
  <c r="X120" i="15"/>
  <c r="X121" i="15"/>
  <c r="X22" i="15"/>
  <c r="W10" i="15"/>
  <c r="W11" i="15"/>
  <c r="W9" i="15"/>
  <c r="V10" i="15"/>
  <c r="X10" i="15" s="1"/>
  <c r="V11" i="15"/>
  <c r="X11" i="15" s="1"/>
  <c r="V9" i="15"/>
  <c r="X9" i="15" s="1"/>
  <c r="U10" i="15"/>
  <c r="U11" i="15"/>
  <c r="U9" i="15"/>
  <c r="M37" i="15"/>
  <c r="M38" i="15"/>
  <c r="M39" i="15"/>
  <c r="M40" i="15"/>
  <c r="M41" i="15"/>
  <c r="M42" i="15"/>
  <c r="M43" i="15"/>
  <c r="M44" i="15"/>
  <c r="M45" i="15"/>
  <c r="M46" i="15"/>
  <c r="M47" i="15"/>
  <c r="M48" i="15"/>
  <c r="M49" i="15"/>
  <c r="M50" i="15"/>
  <c r="M51" i="15"/>
  <c r="M52" i="15"/>
  <c r="M53" i="15"/>
  <c r="M54" i="15"/>
  <c r="M55" i="15"/>
  <c r="M56" i="15"/>
  <c r="M57" i="15"/>
  <c r="M58" i="15"/>
  <c r="M59" i="15"/>
  <c r="M60" i="15"/>
  <c r="M61" i="15"/>
  <c r="M62" i="15"/>
  <c r="M63" i="15"/>
  <c r="M64" i="15"/>
  <c r="M65" i="15"/>
  <c r="M66" i="15"/>
  <c r="M67" i="15"/>
  <c r="M68" i="15"/>
  <c r="M69" i="15"/>
  <c r="M70" i="15"/>
  <c r="M71" i="15"/>
  <c r="M72" i="15"/>
  <c r="M73" i="15"/>
  <c r="M74" i="15"/>
  <c r="M75" i="15"/>
  <c r="M76" i="15"/>
  <c r="M77" i="15"/>
  <c r="M78" i="15"/>
  <c r="M79" i="15"/>
  <c r="M80" i="15"/>
  <c r="M81" i="15"/>
  <c r="M82" i="15"/>
  <c r="M83" i="15"/>
  <c r="M84" i="15"/>
  <c r="M85" i="15"/>
  <c r="M86" i="15"/>
  <c r="M87" i="15"/>
  <c r="M88" i="15"/>
  <c r="M89" i="15"/>
  <c r="M90" i="15"/>
  <c r="M91" i="15"/>
  <c r="M92" i="15"/>
  <c r="M93" i="15"/>
  <c r="M94" i="15"/>
  <c r="M95" i="15"/>
  <c r="M96" i="15"/>
  <c r="M97" i="15"/>
  <c r="M98" i="15"/>
  <c r="M99" i="15"/>
  <c r="M100" i="15"/>
  <c r="M101" i="15"/>
  <c r="M102" i="15"/>
  <c r="M103" i="15"/>
  <c r="M104" i="15"/>
  <c r="M105" i="15"/>
  <c r="M106" i="15"/>
  <c r="M107" i="15"/>
  <c r="M108" i="15"/>
  <c r="M109" i="15"/>
  <c r="M110" i="15"/>
  <c r="M111" i="15"/>
  <c r="M112" i="15"/>
  <c r="M113" i="15"/>
  <c r="M114" i="15"/>
  <c r="M115" i="15"/>
  <c r="M116" i="15"/>
  <c r="M117" i="15"/>
  <c r="M118" i="15"/>
  <c r="M119" i="15"/>
  <c r="M120" i="15"/>
  <c r="M121" i="15"/>
  <c r="M122" i="15"/>
  <c r="M123" i="15"/>
  <c r="M124" i="15"/>
  <c r="M125" i="15"/>
  <c r="M126" i="15"/>
  <c r="M127" i="15"/>
  <c r="M128" i="15"/>
  <c r="M129" i="15"/>
  <c r="M130" i="15"/>
  <c r="M131" i="15"/>
  <c r="M132" i="15"/>
  <c r="M133" i="15"/>
  <c r="M134" i="15"/>
  <c r="M135" i="15"/>
  <c r="M36" i="15"/>
  <c r="G1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36" i="15"/>
  <c r="P14" i="14"/>
  <c r="P15" i="14"/>
  <c r="P16" i="14"/>
  <c r="P17" i="14"/>
  <c r="P18" i="14"/>
  <c r="P19" i="14"/>
  <c r="P20" i="14"/>
  <c r="P21" i="14"/>
  <c r="P22" i="14"/>
  <c r="P23" i="14"/>
  <c r="P24" i="14"/>
  <c r="P25" i="14"/>
  <c r="P26" i="14"/>
  <c r="P27" i="14"/>
  <c r="P28" i="14"/>
  <c r="P29" i="14"/>
  <c r="P30" i="14"/>
  <c r="P31" i="14"/>
  <c r="P32" i="14"/>
  <c r="P33" i="14"/>
  <c r="P34" i="14"/>
  <c r="P35" i="14"/>
  <c r="P36" i="14"/>
  <c r="P37" i="14"/>
  <c r="P38" i="14"/>
  <c r="P39" i="14"/>
  <c r="P40" i="14"/>
  <c r="P41" i="14"/>
  <c r="P42" i="14"/>
  <c r="P43" i="14"/>
  <c r="P44" i="14"/>
  <c r="P45" i="14"/>
  <c r="P46" i="14"/>
  <c r="P47" i="14"/>
  <c r="P48" i="14"/>
  <c r="P49" i="14"/>
  <c r="P50" i="14"/>
  <c r="P51" i="14"/>
  <c r="P52" i="14"/>
  <c r="P53" i="14"/>
  <c r="P54" i="14"/>
  <c r="P55" i="14"/>
  <c r="P56" i="14"/>
  <c r="P57" i="14"/>
  <c r="P58" i="14"/>
  <c r="P59" i="14"/>
  <c r="P60" i="14"/>
  <c r="P61" i="14"/>
  <c r="P62" i="14"/>
  <c r="P63" i="14"/>
  <c r="P64" i="14"/>
  <c r="P65" i="14"/>
  <c r="P66" i="14"/>
  <c r="P67" i="14"/>
  <c r="P68" i="14"/>
  <c r="P69" i="14"/>
  <c r="P70" i="14"/>
  <c r="P71" i="14"/>
  <c r="P72" i="14"/>
  <c r="P73" i="14"/>
  <c r="P74" i="14"/>
  <c r="P75" i="14"/>
  <c r="P76" i="14"/>
  <c r="P77" i="14"/>
  <c r="P78" i="14"/>
  <c r="P79" i="14"/>
  <c r="P80" i="14"/>
  <c r="P81" i="14"/>
  <c r="P82" i="14"/>
  <c r="P83" i="14"/>
  <c r="P84" i="14"/>
  <c r="P85" i="14"/>
  <c r="P86" i="14"/>
  <c r="P87" i="14"/>
  <c r="P88" i="14"/>
  <c r="P89" i="14"/>
  <c r="P90" i="14"/>
  <c r="P91" i="14"/>
  <c r="P92" i="14"/>
  <c r="P93" i="14"/>
  <c r="P94" i="14"/>
  <c r="P95" i="14"/>
  <c r="P96" i="14"/>
  <c r="P97" i="14"/>
  <c r="P98" i="14"/>
  <c r="P99" i="14"/>
  <c r="P100" i="14"/>
  <c r="P101" i="14"/>
  <c r="P102" i="14"/>
  <c r="P103" i="14"/>
  <c r="P104" i="14"/>
  <c r="P105" i="14"/>
  <c r="P106" i="14"/>
  <c r="P107" i="14"/>
  <c r="P108" i="14"/>
  <c r="P109" i="14"/>
  <c r="P110" i="14"/>
  <c r="P111" i="14"/>
  <c r="P112" i="14"/>
  <c r="P13" i="14"/>
  <c r="S14" i="14"/>
  <c r="S15" i="14"/>
  <c r="S16" i="14"/>
  <c r="S17" i="14"/>
  <c r="S18" i="14"/>
  <c r="S19" i="14"/>
  <c r="S20" i="14"/>
  <c r="S21" i="14"/>
  <c r="S22" i="14"/>
  <c r="S23" i="14"/>
  <c r="S24" i="14"/>
  <c r="S25" i="14"/>
  <c r="S26" i="14"/>
  <c r="S27" i="14"/>
  <c r="S28" i="14"/>
  <c r="S29" i="14"/>
  <c r="S30" i="14"/>
  <c r="S31" i="14"/>
  <c r="S32" i="14"/>
  <c r="S33" i="14"/>
  <c r="S34" i="14"/>
  <c r="S35" i="14"/>
  <c r="S36" i="14"/>
  <c r="S37" i="14"/>
  <c r="S38" i="14"/>
  <c r="S39" i="14"/>
  <c r="S40" i="14"/>
  <c r="S41" i="14"/>
  <c r="S42" i="14"/>
  <c r="S43" i="14"/>
  <c r="S44" i="14"/>
  <c r="S45" i="14"/>
  <c r="S46" i="14"/>
  <c r="S47" i="14"/>
  <c r="S48" i="14"/>
  <c r="S49" i="14"/>
  <c r="S50" i="14"/>
  <c r="S51" i="14"/>
  <c r="S52" i="14"/>
  <c r="S53" i="14"/>
  <c r="S54" i="14"/>
  <c r="S55" i="14"/>
  <c r="S56" i="14"/>
  <c r="S57" i="14"/>
  <c r="S58" i="14"/>
  <c r="S59" i="14"/>
  <c r="S60" i="14"/>
  <c r="S61" i="14"/>
  <c r="S62" i="14"/>
  <c r="S63" i="14"/>
  <c r="S64" i="14"/>
  <c r="S65" i="14"/>
  <c r="S66" i="14"/>
  <c r="S67" i="14"/>
  <c r="S68" i="14"/>
  <c r="S69" i="14"/>
  <c r="S70" i="14"/>
  <c r="S71" i="14"/>
  <c r="S72" i="14"/>
  <c r="S73" i="14"/>
  <c r="S74" i="14"/>
  <c r="S75" i="14"/>
  <c r="S76" i="14"/>
  <c r="S77" i="14"/>
  <c r="S78" i="14"/>
  <c r="S79" i="14"/>
  <c r="S80" i="14"/>
  <c r="S81" i="14"/>
  <c r="S82" i="14"/>
  <c r="S83" i="14"/>
  <c r="S84" i="14"/>
  <c r="S85" i="14"/>
  <c r="S86" i="14"/>
  <c r="S87" i="14"/>
  <c r="S88" i="14"/>
  <c r="S89" i="14"/>
  <c r="S90" i="14"/>
  <c r="S91" i="14"/>
  <c r="S92" i="14"/>
  <c r="S93" i="14"/>
  <c r="S94" i="14"/>
  <c r="S95" i="14"/>
  <c r="S96" i="14"/>
  <c r="S97" i="14"/>
  <c r="S98" i="14"/>
  <c r="S99" i="14"/>
  <c r="S100" i="14"/>
  <c r="S101" i="14"/>
  <c r="S102" i="14"/>
  <c r="S103" i="14"/>
  <c r="S104" i="14"/>
  <c r="S105" i="14"/>
  <c r="S106" i="14"/>
  <c r="S107" i="14"/>
  <c r="S108" i="14"/>
  <c r="S109" i="14"/>
  <c r="S110" i="14"/>
  <c r="S111" i="14"/>
  <c r="S112" i="14"/>
  <c r="S13" i="14"/>
  <c r="R14" i="14"/>
  <c r="R15" i="14"/>
  <c r="R16" i="14"/>
  <c r="R17" i="14"/>
  <c r="R18" i="14"/>
  <c r="R19" i="14"/>
  <c r="R20" i="14"/>
  <c r="R21" i="14"/>
  <c r="R22" i="14"/>
  <c r="R23" i="14"/>
  <c r="R24" i="14"/>
  <c r="R25" i="14"/>
  <c r="R26" i="14"/>
  <c r="R27" i="14"/>
  <c r="R28" i="14"/>
  <c r="R29" i="14"/>
  <c r="R30" i="14"/>
  <c r="R31" i="14"/>
  <c r="R32" i="14"/>
  <c r="R33" i="14"/>
  <c r="R34" i="14"/>
  <c r="R35" i="14"/>
  <c r="R36" i="14"/>
  <c r="R37" i="14"/>
  <c r="R38" i="14"/>
  <c r="R39" i="14"/>
  <c r="R40" i="14"/>
  <c r="R41" i="14"/>
  <c r="R42" i="14"/>
  <c r="R43" i="14"/>
  <c r="R44" i="14"/>
  <c r="R45" i="14"/>
  <c r="R46" i="14"/>
  <c r="R47" i="14"/>
  <c r="R48" i="14"/>
  <c r="R49" i="14"/>
  <c r="R50" i="14"/>
  <c r="R51" i="14"/>
  <c r="R52" i="14"/>
  <c r="R53" i="14"/>
  <c r="R54" i="14"/>
  <c r="R55" i="14"/>
  <c r="R56" i="14"/>
  <c r="R57" i="14"/>
  <c r="R58" i="14"/>
  <c r="R59" i="14"/>
  <c r="R60" i="14"/>
  <c r="R61" i="14"/>
  <c r="R62" i="14"/>
  <c r="R63" i="14"/>
  <c r="R64" i="14"/>
  <c r="R65" i="14"/>
  <c r="R66" i="14"/>
  <c r="R67" i="14"/>
  <c r="R68" i="14"/>
  <c r="R69" i="14"/>
  <c r="R70" i="14"/>
  <c r="R71" i="14"/>
  <c r="R72" i="14"/>
  <c r="R73" i="14"/>
  <c r="R74" i="14"/>
  <c r="R75" i="14"/>
  <c r="R76" i="14"/>
  <c r="R77" i="14"/>
  <c r="R78" i="14"/>
  <c r="R79" i="14"/>
  <c r="R80" i="14"/>
  <c r="R81" i="14"/>
  <c r="R82" i="14"/>
  <c r="R83" i="14"/>
  <c r="R84" i="14"/>
  <c r="R85" i="14"/>
  <c r="R86" i="14"/>
  <c r="R87" i="14"/>
  <c r="R88" i="14"/>
  <c r="R89" i="14"/>
  <c r="R90" i="14"/>
  <c r="R91" i="14"/>
  <c r="R92" i="14"/>
  <c r="R93" i="14"/>
  <c r="R94" i="14"/>
  <c r="R95" i="14"/>
  <c r="R96" i="14"/>
  <c r="R97" i="14"/>
  <c r="R98" i="14"/>
  <c r="R99" i="14"/>
  <c r="R100" i="14"/>
  <c r="R101" i="14"/>
  <c r="R102" i="14"/>
  <c r="R103" i="14"/>
  <c r="R104" i="14"/>
  <c r="R105" i="14"/>
  <c r="R106" i="14"/>
  <c r="R107" i="14"/>
  <c r="R108" i="14"/>
  <c r="R109" i="14"/>
  <c r="R110" i="14"/>
  <c r="R111" i="14"/>
  <c r="R112" i="14"/>
  <c r="R13" i="14"/>
  <c r="Q14" i="14"/>
  <c r="Q15" i="14"/>
  <c r="Q16" i="14"/>
  <c r="Q17" i="14"/>
  <c r="Q18" i="14"/>
  <c r="Q19" i="14"/>
  <c r="Q20" i="14"/>
  <c r="Q21" i="14"/>
  <c r="Q22" i="14"/>
  <c r="Q23" i="14"/>
  <c r="Q24" i="14"/>
  <c r="Q25" i="14"/>
  <c r="Q26" i="14"/>
  <c r="Q27" i="14"/>
  <c r="Q28" i="14"/>
  <c r="Q29" i="14"/>
  <c r="Q30" i="14"/>
  <c r="Q31" i="14"/>
  <c r="Q32" i="14"/>
  <c r="Q33" i="14"/>
  <c r="Q34" i="14"/>
  <c r="Q35" i="14"/>
  <c r="Q36" i="14"/>
  <c r="Q37" i="14"/>
  <c r="Q38" i="14"/>
  <c r="Q39" i="14"/>
  <c r="Q40" i="14"/>
  <c r="Q41" i="14"/>
  <c r="Q42" i="14"/>
  <c r="Q43" i="14"/>
  <c r="Q44" i="14"/>
  <c r="Q45" i="14"/>
  <c r="Q46" i="14"/>
  <c r="Q47" i="14"/>
  <c r="Q48" i="14"/>
  <c r="Q49" i="14"/>
  <c r="Q50" i="14"/>
  <c r="Q51" i="14"/>
  <c r="Q52" i="14"/>
  <c r="Q53" i="14"/>
  <c r="Q54" i="14"/>
  <c r="Q55" i="14"/>
  <c r="Q56" i="14"/>
  <c r="Q57" i="14"/>
  <c r="Q58" i="14"/>
  <c r="Q59" i="14"/>
  <c r="Q60" i="14"/>
  <c r="Q61" i="14"/>
  <c r="Q62" i="14"/>
  <c r="Q63" i="14"/>
  <c r="Q64" i="14"/>
  <c r="Q65" i="14"/>
  <c r="Q66" i="14"/>
  <c r="Q67" i="14"/>
  <c r="Q68" i="14"/>
  <c r="Q69" i="14"/>
  <c r="Q70" i="14"/>
  <c r="Q71" i="14"/>
  <c r="Q72" i="14"/>
  <c r="Q73" i="14"/>
  <c r="Q74" i="14"/>
  <c r="Q75" i="14"/>
  <c r="Q76" i="14"/>
  <c r="Q77" i="14"/>
  <c r="Q78" i="14"/>
  <c r="Q79" i="14"/>
  <c r="Q80" i="14"/>
  <c r="Q81" i="14"/>
  <c r="Q82" i="14"/>
  <c r="Q83" i="14"/>
  <c r="Q84" i="14"/>
  <c r="Q85" i="14"/>
  <c r="Q86" i="14"/>
  <c r="Q87" i="14"/>
  <c r="Q88" i="14"/>
  <c r="Q89" i="14"/>
  <c r="Q90" i="14"/>
  <c r="Q91" i="14"/>
  <c r="Q92" i="14"/>
  <c r="Q93" i="14"/>
  <c r="Q94" i="14"/>
  <c r="Q95" i="14"/>
  <c r="Q96" i="14"/>
  <c r="Q97" i="14"/>
  <c r="Q98" i="14"/>
  <c r="Q99" i="14"/>
  <c r="Q100" i="14"/>
  <c r="Q101" i="14"/>
  <c r="Q102" i="14"/>
  <c r="Q103" i="14"/>
  <c r="Q104" i="14"/>
  <c r="Q105" i="14"/>
  <c r="Q106" i="14"/>
  <c r="Q107" i="14"/>
  <c r="Q108" i="14"/>
  <c r="Q109" i="14"/>
  <c r="Q110" i="14"/>
  <c r="Q111" i="14"/>
  <c r="Q112" i="14"/>
  <c r="Q13" i="14"/>
  <c r="O14" i="14"/>
  <c r="O15" i="14"/>
  <c r="O16" i="14"/>
  <c r="O17" i="14"/>
  <c r="O18" i="14"/>
  <c r="O19" i="14"/>
  <c r="O20" i="14"/>
  <c r="O21" i="14"/>
  <c r="O22" i="14"/>
  <c r="O23" i="14"/>
  <c r="O24" i="14"/>
  <c r="O25" i="14"/>
  <c r="O26" i="14"/>
  <c r="O27" i="14"/>
  <c r="O28" i="14"/>
  <c r="O29" i="14"/>
  <c r="O30" i="14"/>
  <c r="O31" i="14"/>
  <c r="O32" i="14"/>
  <c r="O33" i="14"/>
  <c r="O34" i="14"/>
  <c r="O35" i="14"/>
  <c r="O36" i="14"/>
  <c r="O37" i="14"/>
  <c r="O38" i="14"/>
  <c r="O39" i="14"/>
  <c r="O40" i="14"/>
  <c r="O41" i="14"/>
  <c r="O42" i="14"/>
  <c r="O43" i="14"/>
  <c r="O44" i="14"/>
  <c r="O45" i="14"/>
  <c r="O46" i="14"/>
  <c r="O47" i="14"/>
  <c r="O48" i="14"/>
  <c r="O49" i="14"/>
  <c r="O50" i="14"/>
  <c r="O51" i="14"/>
  <c r="O52" i="14"/>
  <c r="O53" i="14"/>
  <c r="O54" i="14"/>
  <c r="O55" i="14"/>
  <c r="O56" i="14"/>
  <c r="O57" i="14"/>
  <c r="O58" i="14"/>
  <c r="O59" i="14"/>
  <c r="O60" i="14"/>
  <c r="O61" i="14"/>
  <c r="O62" i="14"/>
  <c r="O63" i="14"/>
  <c r="O64" i="14"/>
  <c r="O65" i="14"/>
  <c r="O66" i="14"/>
  <c r="O67" i="14"/>
  <c r="O68" i="14"/>
  <c r="O69" i="14"/>
  <c r="O70" i="14"/>
  <c r="O71" i="14"/>
  <c r="O72" i="14"/>
  <c r="O73" i="14"/>
  <c r="O74" i="14"/>
  <c r="O75" i="14"/>
  <c r="O76" i="14"/>
  <c r="O77" i="14"/>
  <c r="O78" i="14"/>
  <c r="O79" i="14"/>
  <c r="O80" i="14"/>
  <c r="O81" i="14"/>
  <c r="O82" i="14"/>
  <c r="O83" i="14"/>
  <c r="O84" i="14"/>
  <c r="O85" i="14"/>
  <c r="O86" i="14"/>
  <c r="O87" i="14"/>
  <c r="O88" i="14"/>
  <c r="O89" i="14"/>
  <c r="O90" i="14"/>
  <c r="O91" i="14"/>
  <c r="O92" i="14"/>
  <c r="O93" i="14"/>
  <c r="O94" i="14"/>
  <c r="O95" i="14"/>
  <c r="O96" i="14"/>
  <c r="O97" i="14"/>
  <c r="O98" i="14"/>
  <c r="O99" i="14"/>
  <c r="O100" i="14"/>
  <c r="O101" i="14"/>
  <c r="O102" i="14"/>
  <c r="O103" i="14"/>
  <c r="O104" i="14"/>
  <c r="O105" i="14"/>
  <c r="O106" i="14"/>
  <c r="O107" i="14"/>
  <c r="O108" i="14"/>
  <c r="O109" i="14"/>
  <c r="O110" i="14"/>
  <c r="O111" i="14"/>
  <c r="O112" i="14"/>
  <c r="O13" i="14"/>
  <c r="N14" i="14"/>
  <c r="N15" i="14"/>
  <c r="N16" i="14"/>
  <c r="N17" i="14"/>
  <c r="N18" i="14"/>
  <c r="N19" i="14"/>
  <c r="N20" i="14"/>
  <c r="N21" i="14"/>
  <c r="N22" i="14"/>
  <c r="N23" i="14"/>
  <c r="N24" i="14"/>
  <c r="N25" i="14"/>
  <c r="N26" i="14"/>
  <c r="N27" i="14"/>
  <c r="N28" i="14"/>
  <c r="N29" i="14"/>
  <c r="N30" i="14"/>
  <c r="N31" i="14"/>
  <c r="N32" i="14"/>
  <c r="N33" i="14"/>
  <c r="N34" i="14"/>
  <c r="N35" i="14"/>
  <c r="N36" i="14"/>
  <c r="N37" i="14"/>
  <c r="N38" i="14"/>
  <c r="N39" i="14"/>
  <c r="N40" i="14"/>
  <c r="N41" i="14"/>
  <c r="N42" i="14"/>
  <c r="N43" i="14"/>
  <c r="N44" i="14"/>
  <c r="N45" i="14"/>
  <c r="N46" i="14"/>
  <c r="N47" i="14"/>
  <c r="N48" i="14"/>
  <c r="N49" i="14"/>
  <c r="N50" i="14"/>
  <c r="N51" i="14"/>
  <c r="N52" i="14"/>
  <c r="N53" i="14"/>
  <c r="N54" i="14"/>
  <c r="N55" i="14"/>
  <c r="N56" i="14"/>
  <c r="N57" i="14"/>
  <c r="N58" i="14"/>
  <c r="N59" i="14"/>
  <c r="N60" i="14"/>
  <c r="N61" i="14"/>
  <c r="N62" i="14"/>
  <c r="N63" i="14"/>
  <c r="N64" i="14"/>
  <c r="N65" i="14"/>
  <c r="N66" i="14"/>
  <c r="N67" i="14"/>
  <c r="N68" i="14"/>
  <c r="N69" i="14"/>
  <c r="N70" i="14"/>
  <c r="N71" i="14"/>
  <c r="N72" i="14"/>
  <c r="N73" i="14"/>
  <c r="N74" i="14"/>
  <c r="N75" i="14"/>
  <c r="N76" i="14"/>
  <c r="N77" i="14"/>
  <c r="N78" i="14"/>
  <c r="N79" i="14"/>
  <c r="N80" i="14"/>
  <c r="N81" i="14"/>
  <c r="N82" i="14"/>
  <c r="N83" i="14"/>
  <c r="N84" i="14"/>
  <c r="N85" i="14"/>
  <c r="N86" i="14"/>
  <c r="N87" i="14"/>
  <c r="N88" i="14"/>
  <c r="N89" i="14"/>
  <c r="N90" i="14"/>
  <c r="N91" i="14"/>
  <c r="N92" i="14"/>
  <c r="N93" i="14"/>
  <c r="N94" i="14"/>
  <c r="N95" i="14"/>
  <c r="N96" i="14"/>
  <c r="N97" i="14"/>
  <c r="N98" i="14"/>
  <c r="N99" i="14"/>
  <c r="N100" i="14"/>
  <c r="N101" i="14"/>
  <c r="N102" i="14"/>
  <c r="N103" i="14"/>
  <c r="N104" i="14"/>
  <c r="N105" i="14"/>
  <c r="N106" i="14"/>
  <c r="N107" i="14"/>
  <c r="N108" i="14"/>
  <c r="N109" i="14"/>
  <c r="N110" i="14"/>
  <c r="N111" i="14"/>
  <c r="N112" i="14"/>
  <c r="N13" i="14"/>
  <c r="C29" i="13"/>
  <c r="L27" i="13" s="1"/>
  <c r="C17" i="13"/>
  <c r="C6" i="13"/>
  <c r="M10" i="11"/>
  <c r="M11" i="11"/>
  <c r="M12" i="11"/>
  <c r="M13" i="11"/>
  <c r="M14" i="11"/>
  <c r="M15" i="11"/>
  <c r="M16" i="11"/>
  <c r="M17" i="11"/>
  <c r="M18" i="11"/>
  <c r="M19" i="11"/>
  <c r="M20" i="11"/>
  <c r="M21" i="11"/>
  <c r="M22" i="11"/>
  <c r="M23" i="11"/>
  <c r="M24" i="11"/>
  <c r="M25" i="11"/>
  <c r="M26" i="11"/>
  <c r="M27" i="11"/>
  <c r="M28" i="11"/>
  <c r="M29" i="11"/>
  <c r="M30" i="11"/>
  <c r="M31" i="11"/>
  <c r="M32" i="11"/>
  <c r="M33" i="11"/>
  <c r="M34" i="11"/>
  <c r="M35" i="11"/>
  <c r="M36" i="11"/>
  <c r="M37" i="11"/>
  <c r="M38" i="11"/>
  <c r="M39" i="11"/>
  <c r="M40" i="11"/>
  <c r="M41" i="11"/>
  <c r="M42" i="11"/>
  <c r="M43" i="11"/>
  <c r="M44" i="11"/>
  <c r="M45" i="11"/>
  <c r="M46" i="11"/>
  <c r="M47" i="11"/>
  <c r="M48" i="11"/>
  <c r="M49" i="11"/>
  <c r="M50" i="11"/>
  <c r="M51" i="11"/>
  <c r="M52" i="11"/>
  <c r="M53" i="11"/>
  <c r="M54" i="11"/>
  <c r="M55" i="11"/>
  <c r="M56" i="11"/>
  <c r="M57" i="11"/>
  <c r="M58" i="11"/>
  <c r="M59" i="11"/>
  <c r="M60" i="11"/>
  <c r="M61" i="11"/>
  <c r="M62" i="11"/>
  <c r="M63" i="11"/>
  <c r="M64" i="11"/>
  <c r="M65" i="11"/>
  <c r="M66" i="11"/>
  <c r="M67" i="11"/>
  <c r="M68" i="11"/>
  <c r="M69" i="11"/>
  <c r="M70" i="11"/>
  <c r="M71" i="11"/>
  <c r="M72" i="11"/>
  <c r="M73" i="11"/>
  <c r="M74" i="11"/>
  <c r="M75" i="11"/>
  <c r="M76" i="11"/>
  <c r="M77" i="11"/>
  <c r="M78" i="11"/>
  <c r="M79" i="11"/>
  <c r="M80" i="11"/>
  <c r="M81" i="11"/>
  <c r="M82" i="11"/>
  <c r="M83" i="11"/>
  <c r="M84" i="11"/>
  <c r="M85" i="11"/>
  <c r="M86" i="11"/>
  <c r="M87" i="11"/>
  <c r="M88" i="11"/>
  <c r="M89" i="11"/>
  <c r="M90" i="11"/>
  <c r="M91" i="11"/>
  <c r="M92" i="11"/>
  <c r="M93" i="11"/>
  <c r="M94" i="11"/>
  <c r="M95" i="11"/>
  <c r="M96" i="11"/>
  <c r="M97" i="11"/>
  <c r="M98" i="11"/>
  <c r="M99" i="11"/>
  <c r="M100" i="11"/>
  <c r="M101" i="11"/>
  <c r="M102" i="11"/>
  <c r="M103" i="11"/>
  <c r="M104" i="11"/>
  <c r="M105" i="11"/>
  <c r="M106" i="11"/>
  <c r="M107" i="11"/>
  <c r="M108" i="11"/>
  <c r="M9" i="11"/>
  <c r="L10" i="11"/>
  <c r="L11" i="11"/>
  <c r="L12" i="11"/>
  <c r="L13" i="11"/>
  <c r="L14" i="11"/>
  <c r="L15" i="11"/>
  <c r="L16" i="11"/>
  <c r="L17" i="11"/>
  <c r="L18" i="11"/>
  <c r="L19" i="11"/>
  <c r="L20" i="11"/>
  <c r="L21" i="11"/>
  <c r="L22" i="11"/>
  <c r="L23" i="11"/>
  <c r="L24" i="11"/>
  <c r="L25" i="11"/>
  <c r="L26" i="11"/>
  <c r="L27" i="11"/>
  <c r="L28" i="11"/>
  <c r="L29" i="11"/>
  <c r="L30" i="11"/>
  <c r="L31" i="11"/>
  <c r="L32" i="11"/>
  <c r="L33" i="11"/>
  <c r="L34" i="11"/>
  <c r="L35" i="11"/>
  <c r="L36" i="11"/>
  <c r="L37" i="11"/>
  <c r="L38" i="11"/>
  <c r="L39" i="11"/>
  <c r="L40" i="11"/>
  <c r="L41" i="11"/>
  <c r="L42" i="11"/>
  <c r="L43" i="11"/>
  <c r="L44" i="11"/>
  <c r="L45" i="11"/>
  <c r="L46" i="11"/>
  <c r="L47" i="11"/>
  <c r="L48" i="11"/>
  <c r="L49" i="11"/>
  <c r="L50" i="11"/>
  <c r="L51" i="11"/>
  <c r="L52" i="11"/>
  <c r="L53" i="11"/>
  <c r="L54" i="11"/>
  <c r="L55" i="11"/>
  <c r="L56" i="11"/>
  <c r="L57" i="11"/>
  <c r="L58" i="11"/>
  <c r="L59" i="11"/>
  <c r="L60" i="11"/>
  <c r="L61" i="11"/>
  <c r="L62" i="11"/>
  <c r="L63" i="11"/>
  <c r="L64" i="11"/>
  <c r="L65" i="11"/>
  <c r="L66" i="11"/>
  <c r="L67" i="11"/>
  <c r="L68" i="11"/>
  <c r="L69" i="11"/>
  <c r="L70" i="11"/>
  <c r="L71" i="11"/>
  <c r="L72" i="11"/>
  <c r="L73" i="11"/>
  <c r="L74" i="11"/>
  <c r="L75" i="11"/>
  <c r="L76" i="11"/>
  <c r="L77" i="11"/>
  <c r="L78" i="11"/>
  <c r="L79" i="11"/>
  <c r="L80" i="11"/>
  <c r="L81" i="11"/>
  <c r="L82" i="11"/>
  <c r="L83" i="11"/>
  <c r="L84" i="11"/>
  <c r="L85" i="11"/>
  <c r="L86" i="11"/>
  <c r="L87" i="11"/>
  <c r="L88" i="11"/>
  <c r="L89" i="11"/>
  <c r="L90" i="11"/>
  <c r="L91" i="11"/>
  <c r="L92" i="11"/>
  <c r="L93" i="11"/>
  <c r="L94" i="11"/>
  <c r="L95" i="11"/>
  <c r="L96" i="11"/>
  <c r="L97" i="11"/>
  <c r="L98" i="11"/>
  <c r="L99" i="11"/>
  <c r="L100" i="11"/>
  <c r="L101" i="11"/>
  <c r="L102" i="11"/>
  <c r="L103" i="11"/>
  <c r="L104" i="11"/>
  <c r="L105" i="11"/>
  <c r="L106" i="11"/>
  <c r="L107" i="11"/>
  <c r="L108" i="11"/>
  <c r="L9" i="11"/>
  <c r="K10" i="11"/>
  <c r="K11" i="11"/>
  <c r="K12" i="11"/>
  <c r="K13" i="11"/>
  <c r="K14" i="11"/>
  <c r="K15" i="11"/>
  <c r="K16" i="11"/>
  <c r="K17" i="11"/>
  <c r="K18" i="11"/>
  <c r="K19" i="11"/>
  <c r="K20" i="11"/>
  <c r="K21" i="11"/>
  <c r="K22" i="11"/>
  <c r="K23" i="11"/>
  <c r="K24" i="11"/>
  <c r="K25" i="11"/>
  <c r="K26" i="11"/>
  <c r="K27" i="11"/>
  <c r="K28" i="11"/>
  <c r="K29" i="11"/>
  <c r="K30" i="11"/>
  <c r="K31" i="11"/>
  <c r="K32" i="11"/>
  <c r="K33" i="11"/>
  <c r="K34" i="11"/>
  <c r="K35" i="11"/>
  <c r="K36" i="11"/>
  <c r="K37" i="11"/>
  <c r="K38" i="11"/>
  <c r="K39" i="11"/>
  <c r="K40" i="11"/>
  <c r="K41" i="11"/>
  <c r="K42" i="11"/>
  <c r="K43" i="11"/>
  <c r="K44" i="11"/>
  <c r="K45" i="11"/>
  <c r="K46" i="11"/>
  <c r="K47" i="11"/>
  <c r="K48" i="11"/>
  <c r="K49" i="11"/>
  <c r="K50" i="11"/>
  <c r="K51" i="11"/>
  <c r="K52" i="11"/>
  <c r="K53" i="11"/>
  <c r="K54" i="11"/>
  <c r="K55" i="11"/>
  <c r="K56" i="11"/>
  <c r="K57" i="11"/>
  <c r="K58" i="11"/>
  <c r="K59" i="11"/>
  <c r="K60" i="11"/>
  <c r="K61" i="11"/>
  <c r="K62" i="11"/>
  <c r="K63" i="11"/>
  <c r="K64" i="11"/>
  <c r="K65" i="11"/>
  <c r="K66" i="11"/>
  <c r="K67" i="11"/>
  <c r="K68" i="11"/>
  <c r="K69" i="11"/>
  <c r="K70" i="11"/>
  <c r="K71" i="11"/>
  <c r="K72" i="11"/>
  <c r="K73" i="11"/>
  <c r="K74" i="11"/>
  <c r="K75" i="11"/>
  <c r="K76" i="11"/>
  <c r="K77" i="11"/>
  <c r="K78" i="11"/>
  <c r="K79" i="11"/>
  <c r="K80" i="11"/>
  <c r="K81" i="11"/>
  <c r="K82" i="11"/>
  <c r="K83" i="11"/>
  <c r="K84" i="11"/>
  <c r="K85" i="11"/>
  <c r="K86" i="11"/>
  <c r="K87" i="11"/>
  <c r="K88" i="11"/>
  <c r="K89" i="11"/>
  <c r="K90" i="11"/>
  <c r="K91" i="11"/>
  <c r="K92" i="11"/>
  <c r="K93" i="11"/>
  <c r="K94" i="11"/>
  <c r="K95" i="11"/>
  <c r="K96" i="11"/>
  <c r="K97" i="11"/>
  <c r="K98" i="11"/>
  <c r="K99" i="11"/>
  <c r="K100" i="11"/>
  <c r="K101" i="11"/>
  <c r="K102" i="11"/>
  <c r="K103" i="11"/>
  <c r="K104" i="11"/>
  <c r="K105" i="11"/>
  <c r="K106" i="11"/>
  <c r="K107" i="11"/>
  <c r="K108" i="11"/>
  <c r="K9" i="11"/>
  <c r="J10" i="11"/>
  <c r="J11" i="11"/>
  <c r="J12" i="11"/>
  <c r="J13" i="11"/>
  <c r="J14" i="11"/>
  <c r="J15" i="11"/>
  <c r="J16" i="11"/>
  <c r="J17" i="11"/>
  <c r="J18" i="11"/>
  <c r="J19" i="11"/>
  <c r="J20" i="11"/>
  <c r="J21" i="11"/>
  <c r="J22" i="11"/>
  <c r="J23" i="11"/>
  <c r="J24" i="11"/>
  <c r="J25" i="11"/>
  <c r="J26" i="11"/>
  <c r="J27" i="11"/>
  <c r="J28" i="11"/>
  <c r="J29" i="11"/>
  <c r="J30" i="11"/>
  <c r="J31" i="11"/>
  <c r="J32" i="11"/>
  <c r="J33" i="11"/>
  <c r="J34" i="11"/>
  <c r="J35" i="11"/>
  <c r="J36" i="11"/>
  <c r="J37" i="11"/>
  <c r="J38" i="11"/>
  <c r="J39" i="11"/>
  <c r="J40" i="11"/>
  <c r="J41" i="11"/>
  <c r="J42" i="11"/>
  <c r="J43" i="11"/>
  <c r="J44" i="11"/>
  <c r="J45" i="11"/>
  <c r="J46" i="11"/>
  <c r="J47" i="11"/>
  <c r="J48" i="11"/>
  <c r="J49" i="11"/>
  <c r="J50" i="11"/>
  <c r="J51" i="11"/>
  <c r="J52" i="11"/>
  <c r="J53" i="11"/>
  <c r="J54" i="11"/>
  <c r="J55" i="11"/>
  <c r="J56" i="11"/>
  <c r="J57" i="11"/>
  <c r="J58" i="11"/>
  <c r="J59" i="11"/>
  <c r="J60" i="11"/>
  <c r="J61" i="11"/>
  <c r="J62" i="11"/>
  <c r="J63" i="11"/>
  <c r="J64" i="11"/>
  <c r="J65" i="11"/>
  <c r="J66" i="11"/>
  <c r="J67" i="11"/>
  <c r="J68" i="11"/>
  <c r="J69" i="11"/>
  <c r="J70" i="11"/>
  <c r="J71" i="11"/>
  <c r="J72" i="11"/>
  <c r="J73" i="11"/>
  <c r="J74" i="11"/>
  <c r="J75" i="11"/>
  <c r="J76" i="11"/>
  <c r="J77" i="11"/>
  <c r="J78" i="11"/>
  <c r="J79" i="11"/>
  <c r="J80" i="11"/>
  <c r="J81" i="11"/>
  <c r="J82" i="11"/>
  <c r="J83" i="11"/>
  <c r="J84" i="11"/>
  <c r="J85" i="11"/>
  <c r="J86" i="11"/>
  <c r="J87" i="11"/>
  <c r="J88" i="11"/>
  <c r="J89" i="11"/>
  <c r="J90" i="11"/>
  <c r="J91" i="11"/>
  <c r="J92" i="11"/>
  <c r="J93" i="11"/>
  <c r="J94" i="11"/>
  <c r="J95" i="11"/>
  <c r="J96" i="11"/>
  <c r="J97" i="11"/>
  <c r="J98" i="11"/>
  <c r="J99" i="11"/>
  <c r="J100" i="11"/>
  <c r="J101" i="11"/>
  <c r="J102" i="11"/>
  <c r="J103" i="11"/>
  <c r="J104" i="11"/>
  <c r="J105" i="11"/>
  <c r="J106" i="11"/>
  <c r="J107" i="11"/>
  <c r="J108" i="11"/>
  <c r="J9" i="11"/>
  <c r="I10" i="11"/>
  <c r="I11" i="11"/>
  <c r="I12" i="11"/>
  <c r="I13" i="11"/>
  <c r="I14" i="11"/>
  <c r="I15" i="11"/>
  <c r="I16" i="11"/>
  <c r="I17" i="11"/>
  <c r="I18" i="11"/>
  <c r="I19" i="11"/>
  <c r="I20" i="11"/>
  <c r="I21" i="11"/>
  <c r="I22" i="11"/>
  <c r="I23" i="11"/>
  <c r="I24" i="11"/>
  <c r="I25" i="11"/>
  <c r="I26" i="11"/>
  <c r="I27" i="11"/>
  <c r="I28" i="11"/>
  <c r="I29" i="11"/>
  <c r="I30" i="11"/>
  <c r="I31" i="11"/>
  <c r="I32" i="11"/>
  <c r="I33" i="11"/>
  <c r="I34" i="11"/>
  <c r="I35" i="11"/>
  <c r="I36" i="11"/>
  <c r="I37" i="11"/>
  <c r="I38" i="11"/>
  <c r="I39" i="11"/>
  <c r="I40" i="11"/>
  <c r="I41" i="11"/>
  <c r="I42" i="11"/>
  <c r="I43" i="11"/>
  <c r="I44" i="11"/>
  <c r="I45" i="11"/>
  <c r="I46" i="11"/>
  <c r="I47" i="11"/>
  <c r="I48" i="11"/>
  <c r="I49" i="11"/>
  <c r="I50" i="11"/>
  <c r="I51" i="11"/>
  <c r="I52" i="11"/>
  <c r="I53" i="11"/>
  <c r="I54" i="11"/>
  <c r="I55" i="11"/>
  <c r="I56" i="11"/>
  <c r="I57" i="11"/>
  <c r="I58" i="11"/>
  <c r="I59" i="11"/>
  <c r="I60" i="11"/>
  <c r="I61" i="11"/>
  <c r="I62" i="11"/>
  <c r="I63" i="11"/>
  <c r="I64" i="11"/>
  <c r="I65" i="11"/>
  <c r="I66" i="11"/>
  <c r="I67" i="11"/>
  <c r="I68" i="11"/>
  <c r="I69" i="11"/>
  <c r="I70" i="11"/>
  <c r="I71" i="11"/>
  <c r="I72" i="11"/>
  <c r="I73" i="11"/>
  <c r="I74" i="11"/>
  <c r="I75" i="11"/>
  <c r="I76" i="11"/>
  <c r="I77" i="11"/>
  <c r="I78" i="11"/>
  <c r="I79" i="11"/>
  <c r="I80" i="11"/>
  <c r="I81" i="11"/>
  <c r="I82" i="11"/>
  <c r="I83" i="11"/>
  <c r="I84" i="11"/>
  <c r="I85" i="11"/>
  <c r="I86" i="11"/>
  <c r="I87" i="11"/>
  <c r="I88" i="11"/>
  <c r="I89" i="11"/>
  <c r="I90" i="11"/>
  <c r="I91" i="11"/>
  <c r="I92" i="11"/>
  <c r="I93" i="11"/>
  <c r="I94" i="11"/>
  <c r="I95" i="11"/>
  <c r="I96" i="11"/>
  <c r="I97" i="11"/>
  <c r="I98" i="11"/>
  <c r="I99" i="11"/>
  <c r="I100" i="11"/>
  <c r="I101" i="11"/>
  <c r="I102" i="11"/>
  <c r="I103" i="11"/>
  <c r="I104" i="11"/>
  <c r="I105" i="11"/>
  <c r="I106" i="11"/>
  <c r="I107" i="11"/>
  <c r="I108" i="11"/>
  <c r="I9" i="11"/>
  <c r="H10" i="11"/>
  <c r="H11" i="11"/>
  <c r="H12" i="11"/>
  <c r="H13" i="11"/>
  <c r="H14" i="11"/>
  <c r="H15" i="11"/>
  <c r="H16" i="11"/>
  <c r="H17" i="11"/>
  <c r="H18" i="11"/>
  <c r="H19" i="11"/>
  <c r="H20" i="11"/>
  <c r="H21" i="11"/>
  <c r="H22" i="11"/>
  <c r="H23" i="11"/>
  <c r="H24" i="11"/>
  <c r="H25" i="11"/>
  <c r="H26" i="11"/>
  <c r="H27" i="11"/>
  <c r="H28" i="11"/>
  <c r="H29" i="11"/>
  <c r="H30" i="11"/>
  <c r="H31" i="11"/>
  <c r="H32" i="11"/>
  <c r="H33" i="11"/>
  <c r="H34" i="11"/>
  <c r="H35" i="11"/>
  <c r="H36" i="11"/>
  <c r="H37" i="11"/>
  <c r="H38" i="11"/>
  <c r="H39" i="11"/>
  <c r="H40" i="11"/>
  <c r="H41" i="11"/>
  <c r="H42" i="11"/>
  <c r="H43" i="11"/>
  <c r="H44" i="11"/>
  <c r="H45" i="11"/>
  <c r="H46" i="11"/>
  <c r="H47" i="11"/>
  <c r="H48" i="11"/>
  <c r="H49" i="11"/>
  <c r="H50" i="11"/>
  <c r="H51" i="11"/>
  <c r="H52" i="11"/>
  <c r="H53" i="11"/>
  <c r="H54" i="11"/>
  <c r="H55" i="11"/>
  <c r="H56" i="11"/>
  <c r="H57" i="11"/>
  <c r="H58" i="11"/>
  <c r="H59" i="11"/>
  <c r="H60" i="11"/>
  <c r="H61" i="11"/>
  <c r="H62" i="11"/>
  <c r="H63" i="11"/>
  <c r="H64" i="11"/>
  <c r="H65" i="11"/>
  <c r="H66" i="11"/>
  <c r="H67" i="11"/>
  <c r="H68" i="11"/>
  <c r="H69" i="11"/>
  <c r="H70" i="11"/>
  <c r="H71" i="11"/>
  <c r="H72" i="11"/>
  <c r="H73" i="11"/>
  <c r="H74" i="11"/>
  <c r="H75" i="11"/>
  <c r="H76" i="11"/>
  <c r="H77" i="11"/>
  <c r="H78" i="11"/>
  <c r="H79" i="11"/>
  <c r="H80" i="11"/>
  <c r="H81" i="11"/>
  <c r="H82" i="11"/>
  <c r="H83" i="11"/>
  <c r="H84" i="11"/>
  <c r="H85" i="11"/>
  <c r="H86" i="11"/>
  <c r="H87" i="11"/>
  <c r="H88" i="11"/>
  <c r="H89" i="11"/>
  <c r="H90" i="11"/>
  <c r="H91" i="11"/>
  <c r="H92" i="11"/>
  <c r="H93" i="11"/>
  <c r="H94" i="11"/>
  <c r="H95" i="11"/>
  <c r="H96" i="11"/>
  <c r="H97" i="11"/>
  <c r="H98" i="11"/>
  <c r="H99" i="11"/>
  <c r="H100" i="11"/>
  <c r="H101" i="11"/>
  <c r="H102" i="11"/>
  <c r="H103" i="11"/>
  <c r="H104" i="11"/>
  <c r="H105" i="11"/>
  <c r="H106" i="11"/>
  <c r="H107" i="11"/>
  <c r="H108" i="11"/>
  <c r="H9" i="11"/>
  <c r="G10" i="11"/>
  <c r="G11" i="11"/>
  <c r="G12" i="11"/>
  <c r="G13" i="11"/>
  <c r="G14" i="11"/>
  <c r="G15" i="11"/>
  <c r="G16" i="11"/>
  <c r="G17" i="11"/>
  <c r="G18" i="11"/>
  <c r="G19" i="11"/>
  <c r="G20" i="11"/>
  <c r="G21" i="11"/>
  <c r="G22" i="11"/>
  <c r="G23" i="11"/>
  <c r="G24" i="11"/>
  <c r="G25" i="11"/>
  <c r="G26" i="11"/>
  <c r="G27" i="11"/>
  <c r="G28" i="11"/>
  <c r="G29" i="11"/>
  <c r="G30" i="11"/>
  <c r="G31" i="11"/>
  <c r="G32" i="11"/>
  <c r="G33" i="11"/>
  <c r="G34" i="11"/>
  <c r="G35" i="11"/>
  <c r="G36" i="11"/>
  <c r="G37" i="11"/>
  <c r="G38" i="11"/>
  <c r="G39" i="11"/>
  <c r="G40" i="11"/>
  <c r="G41" i="11"/>
  <c r="G42" i="11"/>
  <c r="G43" i="11"/>
  <c r="G44" i="11"/>
  <c r="G45" i="11"/>
  <c r="G46" i="11"/>
  <c r="G47" i="11"/>
  <c r="G48" i="11"/>
  <c r="G49" i="11"/>
  <c r="G50" i="11"/>
  <c r="G51" i="11"/>
  <c r="G52" i="11"/>
  <c r="G53" i="11"/>
  <c r="G54" i="11"/>
  <c r="G55" i="11"/>
  <c r="G56" i="11"/>
  <c r="G57" i="11"/>
  <c r="G58" i="11"/>
  <c r="G59" i="11"/>
  <c r="G60" i="11"/>
  <c r="G61" i="11"/>
  <c r="G62" i="11"/>
  <c r="G63" i="11"/>
  <c r="G64" i="11"/>
  <c r="G65" i="11"/>
  <c r="G66" i="11"/>
  <c r="G67" i="11"/>
  <c r="G68" i="11"/>
  <c r="G69" i="11"/>
  <c r="G70" i="11"/>
  <c r="G71" i="11"/>
  <c r="G72" i="11"/>
  <c r="G73" i="11"/>
  <c r="G74" i="11"/>
  <c r="G75" i="11"/>
  <c r="G76" i="11"/>
  <c r="G77" i="11"/>
  <c r="G78" i="11"/>
  <c r="G79" i="11"/>
  <c r="G80" i="11"/>
  <c r="G81" i="11"/>
  <c r="G82" i="11"/>
  <c r="G83" i="11"/>
  <c r="G84" i="11"/>
  <c r="G85" i="11"/>
  <c r="G86" i="11"/>
  <c r="G87" i="11"/>
  <c r="G88" i="11"/>
  <c r="G89" i="11"/>
  <c r="G90" i="11"/>
  <c r="G91" i="11"/>
  <c r="G92" i="11"/>
  <c r="G93" i="11"/>
  <c r="G94" i="11"/>
  <c r="G95" i="11"/>
  <c r="G96" i="11"/>
  <c r="G97" i="11"/>
  <c r="G98" i="11"/>
  <c r="G99" i="11"/>
  <c r="G100" i="11"/>
  <c r="G101" i="11"/>
  <c r="G102" i="11"/>
  <c r="G103" i="11"/>
  <c r="G104" i="11"/>
  <c r="G105" i="11"/>
  <c r="G106" i="11"/>
  <c r="G107" i="11"/>
  <c r="G108" i="11"/>
  <c r="G9" i="11"/>
  <c r="F9" i="11"/>
  <c r="F10" i="11"/>
  <c r="F11" i="11"/>
  <c r="F12" i="11"/>
  <c r="F13" i="11"/>
  <c r="F14" i="11"/>
  <c r="F15" i="11"/>
  <c r="F16" i="11"/>
  <c r="F17" i="11"/>
  <c r="F18" i="11"/>
  <c r="F19" i="11"/>
  <c r="F20" i="11"/>
  <c r="F21" i="11"/>
  <c r="F22" i="11"/>
  <c r="F23" i="11"/>
  <c r="F24" i="11"/>
  <c r="F25" i="11"/>
  <c r="F26" i="11"/>
  <c r="F27" i="11"/>
  <c r="F28" i="11"/>
  <c r="F29" i="11"/>
  <c r="F30" i="11"/>
  <c r="F31" i="11"/>
  <c r="F32" i="11"/>
  <c r="F33" i="11"/>
  <c r="F34" i="11"/>
  <c r="F35" i="11"/>
  <c r="F36" i="11"/>
  <c r="F37" i="11"/>
  <c r="F38" i="11"/>
  <c r="F39" i="11"/>
  <c r="F40" i="11"/>
  <c r="F41" i="11"/>
  <c r="F42" i="11"/>
  <c r="F43" i="11"/>
  <c r="F44" i="11"/>
  <c r="F45" i="11"/>
  <c r="F46" i="11"/>
  <c r="F47" i="11"/>
  <c r="F48" i="11"/>
  <c r="F49" i="11"/>
  <c r="F50" i="11"/>
  <c r="F51" i="11"/>
  <c r="F52" i="11"/>
  <c r="F53" i="11"/>
  <c r="F54" i="11"/>
  <c r="F55" i="11"/>
  <c r="F56" i="11"/>
  <c r="F57" i="11"/>
  <c r="F58" i="11"/>
  <c r="F59" i="11"/>
  <c r="F60" i="11"/>
  <c r="F61" i="11"/>
  <c r="F62" i="11"/>
  <c r="F63" i="11"/>
  <c r="F64" i="11"/>
  <c r="F65" i="11"/>
  <c r="F66" i="11"/>
  <c r="F67" i="11"/>
  <c r="F68" i="11"/>
  <c r="F69" i="11"/>
  <c r="F70" i="11"/>
  <c r="F71" i="11"/>
  <c r="F72" i="11"/>
  <c r="F73" i="11"/>
  <c r="F74" i="11"/>
  <c r="F75" i="11"/>
  <c r="F76" i="11"/>
  <c r="F77" i="11"/>
  <c r="F78" i="11"/>
  <c r="F79" i="11"/>
  <c r="F80" i="11"/>
  <c r="F81" i="11"/>
  <c r="F82" i="11"/>
  <c r="F83" i="11"/>
  <c r="F84" i="11"/>
  <c r="F85" i="11"/>
  <c r="F86" i="11"/>
  <c r="F87" i="11"/>
  <c r="F88" i="11"/>
  <c r="F89" i="11"/>
  <c r="F90" i="11"/>
  <c r="F91" i="11"/>
  <c r="F92" i="11"/>
  <c r="F93" i="11"/>
  <c r="F94" i="11"/>
  <c r="F95" i="11"/>
  <c r="F96" i="11"/>
  <c r="F97" i="11"/>
  <c r="F98" i="11"/>
  <c r="F99" i="11"/>
  <c r="F100" i="11"/>
  <c r="F101" i="11"/>
  <c r="F102" i="11"/>
  <c r="F103" i="11"/>
  <c r="F104" i="11"/>
  <c r="F105" i="11"/>
  <c r="F106" i="11"/>
  <c r="F107" i="11"/>
  <c r="F108" i="11"/>
  <c r="E10" i="11"/>
  <c r="E11" i="11"/>
  <c r="E12" i="11"/>
  <c r="E13" i="11"/>
  <c r="E14" i="11"/>
  <c r="E15" i="11"/>
  <c r="E16" i="11"/>
  <c r="E17" i="11"/>
  <c r="E18" i="11"/>
  <c r="E19" i="11"/>
  <c r="E20" i="11"/>
  <c r="E21" i="11"/>
  <c r="E22" i="11"/>
  <c r="E23" i="11"/>
  <c r="E24" i="11"/>
  <c r="E25" i="11"/>
  <c r="E26" i="11"/>
  <c r="E27" i="11"/>
  <c r="E28" i="11"/>
  <c r="E29" i="11"/>
  <c r="E30" i="11"/>
  <c r="E31" i="11"/>
  <c r="E32" i="11"/>
  <c r="E33" i="11"/>
  <c r="E34" i="11"/>
  <c r="E35" i="11"/>
  <c r="E36" i="11"/>
  <c r="E37" i="11"/>
  <c r="E38" i="11"/>
  <c r="E39" i="11"/>
  <c r="E40" i="11"/>
  <c r="E41" i="11"/>
  <c r="E42" i="11"/>
  <c r="E43" i="11"/>
  <c r="E44" i="11"/>
  <c r="E45" i="11"/>
  <c r="E46" i="11"/>
  <c r="E47" i="11"/>
  <c r="E48" i="11"/>
  <c r="E49" i="11"/>
  <c r="E50" i="11"/>
  <c r="E51" i="11"/>
  <c r="E52" i="11"/>
  <c r="E53" i="11"/>
  <c r="E54" i="11"/>
  <c r="E55" i="11"/>
  <c r="E56" i="11"/>
  <c r="E57" i="11"/>
  <c r="E58" i="11"/>
  <c r="E59" i="11"/>
  <c r="E60" i="11"/>
  <c r="E61" i="11"/>
  <c r="E62" i="11"/>
  <c r="E63" i="11"/>
  <c r="E64" i="11"/>
  <c r="E65" i="11"/>
  <c r="E66" i="11"/>
  <c r="E67" i="11"/>
  <c r="E68" i="11"/>
  <c r="E69" i="11"/>
  <c r="E70" i="11"/>
  <c r="E71" i="11"/>
  <c r="E72" i="11"/>
  <c r="E73" i="11"/>
  <c r="E74" i="11"/>
  <c r="E75" i="11"/>
  <c r="E76" i="11"/>
  <c r="E77" i="11"/>
  <c r="E78" i="11"/>
  <c r="E79" i="11"/>
  <c r="E80" i="11"/>
  <c r="E81" i="11"/>
  <c r="E82" i="11"/>
  <c r="E83" i="11"/>
  <c r="E84" i="11"/>
  <c r="E85" i="11"/>
  <c r="E86" i="11"/>
  <c r="E87" i="11"/>
  <c r="E88" i="11"/>
  <c r="E89" i="11"/>
  <c r="E90" i="11"/>
  <c r="E91" i="11"/>
  <c r="E92" i="11"/>
  <c r="E93" i="11"/>
  <c r="E94" i="11"/>
  <c r="E95" i="11"/>
  <c r="E96" i="11"/>
  <c r="E97" i="11"/>
  <c r="E98" i="11"/>
  <c r="E99" i="11"/>
  <c r="E100" i="11"/>
  <c r="E101" i="11"/>
  <c r="E102" i="11"/>
  <c r="E103" i="11"/>
  <c r="E104" i="11"/>
  <c r="E105" i="11"/>
  <c r="E106" i="11"/>
  <c r="E107" i="11"/>
  <c r="E108" i="11"/>
  <c r="E9" i="11"/>
  <c r="N15" i="10"/>
  <c r="N16" i="10"/>
  <c r="N17" i="10"/>
  <c r="N18" i="10"/>
  <c r="N19" i="10"/>
  <c r="N20" i="10"/>
  <c r="N21" i="10"/>
  <c r="N22" i="10"/>
  <c r="N23" i="10"/>
  <c r="N24" i="10"/>
  <c r="N25" i="10"/>
  <c r="N26" i="10"/>
  <c r="N27" i="10"/>
  <c r="N28" i="10"/>
  <c r="N29" i="10"/>
  <c r="N30" i="10"/>
  <c r="N31" i="10"/>
  <c r="N32" i="10"/>
  <c r="N33" i="10"/>
  <c r="N34" i="10"/>
  <c r="N35" i="10"/>
  <c r="N36" i="10"/>
  <c r="N37" i="10"/>
  <c r="N38" i="10"/>
  <c r="N39" i="10"/>
  <c r="N40" i="10"/>
  <c r="N41" i="10"/>
  <c r="N42" i="10"/>
  <c r="N43" i="10"/>
  <c r="N44" i="10"/>
  <c r="N45" i="10"/>
  <c r="N46" i="10"/>
  <c r="N47" i="10"/>
  <c r="N48" i="10"/>
  <c r="N49" i="10"/>
  <c r="N50" i="10"/>
  <c r="N51" i="10"/>
  <c r="N52" i="10"/>
  <c r="N53" i="10"/>
  <c r="N54" i="10"/>
  <c r="N55" i="10"/>
  <c r="N56" i="10"/>
  <c r="N57" i="10"/>
  <c r="N58" i="10"/>
  <c r="N59" i="10"/>
  <c r="N60" i="10"/>
  <c r="N61" i="10"/>
  <c r="N62" i="10"/>
  <c r="N63" i="10"/>
  <c r="N64" i="10"/>
  <c r="N65" i="10"/>
  <c r="N66" i="10"/>
  <c r="N67" i="10"/>
  <c r="N68" i="10"/>
  <c r="N69" i="10"/>
  <c r="N70" i="10"/>
  <c r="N71" i="10"/>
  <c r="N72" i="10"/>
  <c r="N73" i="10"/>
  <c r="N74" i="10"/>
  <c r="N75" i="10"/>
  <c r="N76" i="10"/>
  <c r="N77" i="10"/>
  <c r="N78" i="10"/>
  <c r="N79" i="10"/>
  <c r="N80" i="10"/>
  <c r="N81" i="10"/>
  <c r="N82" i="10"/>
  <c r="N83" i="10"/>
  <c r="N84" i="10"/>
  <c r="N85" i="10"/>
  <c r="N86" i="10"/>
  <c r="N87" i="10"/>
  <c r="N88" i="10"/>
  <c r="N89" i="10"/>
  <c r="N90" i="10"/>
  <c r="N91" i="10"/>
  <c r="N92" i="10"/>
  <c r="N93" i="10"/>
  <c r="N94" i="10"/>
  <c r="N95" i="10"/>
  <c r="N96" i="10"/>
  <c r="N97" i="10"/>
  <c r="N98" i="10"/>
  <c r="N99" i="10"/>
  <c r="N100" i="10"/>
  <c r="N101" i="10"/>
  <c r="N102" i="10"/>
  <c r="N103" i="10"/>
  <c r="N104" i="10"/>
  <c r="N105" i="10"/>
  <c r="N106" i="10"/>
  <c r="N107" i="10"/>
  <c r="N108" i="10"/>
  <c r="N109" i="10"/>
  <c r="N110" i="10"/>
  <c r="N111" i="10"/>
  <c r="N112" i="10"/>
  <c r="N113" i="10"/>
  <c r="M15" i="10"/>
  <c r="M16" i="10"/>
  <c r="M17" i="10"/>
  <c r="M18" i="10"/>
  <c r="M19" i="10"/>
  <c r="M20" i="10"/>
  <c r="M21" i="10"/>
  <c r="M22" i="10"/>
  <c r="M23" i="10"/>
  <c r="M24" i="10"/>
  <c r="M25" i="10"/>
  <c r="M26" i="10"/>
  <c r="M27" i="10"/>
  <c r="M28" i="10"/>
  <c r="M29" i="10"/>
  <c r="M30" i="10"/>
  <c r="M31" i="10"/>
  <c r="M32" i="10"/>
  <c r="M33" i="10"/>
  <c r="M34" i="10"/>
  <c r="M35" i="10"/>
  <c r="M36" i="10"/>
  <c r="M37" i="10"/>
  <c r="M38" i="10"/>
  <c r="M39" i="10"/>
  <c r="M40" i="10"/>
  <c r="M41" i="10"/>
  <c r="M42" i="10"/>
  <c r="M43" i="10"/>
  <c r="M44" i="10"/>
  <c r="M45" i="10"/>
  <c r="M46" i="10"/>
  <c r="M47" i="10"/>
  <c r="M48" i="10"/>
  <c r="M49" i="10"/>
  <c r="M50" i="10"/>
  <c r="M51" i="10"/>
  <c r="M52" i="10"/>
  <c r="M53" i="10"/>
  <c r="M54" i="10"/>
  <c r="M55" i="10"/>
  <c r="M56" i="10"/>
  <c r="M57" i="10"/>
  <c r="M58" i="10"/>
  <c r="M59" i="10"/>
  <c r="M60" i="10"/>
  <c r="M61" i="10"/>
  <c r="M62" i="10"/>
  <c r="M63" i="10"/>
  <c r="M64" i="10"/>
  <c r="M65" i="10"/>
  <c r="M66" i="10"/>
  <c r="M67" i="10"/>
  <c r="M68" i="10"/>
  <c r="M69" i="10"/>
  <c r="M70" i="10"/>
  <c r="M71" i="10"/>
  <c r="M72" i="10"/>
  <c r="M73" i="10"/>
  <c r="M74" i="10"/>
  <c r="M75" i="10"/>
  <c r="M76" i="10"/>
  <c r="M77" i="10"/>
  <c r="M78" i="10"/>
  <c r="M79" i="10"/>
  <c r="M80" i="10"/>
  <c r="M81" i="10"/>
  <c r="M82" i="10"/>
  <c r="M83" i="10"/>
  <c r="M84" i="10"/>
  <c r="M85" i="10"/>
  <c r="M86" i="10"/>
  <c r="M87" i="10"/>
  <c r="M88" i="10"/>
  <c r="M89" i="10"/>
  <c r="M90" i="10"/>
  <c r="M91" i="10"/>
  <c r="M92" i="10"/>
  <c r="M93" i="10"/>
  <c r="M94" i="10"/>
  <c r="M95" i="10"/>
  <c r="M96" i="10"/>
  <c r="M97" i="10"/>
  <c r="M98" i="10"/>
  <c r="M99" i="10"/>
  <c r="M100" i="10"/>
  <c r="M101" i="10"/>
  <c r="M102" i="10"/>
  <c r="M103" i="10"/>
  <c r="M104" i="10"/>
  <c r="M105" i="10"/>
  <c r="M106" i="10"/>
  <c r="M107" i="10"/>
  <c r="M108" i="10"/>
  <c r="M109" i="10"/>
  <c r="M110" i="10"/>
  <c r="M111" i="10"/>
  <c r="M112" i="10"/>
  <c r="M113" i="10"/>
  <c r="N14" i="10"/>
  <c r="M14" i="10"/>
  <c r="G10" i="10"/>
  <c r="F10" i="10"/>
  <c r="G4" i="10"/>
  <c r="F4" i="10"/>
  <c r="C11" i="10"/>
  <c r="C10" i="10"/>
  <c r="K6" i="9"/>
  <c r="J6" i="9"/>
  <c r="I6" i="9"/>
  <c r="K3" i="9"/>
  <c r="J3" i="9"/>
  <c r="I3" i="9"/>
  <c r="CW114" i="7"/>
  <c r="CV114" i="7"/>
  <c r="CU114" i="7"/>
  <c r="CT114" i="7"/>
  <c r="CS114" i="7"/>
  <c r="CR114" i="7"/>
  <c r="CQ114" i="7"/>
  <c r="CP114" i="7"/>
  <c r="CO114" i="7"/>
  <c r="CN114" i="7"/>
  <c r="CM114" i="7"/>
  <c r="CL114" i="7"/>
  <c r="CK114" i="7"/>
  <c r="CJ114" i="7"/>
  <c r="CI114" i="7"/>
  <c r="CH114" i="7"/>
  <c r="CG114" i="7"/>
  <c r="CF114" i="7"/>
  <c r="CE114" i="7"/>
  <c r="CD114" i="7"/>
  <c r="CC114" i="7"/>
  <c r="CB114" i="7"/>
  <c r="CA114" i="7"/>
  <c r="BZ114" i="7"/>
  <c r="BY114" i="7"/>
  <c r="BX114" i="7"/>
  <c r="BW114" i="7"/>
  <c r="BV114" i="7"/>
  <c r="BU114" i="7"/>
  <c r="BT114" i="7"/>
  <c r="BS114" i="7"/>
  <c r="BR114" i="7"/>
  <c r="BQ114" i="7"/>
  <c r="BP114" i="7"/>
  <c r="BO114" i="7"/>
  <c r="BN114" i="7"/>
  <c r="BM114" i="7"/>
  <c r="BL114" i="7"/>
  <c r="BK114" i="7"/>
  <c r="BJ114" i="7"/>
  <c r="BI114" i="7"/>
  <c r="BH114" i="7"/>
  <c r="BG114" i="7"/>
  <c r="BF114" i="7"/>
  <c r="BE114" i="7"/>
  <c r="BD114" i="7"/>
  <c r="BC114" i="7"/>
  <c r="BB114" i="7"/>
  <c r="BA114" i="7"/>
  <c r="AZ114" i="7"/>
  <c r="AY114" i="7"/>
  <c r="AX114" i="7"/>
  <c r="AW114" i="7"/>
  <c r="AV114" i="7"/>
  <c r="AU114" i="7"/>
  <c r="AT114" i="7"/>
  <c r="AS114" i="7"/>
  <c r="AR114" i="7"/>
  <c r="AQ114" i="7"/>
  <c r="AP114" i="7"/>
  <c r="AO114" i="7"/>
  <c r="AN114" i="7"/>
  <c r="AM114" i="7"/>
  <c r="AL114" i="7"/>
  <c r="AK114" i="7"/>
  <c r="AJ114" i="7"/>
  <c r="AI114" i="7"/>
  <c r="AH114" i="7"/>
  <c r="AG114" i="7"/>
  <c r="AF114" i="7"/>
  <c r="AE114" i="7"/>
  <c r="AD114" i="7"/>
  <c r="AC114" i="7"/>
  <c r="AB114" i="7"/>
  <c r="AA114" i="7"/>
  <c r="Z114" i="7"/>
  <c r="Y114" i="7"/>
  <c r="X114" i="7"/>
  <c r="W114" i="7"/>
  <c r="V114" i="7"/>
  <c r="U114" i="7"/>
  <c r="T114" i="7"/>
  <c r="S114" i="7"/>
  <c r="R114" i="7"/>
  <c r="Q114" i="7"/>
  <c r="P114" i="7"/>
  <c r="O114" i="7"/>
  <c r="N114" i="7"/>
  <c r="M114" i="7"/>
  <c r="L114" i="7"/>
  <c r="K114" i="7"/>
  <c r="J114" i="7"/>
  <c r="I114" i="7"/>
  <c r="H114" i="7"/>
  <c r="G114" i="7"/>
  <c r="F114" i="7"/>
  <c r="E114" i="7"/>
  <c r="D114" i="7"/>
  <c r="C114" i="7"/>
  <c r="B114" i="7"/>
  <c r="I4" i="7"/>
  <c r="I5" i="7"/>
  <c r="I6" i="7"/>
  <c r="I7" i="7"/>
  <c r="I8" i="7"/>
  <c r="I9" i="7"/>
  <c r="I10" i="7"/>
  <c r="I11" i="7"/>
  <c r="I12" i="7"/>
  <c r="I13" i="7"/>
  <c r="I14" i="7"/>
  <c r="I15" i="7"/>
  <c r="I16" i="7"/>
  <c r="I17" i="7"/>
  <c r="I18" i="7"/>
  <c r="I19" i="7"/>
  <c r="I20" i="7"/>
  <c r="I21" i="7"/>
  <c r="I22" i="7"/>
  <c r="I23" i="7"/>
  <c r="I24" i="7"/>
  <c r="I25" i="7"/>
  <c r="I26" i="7"/>
  <c r="I27" i="7"/>
  <c r="I28" i="7"/>
  <c r="I29" i="7"/>
  <c r="I30" i="7"/>
  <c r="I31" i="7"/>
  <c r="I32" i="7"/>
  <c r="I33" i="7"/>
  <c r="I34" i="7"/>
  <c r="I35" i="7"/>
  <c r="I36" i="7"/>
  <c r="I37" i="7"/>
  <c r="I38" i="7"/>
  <c r="I39" i="7"/>
  <c r="I40" i="7"/>
  <c r="I41" i="7"/>
  <c r="I42" i="7"/>
  <c r="I43" i="7"/>
  <c r="I44" i="7"/>
  <c r="I45" i="7"/>
  <c r="I46" i="7"/>
  <c r="I47" i="7"/>
  <c r="I48" i="7"/>
  <c r="I49" i="7"/>
  <c r="I50" i="7"/>
  <c r="I51" i="7"/>
  <c r="I52" i="7"/>
  <c r="I53" i="7"/>
  <c r="I54" i="7"/>
  <c r="I55" i="7"/>
  <c r="I56" i="7"/>
  <c r="I57" i="7"/>
  <c r="I58" i="7"/>
  <c r="I59" i="7"/>
  <c r="I60" i="7"/>
  <c r="I61" i="7"/>
  <c r="I62" i="7"/>
  <c r="I63" i="7"/>
  <c r="I64" i="7"/>
  <c r="I65" i="7"/>
  <c r="I66" i="7"/>
  <c r="I67" i="7"/>
  <c r="I68" i="7"/>
  <c r="I69" i="7"/>
  <c r="I70" i="7"/>
  <c r="I71" i="7"/>
  <c r="I72" i="7"/>
  <c r="I73" i="7"/>
  <c r="I74" i="7"/>
  <c r="I75" i="7"/>
  <c r="I76" i="7"/>
  <c r="I77" i="7"/>
  <c r="I78" i="7"/>
  <c r="I79" i="7"/>
  <c r="I80" i="7"/>
  <c r="I81" i="7"/>
  <c r="I82" i="7"/>
  <c r="I83" i="7"/>
  <c r="I84" i="7"/>
  <c r="I85" i="7"/>
  <c r="I86" i="7"/>
  <c r="I87" i="7"/>
  <c r="I88" i="7"/>
  <c r="I89" i="7"/>
  <c r="I90" i="7"/>
  <c r="I91" i="7"/>
  <c r="I92" i="7"/>
  <c r="I93" i="7"/>
  <c r="I94" i="7"/>
  <c r="I95" i="7"/>
  <c r="I96" i="7"/>
  <c r="I97" i="7"/>
  <c r="I98" i="7"/>
  <c r="I99" i="7"/>
  <c r="I100" i="7"/>
  <c r="I101" i="7"/>
  <c r="I102" i="7"/>
  <c r="I103" i="7"/>
  <c r="Q4" i="7"/>
  <c r="M7" i="7"/>
  <c r="L7" i="7"/>
  <c r="C29" i="8"/>
  <c r="O43" i="8"/>
  <c r="P43" i="8"/>
  <c r="Q43" i="8"/>
  <c r="O44" i="8"/>
  <c r="P44" i="8"/>
  <c r="Q44" i="8"/>
  <c r="O45" i="8"/>
  <c r="P45" i="8"/>
  <c r="Q45" i="8"/>
  <c r="O46" i="8"/>
  <c r="P46" i="8"/>
  <c r="Q46" i="8"/>
  <c r="P42" i="8"/>
  <c r="Q42" i="8"/>
  <c r="O42" i="8"/>
  <c r="P35" i="8"/>
  <c r="Q35" i="8"/>
  <c r="P36" i="8"/>
  <c r="Q36" i="8"/>
  <c r="O36" i="8"/>
  <c r="O35" i="8"/>
  <c r="J43" i="8"/>
  <c r="K43" i="8"/>
  <c r="L43" i="8"/>
  <c r="J44" i="8"/>
  <c r="K44" i="8"/>
  <c r="L44" i="8"/>
  <c r="J45" i="8"/>
  <c r="K45" i="8"/>
  <c r="L45" i="8"/>
  <c r="J46" i="8"/>
  <c r="K46" i="8"/>
  <c r="L46" i="8"/>
  <c r="K42" i="8"/>
  <c r="L42" i="8"/>
  <c r="J42" i="8"/>
  <c r="J36" i="8"/>
  <c r="K36" i="8"/>
  <c r="K38" i="8" s="1"/>
  <c r="L36" i="8"/>
  <c r="K35" i="8"/>
  <c r="K37" i="8" s="1"/>
  <c r="L35" i="8"/>
  <c r="L37" i="8" s="1"/>
  <c r="J35" i="8"/>
  <c r="P37" i="8" s="1"/>
  <c r="F13" i="8"/>
  <c r="F14" i="8"/>
  <c r="F15" i="8"/>
  <c r="F16" i="8"/>
  <c r="F17" i="8"/>
  <c r="F18" i="8"/>
  <c r="F19" i="8"/>
  <c r="F20" i="8"/>
  <c r="F21" i="8"/>
  <c r="F22" i="8"/>
  <c r="F23" i="8"/>
  <c r="F24" i="8"/>
  <c r="F25" i="8"/>
  <c r="F26" i="8"/>
  <c r="F27" i="8"/>
  <c r="F12" i="8"/>
  <c r="G6" i="8"/>
  <c r="C6" i="8"/>
  <c r="D6" i="8"/>
  <c r="U29" i="6"/>
  <c r="O4" i="6"/>
  <c r="O5" i="6"/>
  <c r="O6" i="6"/>
  <c r="O7" i="6"/>
  <c r="O8" i="6"/>
  <c r="O9" i="6"/>
  <c r="O10" i="6"/>
  <c r="O11" i="6"/>
  <c r="O12" i="6"/>
  <c r="O13" i="6"/>
  <c r="O14" i="6"/>
  <c r="O15" i="6"/>
  <c r="O16" i="6"/>
  <c r="O17" i="6"/>
  <c r="O18" i="6"/>
  <c r="O19" i="6"/>
  <c r="O20" i="6"/>
  <c r="O21" i="6"/>
  <c r="O22" i="6"/>
  <c r="O23" i="6"/>
  <c r="O24" i="6"/>
  <c r="O25" i="6"/>
  <c r="O26" i="6"/>
  <c r="O27" i="6"/>
  <c r="O28" i="6"/>
  <c r="O29" i="6"/>
  <c r="O30" i="6"/>
  <c r="O31" i="6"/>
  <c r="O32" i="6"/>
  <c r="O33" i="6"/>
  <c r="O34" i="6"/>
  <c r="O35" i="6"/>
  <c r="O36" i="6"/>
  <c r="O37" i="6"/>
  <c r="O38" i="6"/>
  <c r="O39" i="6"/>
  <c r="O40" i="6"/>
  <c r="O41" i="6"/>
  <c r="O42" i="6"/>
  <c r="O43" i="6"/>
  <c r="O44" i="6"/>
  <c r="O45" i="6"/>
  <c r="O46" i="6"/>
  <c r="O47" i="6"/>
  <c r="O48" i="6"/>
  <c r="O49" i="6"/>
  <c r="O50" i="6"/>
  <c r="O51" i="6"/>
  <c r="O52" i="6"/>
  <c r="O53" i="6"/>
  <c r="O54" i="6"/>
  <c r="O55" i="6"/>
  <c r="O56" i="6"/>
  <c r="O57" i="6"/>
  <c r="O58" i="6"/>
  <c r="O59" i="6"/>
  <c r="O60" i="6"/>
  <c r="O61" i="6"/>
  <c r="O62" i="6"/>
  <c r="O63" i="6"/>
  <c r="O64" i="6"/>
  <c r="O65" i="6"/>
  <c r="O66" i="6"/>
  <c r="O67" i="6"/>
  <c r="O68" i="6"/>
  <c r="O69" i="6"/>
  <c r="O70" i="6"/>
  <c r="O71" i="6"/>
  <c r="O72" i="6"/>
  <c r="O73" i="6"/>
  <c r="O74" i="6"/>
  <c r="O75" i="6"/>
  <c r="O76" i="6"/>
  <c r="O77" i="6"/>
  <c r="O78" i="6"/>
  <c r="O79" i="6"/>
  <c r="O80" i="6"/>
  <c r="O81" i="6"/>
  <c r="O82" i="6"/>
  <c r="O83" i="6"/>
  <c r="O84" i="6"/>
  <c r="O85" i="6"/>
  <c r="O86" i="6"/>
  <c r="O87" i="6"/>
  <c r="O88" i="6"/>
  <c r="O89" i="6"/>
  <c r="O90" i="6"/>
  <c r="O91" i="6"/>
  <c r="O92" i="6"/>
  <c r="O93" i="6"/>
  <c r="O94" i="6"/>
  <c r="O95" i="6"/>
  <c r="O96" i="6"/>
  <c r="O97" i="6"/>
  <c r="O98" i="6"/>
  <c r="O99" i="6"/>
  <c r="O100" i="6"/>
  <c r="O101" i="6"/>
  <c r="O102" i="6"/>
  <c r="O103" i="6"/>
  <c r="N5" i="6"/>
  <c r="N6" i="6"/>
  <c r="N7" i="6"/>
  <c r="N8" i="6"/>
  <c r="N9" i="6"/>
  <c r="N10" i="6"/>
  <c r="N11" i="6"/>
  <c r="N12" i="6"/>
  <c r="N13" i="6"/>
  <c r="N14" i="6"/>
  <c r="N15" i="6"/>
  <c r="N16" i="6"/>
  <c r="N17" i="6"/>
  <c r="N18" i="6"/>
  <c r="N19" i="6"/>
  <c r="N20" i="6"/>
  <c r="N21" i="6"/>
  <c r="N22" i="6"/>
  <c r="N23" i="6"/>
  <c r="N24" i="6"/>
  <c r="N25" i="6"/>
  <c r="N26" i="6"/>
  <c r="N27" i="6"/>
  <c r="N28" i="6"/>
  <c r="N29" i="6"/>
  <c r="N30" i="6"/>
  <c r="N31" i="6"/>
  <c r="N32" i="6"/>
  <c r="N33" i="6"/>
  <c r="N34" i="6"/>
  <c r="N35" i="6"/>
  <c r="N36" i="6"/>
  <c r="N37" i="6"/>
  <c r="N38" i="6"/>
  <c r="N39" i="6"/>
  <c r="N40" i="6"/>
  <c r="N41" i="6"/>
  <c r="N42" i="6"/>
  <c r="N43" i="6"/>
  <c r="N44" i="6"/>
  <c r="N45" i="6"/>
  <c r="N46" i="6"/>
  <c r="N47" i="6"/>
  <c r="N48" i="6"/>
  <c r="N49" i="6"/>
  <c r="N50" i="6"/>
  <c r="N51" i="6"/>
  <c r="N52" i="6"/>
  <c r="N53" i="6"/>
  <c r="N54" i="6"/>
  <c r="N55" i="6"/>
  <c r="N56" i="6"/>
  <c r="N57" i="6"/>
  <c r="N58" i="6"/>
  <c r="N59" i="6"/>
  <c r="N60" i="6"/>
  <c r="N61" i="6"/>
  <c r="N62" i="6"/>
  <c r="N63" i="6"/>
  <c r="N64" i="6"/>
  <c r="N65" i="6"/>
  <c r="N66" i="6"/>
  <c r="N67" i="6"/>
  <c r="N68" i="6"/>
  <c r="N69" i="6"/>
  <c r="N70" i="6"/>
  <c r="N71" i="6"/>
  <c r="N72" i="6"/>
  <c r="N73" i="6"/>
  <c r="N74" i="6"/>
  <c r="N75" i="6"/>
  <c r="N76" i="6"/>
  <c r="N77" i="6"/>
  <c r="N78" i="6"/>
  <c r="N79" i="6"/>
  <c r="N80" i="6"/>
  <c r="N81" i="6"/>
  <c r="N82" i="6"/>
  <c r="N83" i="6"/>
  <c r="N84" i="6"/>
  <c r="N85" i="6"/>
  <c r="N86" i="6"/>
  <c r="N87" i="6"/>
  <c r="N88" i="6"/>
  <c r="N89" i="6"/>
  <c r="N90" i="6"/>
  <c r="N91" i="6"/>
  <c r="N92" i="6"/>
  <c r="N93" i="6"/>
  <c r="N94" i="6"/>
  <c r="N95" i="6"/>
  <c r="N96" i="6"/>
  <c r="N97" i="6"/>
  <c r="N98" i="6"/>
  <c r="N99" i="6"/>
  <c r="N100" i="6"/>
  <c r="N101" i="6"/>
  <c r="N102" i="6"/>
  <c r="N103" i="6"/>
  <c r="N4" i="6"/>
  <c r="V23" i="6"/>
  <c r="V24" i="6"/>
  <c r="V25" i="6"/>
  <c r="V26" i="6"/>
  <c r="V22" i="6"/>
  <c r="V15" i="6"/>
  <c r="V16" i="6"/>
  <c r="V17" i="6"/>
  <c r="V18" i="6"/>
  <c r="V14" i="6"/>
  <c r="V6" i="6"/>
  <c r="V7" i="6"/>
  <c r="V8" i="6"/>
  <c r="V9" i="6"/>
  <c r="V5" i="6"/>
  <c r="R36" i="6"/>
  <c r="R37" i="6"/>
  <c r="R38" i="6"/>
  <c r="R39" i="6"/>
  <c r="R35" i="6"/>
  <c r="R30" i="6"/>
  <c r="R29" i="6"/>
  <c r="T22" i="6"/>
  <c r="T20" i="6"/>
  <c r="R15" i="6"/>
  <c r="R16" i="6"/>
  <c r="R14" i="6"/>
  <c r="S6" i="6"/>
  <c r="S7" i="6"/>
  <c r="S8" i="6"/>
  <c r="S9" i="6"/>
  <c r="S5" i="6"/>
  <c r="T16" i="5"/>
  <c r="S13" i="5"/>
  <c r="S12" i="5"/>
  <c r="S11" i="5"/>
  <c r="O2" i="5"/>
  <c r="O4" i="5"/>
  <c r="O3" i="5"/>
  <c r="P1" i="5"/>
  <c r="N3" i="5"/>
  <c r="N4" i="5"/>
  <c r="N5" i="5"/>
  <c r="N6" i="5"/>
  <c r="N7" i="5"/>
  <c r="N8" i="5"/>
  <c r="N9" i="5"/>
  <c r="N10" i="5"/>
  <c r="N11" i="5"/>
  <c r="N12" i="5"/>
  <c r="N13" i="5"/>
  <c r="N14" i="5"/>
  <c r="N15" i="5"/>
  <c r="N16" i="5"/>
  <c r="N17" i="5"/>
  <c r="N18" i="5"/>
  <c r="N19" i="5"/>
  <c r="N20" i="5"/>
  <c r="N21" i="5"/>
  <c r="N22"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N54" i="5"/>
  <c r="N55" i="5"/>
  <c r="N56" i="5"/>
  <c r="N57" i="5"/>
  <c r="N58" i="5"/>
  <c r="N59" i="5"/>
  <c r="N60" i="5"/>
  <c r="N61" i="5"/>
  <c r="N62" i="5"/>
  <c r="N63" i="5"/>
  <c r="N64" i="5"/>
  <c r="N65" i="5"/>
  <c r="N66" i="5"/>
  <c r="N67" i="5"/>
  <c r="N68" i="5"/>
  <c r="N69" i="5"/>
  <c r="N70" i="5"/>
  <c r="N71" i="5"/>
  <c r="N72" i="5"/>
  <c r="N73" i="5"/>
  <c r="N74" i="5"/>
  <c r="N75" i="5"/>
  <c r="N76" i="5"/>
  <c r="N77" i="5"/>
  <c r="N78" i="5"/>
  <c r="N79" i="5"/>
  <c r="N80" i="5"/>
  <c r="N81" i="5"/>
  <c r="N82" i="5"/>
  <c r="N83" i="5"/>
  <c r="N84" i="5"/>
  <c r="N85" i="5"/>
  <c r="N86" i="5"/>
  <c r="N87" i="5"/>
  <c r="N88" i="5"/>
  <c r="N89" i="5"/>
  <c r="N90" i="5"/>
  <c r="N91" i="5"/>
  <c r="N92" i="5"/>
  <c r="N93" i="5"/>
  <c r="N94" i="5"/>
  <c r="N95" i="5"/>
  <c r="N96" i="5"/>
  <c r="N97" i="5"/>
  <c r="N98" i="5"/>
  <c r="N99" i="5"/>
  <c r="N100" i="5"/>
  <c r="N101" i="5"/>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N2" i="5"/>
  <c r="L3" i="5"/>
  <c r="L4" i="5"/>
  <c r="L5" i="5"/>
  <c r="L6" i="5"/>
  <c r="L7" i="5"/>
  <c r="L8" i="5"/>
  <c r="L9" i="5"/>
  <c r="L10" i="5"/>
  <c r="L11" i="5"/>
  <c r="L12" i="5"/>
  <c r="L13" i="5"/>
  <c r="L14" i="5"/>
  <c r="L15" i="5"/>
  <c r="L16" i="5"/>
  <c r="L17" i="5"/>
  <c r="L18" i="5"/>
  <c r="L19"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60" i="5"/>
  <c r="L61" i="5"/>
  <c r="L62" i="5"/>
  <c r="L63" i="5"/>
  <c r="L64" i="5"/>
  <c r="L65" i="5"/>
  <c r="L66" i="5"/>
  <c r="L67" i="5"/>
  <c r="L68" i="5"/>
  <c r="L69" i="5"/>
  <c r="L70" i="5"/>
  <c r="L71" i="5"/>
  <c r="L72" i="5"/>
  <c r="L73" i="5"/>
  <c r="L74" i="5"/>
  <c r="L75" i="5"/>
  <c r="L76" i="5"/>
  <c r="L77" i="5"/>
  <c r="L78" i="5"/>
  <c r="L79" i="5"/>
  <c r="L80" i="5"/>
  <c r="L81" i="5"/>
  <c r="L82" i="5"/>
  <c r="L83" i="5"/>
  <c r="L84" i="5"/>
  <c r="L85" i="5"/>
  <c r="L86" i="5"/>
  <c r="L87" i="5"/>
  <c r="L88" i="5"/>
  <c r="L89" i="5"/>
  <c r="L90" i="5"/>
  <c r="L91" i="5"/>
  <c r="L92" i="5"/>
  <c r="L93" i="5"/>
  <c r="L94" i="5"/>
  <c r="L95" i="5"/>
  <c r="L96" i="5"/>
  <c r="L97" i="5"/>
  <c r="L98" i="5"/>
  <c r="L99" i="5"/>
  <c r="L100" i="5"/>
  <c r="L101" i="5"/>
  <c r="L2" i="5"/>
  <c r="M2" i="5"/>
  <c r="K3" i="5"/>
  <c r="K4" i="5"/>
  <c r="K5" i="5"/>
  <c r="K6" i="5"/>
  <c r="K7" i="5"/>
  <c r="K8" i="5"/>
  <c r="K9" i="5"/>
  <c r="K10" i="5"/>
  <c r="K11" i="5"/>
  <c r="K12" i="5"/>
  <c r="K13" i="5"/>
  <c r="K14" i="5"/>
  <c r="K15" i="5"/>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K67" i="5"/>
  <c r="K68" i="5"/>
  <c r="K69" i="5"/>
  <c r="K70" i="5"/>
  <c r="K71" i="5"/>
  <c r="K72" i="5"/>
  <c r="K73" i="5"/>
  <c r="K74" i="5"/>
  <c r="K75" i="5"/>
  <c r="K76" i="5"/>
  <c r="K77" i="5"/>
  <c r="K78" i="5"/>
  <c r="K79" i="5"/>
  <c r="K80" i="5"/>
  <c r="K81" i="5"/>
  <c r="K82" i="5"/>
  <c r="K83" i="5"/>
  <c r="K84" i="5"/>
  <c r="K85" i="5"/>
  <c r="K86" i="5"/>
  <c r="K87" i="5"/>
  <c r="K88" i="5"/>
  <c r="K89" i="5"/>
  <c r="K90" i="5"/>
  <c r="K91" i="5"/>
  <c r="K92" i="5"/>
  <c r="K93" i="5"/>
  <c r="K94" i="5"/>
  <c r="K95" i="5"/>
  <c r="K96" i="5"/>
  <c r="K97" i="5"/>
  <c r="K98" i="5"/>
  <c r="K99" i="5"/>
  <c r="K100" i="5"/>
  <c r="K101" i="5"/>
  <c r="K2" i="5"/>
  <c r="C5" i="4"/>
  <c r="B5" i="4"/>
  <c r="B6" i="4"/>
  <c r="C14" i="26"/>
  <c r="T27" i="16"/>
  <c r="T26" i="16"/>
  <c r="T25" i="16"/>
  <c r="T13" i="16"/>
  <c r="T28" i="16"/>
  <c r="T16" i="16"/>
  <c r="T14" i="16"/>
  <c r="T17" i="16"/>
  <c r="T29" i="16"/>
  <c r="T15" i="16"/>
  <c r="Q38" i="8" l="1"/>
  <c r="Q9" i="25"/>
  <c r="Q14" i="25"/>
  <c r="Q10" i="25"/>
  <c r="Q13" i="25"/>
  <c r="Q12" i="25"/>
  <c r="Q6" i="25"/>
  <c r="Q8" i="25"/>
  <c r="Q5" i="25"/>
  <c r="Q4" i="25"/>
  <c r="Q15" i="25"/>
  <c r="Q11" i="25"/>
  <c r="Q7" i="25"/>
  <c r="P38" i="8"/>
  <c r="O37" i="8"/>
  <c r="J37" i="8"/>
  <c r="J39" i="8" s="1"/>
  <c r="O39" i="8"/>
  <c r="I21" i="8"/>
  <c r="J38" i="8"/>
  <c r="O38" i="8"/>
  <c r="Q37" i="8"/>
  <c r="K39" i="8"/>
  <c r="L38" i="8"/>
  <c r="P39" i="8"/>
  <c r="Q39" i="8"/>
  <c r="L39" i="8"/>
  <c r="N7" i="7"/>
  <c r="K7" i="7"/>
  <c r="S14" i="6"/>
  <c r="R31" i="6"/>
  <c r="S16" i="6"/>
  <c r="S15" i="6"/>
  <c r="D14" i="26"/>
  <c r="E14" i="26"/>
  <c r="Q16" i="2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5ABCB48-4DF9-4FAC-82D4-04490B87E9E6}" keepAlive="1" name="Consulta - Tabla 1" description="Conexión a la consulta 'Tabla 1' en el libro." type="5" refreshedVersion="8" background="1" saveData="1">
    <dbPr connection="Provider=Microsoft.Mashup.OleDb.1;Data Source=$Workbook$;Location=&quot;Tabla 1&quot;;Extended Properties=&quot;&quot;" command="SELECT * FROM [Tabla 1]"/>
  </connection>
  <connection id="2" xr16:uid="{DF9BA541-1684-4418-86EE-F0D47F0AA94E}" keepAlive="1" name="Consulta - Tabla 4" description="Conexión a la consulta 'Tabla 4' en el libro." type="5" refreshedVersion="8" background="1" saveData="1">
    <dbPr connection="Provider=Microsoft.Mashup.OleDb.1;Data Source=$Workbook$;Location=&quot;Tabla 4&quot;;Extended Properties=&quot;&quot;" command="SELECT * FROM [Tabla 4]"/>
  </connection>
  <connection id="3" xr16:uid="{9496690C-936B-4399-8A88-0043078275C4}" keepAlive="1" name="ThisWorkbookDataModel" description="Modelo de datos"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554CB508-5A44-4CFF-A7F8-B3048D99DD75}" name="WorksheetConnection_analisis de datos.xlsx!tabladatos2" type="102" refreshedVersion="8" minRefreshableVersion="5">
    <extLst>
      <ext xmlns:x15="http://schemas.microsoft.com/office/spreadsheetml/2010/11/main" uri="{DE250136-89BD-433C-8126-D09CA5730AF9}">
        <x15:connection id="tabladatos2">
          <x15:rangePr sourceName="_xlcn.WorksheetConnection_analisisdedatos.xlsxtabladatos21"/>
        </x15:connection>
      </ext>
    </extLst>
  </connection>
  <connection id="5" xr16:uid="{68367BB7-4168-4398-88DB-15C0C00008A2}" name="WorksheetConnection_analisis de datos.xlsx!tablapaises" type="102" refreshedVersion="8" minRefreshableVersion="5">
    <extLst>
      <ext xmlns:x15="http://schemas.microsoft.com/office/spreadsheetml/2010/11/main" uri="{DE250136-89BD-433C-8126-D09CA5730AF9}">
        <x15:connection id="tablapaises">
          <x15:rangePr sourceName="_xlcn.WorksheetConnection_analisisdedatos.xlsxtablapaises1"/>
        </x15:connection>
      </ext>
    </extLst>
  </connection>
</connections>
</file>

<file path=xl/sharedStrings.xml><?xml version="1.0" encoding="utf-8"?>
<sst xmlns="http://schemas.openxmlformats.org/spreadsheetml/2006/main" count="23818" uniqueCount="1630">
  <si>
    <t>Nombre</t>
  </si>
  <si>
    <t>Monto que desea invertir</t>
  </si>
  <si>
    <t>Días que se quedará en el país</t>
  </si>
  <si>
    <t>Sector</t>
  </si>
  <si>
    <t>Intención frente a los proyectos</t>
  </si>
  <si>
    <t>Detalle inversión</t>
  </si>
  <si>
    <t>Conoce algún proyecto o no</t>
  </si>
  <si>
    <t>País de orígen</t>
  </si>
  <si>
    <t>VALENTINA</t>
  </si>
  <si>
    <t>Construcción</t>
  </si>
  <si>
    <t>Inversión</t>
  </si>
  <si>
    <t>Socio capitalista</t>
  </si>
  <si>
    <t>NO</t>
  </si>
  <si>
    <t>COLOMBIA</t>
  </si>
  <si>
    <t>GUILLERMO</t>
  </si>
  <si>
    <t>Agroindustrial</t>
  </si>
  <si>
    <t>JOSEP</t>
  </si>
  <si>
    <t>Trabajo</t>
  </si>
  <si>
    <t>Buscando trabajo</t>
  </si>
  <si>
    <t>FERNANDO</t>
  </si>
  <si>
    <t>Más de 5</t>
  </si>
  <si>
    <t>Tecnología</t>
  </si>
  <si>
    <t>CHRISTIAN</t>
  </si>
  <si>
    <t>Ofreciendo trabajo</t>
  </si>
  <si>
    <t>ALBERTO</t>
  </si>
  <si>
    <t>Sector Real</t>
  </si>
  <si>
    <t>NORA</t>
  </si>
  <si>
    <t>Socio de proyecto</t>
  </si>
  <si>
    <t>CHILE</t>
  </si>
  <si>
    <t>MIGUEL</t>
  </si>
  <si>
    <t>SI</t>
  </si>
  <si>
    <t>RAUL</t>
  </si>
  <si>
    <t>BRASIL</t>
  </si>
  <si>
    <t>ADOLFO</t>
  </si>
  <si>
    <t>EDUARDO</t>
  </si>
  <si>
    <t>ISAAC</t>
  </si>
  <si>
    <t>ANTONIO</t>
  </si>
  <si>
    <t>RUBEN</t>
  </si>
  <si>
    <t>RICARDO</t>
  </si>
  <si>
    <t>FRANCISCO</t>
  </si>
  <si>
    <t>MARTIN</t>
  </si>
  <si>
    <t>ANDRÉS</t>
  </si>
  <si>
    <t>JUAN PABLO</t>
  </si>
  <si>
    <t>ROBERTO</t>
  </si>
  <si>
    <t>EMILIO</t>
  </si>
  <si>
    <t>LEONEL</t>
  </si>
  <si>
    <t>JOAN</t>
  </si>
  <si>
    <t>SERGIO</t>
  </si>
  <si>
    <t>EUGENIO</t>
  </si>
  <si>
    <t>SEBASTIAN</t>
  </si>
  <si>
    <t>SAMUEL</t>
  </si>
  <si>
    <t>ENRIQUE</t>
  </si>
  <si>
    <t>DIEGO</t>
  </si>
  <si>
    <t>PEDRO</t>
  </si>
  <si>
    <t>Educación</t>
  </si>
  <si>
    <t>Conocimiento</t>
  </si>
  <si>
    <t>Académico</t>
  </si>
  <si>
    <t>ALBERT</t>
  </si>
  <si>
    <t>JORGE</t>
  </si>
  <si>
    <t>RAMON</t>
  </si>
  <si>
    <t>HUGO</t>
  </si>
  <si>
    <t>MARIA</t>
  </si>
  <si>
    <t>FELIX</t>
  </si>
  <si>
    <t>VICTOR</t>
  </si>
  <si>
    <t>JORDI</t>
  </si>
  <si>
    <t>MARIA MÓNICA</t>
  </si>
  <si>
    <t>CRISTOBAL</t>
  </si>
  <si>
    <t>NICOLAS</t>
  </si>
  <si>
    <t>FELIPE</t>
  </si>
  <si>
    <t>ISMAEL</t>
  </si>
  <si>
    <t>ALEJANDRO</t>
  </si>
  <si>
    <t>MATEO</t>
  </si>
  <si>
    <t>URUGUAY</t>
  </si>
  <si>
    <t>CRISTIAN</t>
  </si>
  <si>
    <t>DAVID</t>
  </si>
  <si>
    <t>SALVADOR</t>
  </si>
  <si>
    <t>ALFREDO</t>
  </si>
  <si>
    <t>PARAGUAY</t>
  </si>
  <si>
    <t>OSCAR</t>
  </si>
  <si>
    <t>JUAN</t>
  </si>
  <si>
    <t>Otro tipo</t>
  </si>
  <si>
    <t>IVAN</t>
  </si>
  <si>
    <t>ALEXANDER</t>
  </si>
  <si>
    <t>JAIME</t>
  </si>
  <si>
    <t>HECTOR</t>
  </si>
  <si>
    <t>ERNESTO</t>
  </si>
  <si>
    <t>MARCO</t>
  </si>
  <si>
    <t>PERU</t>
  </si>
  <si>
    <t>JAVIER</t>
  </si>
  <si>
    <t>BOLIVIA</t>
  </si>
  <si>
    <t>ESTEBAN</t>
  </si>
  <si>
    <t>MARCOS</t>
  </si>
  <si>
    <t>ADRIAN</t>
  </si>
  <si>
    <t>DANIEL</t>
  </si>
  <si>
    <t>GREGORIO</t>
  </si>
  <si>
    <t>BORJA</t>
  </si>
  <si>
    <t>ECUADOR</t>
  </si>
  <si>
    <t>PABLO</t>
  </si>
  <si>
    <t>JOAQUIN</t>
  </si>
  <si>
    <t>RODRIGO</t>
  </si>
  <si>
    <t>AGUSTIN</t>
  </si>
  <si>
    <t>MANUEL</t>
  </si>
  <si>
    <t>ARGENTINA</t>
  </si>
  <si>
    <t>LORENZO</t>
  </si>
  <si>
    <t>SANTIAGO</t>
  </si>
  <si>
    <t>JONATHAN</t>
  </si>
  <si>
    <t>CARLOS</t>
  </si>
  <si>
    <t>VICENTE</t>
  </si>
  <si>
    <t>ALVARO</t>
  </si>
  <si>
    <t>MARIO</t>
  </si>
  <si>
    <t>RAFAEL</t>
  </si>
  <si>
    <t>ALEX</t>
  </si>
  <si>
    <t>IGNACIO</t>
  </si>
  <si>
    <t>GONZALO</t>
  </si>
  <si>
    <t>JESUS</t>
  </si>
  <si>
    <t>OTRO PAÍS DEL MUNDO</t>
  </si>
  <si>
    <t>ALFONSO</t>
  </si>
  <si>
    <t>JULIO</t>
  </si>
  <si>
    <t>CESAR</t>
  </si>
  <si>
    <t>MOHAMED</t>
  </si>
  <si>
    <t>MARC</t>
  </si>
  <si>
    <t>MARIANO</t>
  </si>
  <si>
    <t>JOEL</t>
  </si>
  <si>
    <t>ANDRES</t>
  </si>
  <si>
    <t>ANGEL</t>
  </si>
  <si>
    <t>GERMAN</t>
  </si>
  <si>
    <t>JOSE</t>
  </si>
  <si>
    <t>ARTURO</t>
  </si>
  <si>
    <t>LUCAS</t>
  </si>
  <si>
    <t>LUIS</t>
  </si>
  <si>
    <t>VENEZUELA</t>
  </si>
  <si>
    <t>JULIAN</t>
  </si>
  <si>
    <t>TOMAS</t>
  </si>
  <si>
    <t>DOMINGO</t>
  </si>
  <si>
    <t>DARIO</t>
  </si>
  <si>
    <t>GABRIEL</t>
  </si>
  <si>
    <t>PLATZI</t>
  </si>
  <si>
    <t>Columna1</t>
  </si>
  <si>
    <t>PLATZI 
Excel - Aplicación Práctica</t>
  </si>
  <si>
    <t>Excel - Aplicación Práctica</t>
  </si>
  <si>
    <t>Código</t>
  </si>
  <si>
    <t xml:space="preserve">$ - </t>
  </si>
  <si>
    <t>CONTROL + MAYUS + L</t>
  </si>
  <si>
    <t>Rutina de trabajo</t>
  </si>
  <si>
    <t>Congelar columnas</t>
  </si>
  <si>
    <t>Botón filtro y atajo teclado</t>
  </si>
  <si>
    <t>Recorrer cada columna con filtro</t>
  </si>
  <si>
    <t>Varios filtros al tiempo</t>
  </si>
  <si>
    <r>
      <t>Ejemplo</t>
    </r>
    <r>
      <rPr>
        <sz val="11"/>
        <color rgb="FF000000"/>
        <rFont val="Calibri"/>
        <family val="2"/>
        <scheme val="minor"/>
      </rPr>
      <t>: Filtrar los socios capitalistas del sector construcción que conozcan un proyecto</t>
    </r>
  </si>
  <si>
    <r>
      <t xml:space="preserve">Reto 2 ahí: </t>
    </r>
    <r>
      <rPr>
        <sz val="11"/>
        <color rgb="FF000000"/>
        <rFont val="Calibri"/>
        <family val="2"/>
        <scheme val="minor"/>
      </rPr>
      <t>Filtrar los colombianos que estén buscando trabajo en el sector tecnología</t>
    </r>
  </si>
  <si>
    <t>Órden personalizados</t>
  </si>
  <si>
    <r>
      <t>Ejemplo</t>
    </r>
    <r>
      <rPr>
        <sz val="11"/>
        <color rgb="FF000000"/>
        <rFont val="Calibri"/>
        <family val="2"/>
        <scheme val="minor"/>
      </rPr>
      <t>: ordenar por órden alfabético el nombre, el sector, y si conocen o no el proyecto</t>
    </r>
  </si>
  <si>
    <t>Reto de tarea</t>
  </si>
  <si>
    <t>QUE SE APRENDIO: AHORA PARA HACER FILTRO SE PUEDE UTILIZAR EL FILTRO ESPECIALIZADO, DONDE PODEMOS PONER VARIOS NIVELES DE FILTRO PARA CADA UNA DE LAS COLUMNA</t>
  </si>
  <si>
    <t>Formato de inscripción</t>
  </si>
  <si>
    <t>Felipe Guzmán</t>
  </si>
  <si>
    <t>Correo</t>
  </si>
  <si>
    <t>felipeguzmanbotero@gmail.com</t>
  </si>
  <si>
    <t>Sector de interés</t>
  </si>
  <si>
    <t>No</t>
  </si>
  <si>
    <t>Colombia</t>
  </si>
  <si>
    <t>Nivel 1</t>
  </si>
  <si>
    <t>Nivel 2</t>
  </si>
  <si>
    <t>Intención</t>
  </si>
  <si>
    <r>
      <t xml:space="preserve">QUE SE APRENDIO: PARA LAS LISTAS SE LE TIENE QUE PONER EN </t>
    </r>
    <r>
      <rPr>
        <b/>
        <sz val="10"/>
        <color theme="1"/>
        <rFont val="Arial"/>
        <family val="2"/>
      </rPr>
      <t xml:space="preserve">DATOS, Y DESPUES A VALIDACION </t>
    </r>
    <r>
      <rPr>
        <sz val="10"/>
        <color theme="1"/>
        <rFont val="Arial"/>
        <family val="2"/>
      </rPr>
      <t xml:space="preserve"> PARA PONER EN </t>
    </r>
    <r>
      <rPr>
        <b/>
        <sz val="10"/>
        <color theme="1"/>
        <rFont val="Arial"/>
        <family val="2"/>
      </rPr>
      <t xml:space="preserve"> LISTA </t>
    </r>
    <r>
      <rPr>
        <sz val="10"/>
        <color theme="1"/>
        <rFont val="Arial"/>
        <family val="2"/>
      </rPr>
      <t xml:space="preserve"> Y DESPUES ESPECIFICAR LAS </t>
    </r>
    <r>
      <rPr>
        <b/>
        <sz val="10"/>
        <color theme="1"/>
        <rFont val="Arial"/>
        <family val="2"/>
      </rPr>
      <t xml:space="preserve">CELDAS. </t>
    </r>
    <r>
      <rPr>
        <sz val="10"/>
        <color theme="1"/>
        <rFont val="Arial"/>
        <family val="2"/>
      </rPr>
      <t xml:space="preserve">Para hacer </t>
    </r>
    <r>
      <rPr>
        <b/>
        <sz val="10"/>
        <color theme="1"/>
        <rFont val="Arial"/>
        <family val="2"/>
      </rPr>
      <t xml:space="preserve">LISTAS ENLAZADAS </t>
    </r>
    <r>
      <rPr>
        <sz val="10"/>
        <color theme="1"/>
        <rFont val="Arial"/>
        <family val="2"/>
      </rPr>
      <t>TENEMOS QUE PONERLE EN VALIDACION DE DATOS&gt;LISTAS&gt;Y PONER LA FORMULA =</t>
    </r>
    <r>
      <rPr>
        <b/>
        <sz val="10"/>
        <color theme="1"/>
        <rFont val="Arial"/>
        <family val="2"/>
      </rPr>
      <t xml:space="preserve">INDIRECTO(LA CELDA DONDE SE COLOCO LA OTRA LISTA), </t>
    </r>
    <r>
      <rPr>
        <sz val="10"/>
        <color theme="1"/>
        <rFont val="Arial"/>
        <family val="2"/>
      </rPr>
      <t xml:space="preserve">para hacer eso debemos de nombrar el </t>
    </r>
    <r>
      <rPr>
        <b/>
        <sz val="10"/>
        <color theme="1"/>
        <rFont val="Arial"/>
        <family val="2"/>
      </rPr>
      <t xml:space="preserve"> CONJUNTO DE CELDAS </t>
    </r>
    <r>
      <rPr>
        <sz val="10"/>
        <color theme="1"/>
        <rFont val="Arial"/>
        <family val="2"/>
      </rPr>
      <t>como esta en la primer lista para que se relacionen</t>
    </r>
    <r>
      <rPr>
        <b/>
        <sz val="10"/>
        <color theme="1"/>
        <rFont val="Arial"/>
        <family val="2"/>
      </rPr>
      <t xml:space="preserve"> </t>
    </r>
  </si>
  <si>
    <t>UNION</t>
  </si>
  <si>
    <t xml:space="preserve">Luis </t>
  </si>
  <si>
    <t>Silva</t>
  </si>
  <si>
    <r>
      <t xml:space="preserve">formulas 
</t>
    </r>
    <r>
      <rPr>
        <b/>
        <sz val="11"/>
        <color theme="1"/>
        <rFont val="Calibri"/>
        <family val="2"/>
        <scheme val="minor"/>
      </rPr>
      <t>=concatenar</t>
    </r>
    <r>
      <rPr>
        <sz val="11"/>
        <color theme="1"/>
        <rFont val="Calibri"/>
        <family val="2"/>
        <scheme val="minor"/>
      </rPr>
      <t xml:space="preserve"> y selecconar las celdas
=celda</t>
    </r>
    <r>
      <rPr>
        <b/>
        <sz val="11"/>
        <color theme="1"/>
        <rFont val="Calibri"/>
        <family val="2"/>
        <scheme val="minor"/>
      </rPr>
      <t>&amp;</t>
    </r>
    <r>
      <rPr>
        <sz val="11"/>
        <color theme="1"/>
        <rFont val="Calibri"/>
        <family val="2"/>
        <scheme val="minor"/>
      </rPr>
      <t>celda</t>
    </r>
  </si>
  <si>
    <t>0001,Curso Platzi,2018</t>
  </si>
  <si>
    <t>SEPARAR</t>
  </si>
  <si>
    <t>,</t>
  </si>
  <si>
    <t>Curso Platzi</t>
  </si>
  <si>
    <r>
      <t xml:space="preserve">SEPARACION FIJA, ESTA SE LE DA EN </t>
    </r>
    <r>
      <rPr>
        <b/>
        <sz val="11"/>
        <color theme="1"/>
        <rFont val="Calibri"/>
        <family val="2"/>
        <scheme val="minor"/>
      </rPr>
      <t>DATOS&gt;SEPARACION POR COLUMNA
&gt;SEPARACION POR PUNTO FIJO</t>
    </r>
  </si>
  <si>
    <r>
      <t xml:space="preserve">SEPARACION DELIMITADA ESTA SE LE DA EN </t>
    </r>
    <r>
      <rPr>
        <b/>
        <sz val="11"/>
        <color theme="1"/>
        <rFont val="Calibri"/>
        <family val="2"/>
        <scheme val="minor"/>
      </rPr>
      <t>DATOS&gt;SEPARACION POR COLUMNA
&gt;SEPARACION DELIMITADA</t>
    </r>
  </si>
  <si>
    <t>Expectativa inversión 2018</t>
  </si>
  <si>
    <t>Inversión real 2018</t>
  </si>
  <si>
    <t>Inversión real 2017</t>
  </si>
  <si>
    <t>Inversión real 2016</t>
  </si>
  <si>
    <t xml:space="preserve"> $ - </t>
  </si>
  <si>
    <t>Sumar la inversión total (manual y fórmula). Sumar al final cada año. Formas de arrastrar.</t>
  </si>
  <si>
    <t>Sacar promedio de inversión por año (manual y en fórmula)</t>
  </si>
  <si>
    <t>Redondear el promedio sin decimales (aparte y después en la fórmula de promedio por año)</t>
  </si>
  <si>
    <r>
      <t xml:space="preserve">Reto 4 tarea: </t>
    </r>
    <r>
      <rPr>
        <sz val="11"/>
        <color rgb="FF000000"/>
        <rFont val="Calibri"/>
        <family val="2"/>
        <scheme val="minor"/>
      </rPr>
      <t>Encontrar una formula que sume toda la inversión hecha en el sector tecnología en el 2018</t>
    </r>
  </si>
  <si>
    <t>Fórmulas de texto</t>
  </si>
  <si>
    <t>BONUS</t>
  </si>
  <si>
    <t>Sumar días a una fecha</t>
  </si>
  <si>
    <t>Restar fechas</t>
  </si>
  <si>
    <t>Operaciones básicas (0 , X, /)</t>
  </si>
  <si>
    <t>Bonus 0 fórmulas de texto: mayúscula</t>
  </si>
  <si>
    <t>Bonus 0 fórmulas de texto: minúscula</t>
  </si>
  <si>
    <t>Bonus 0 fórmulas de texto: qué día es hoy</t>
  </si>
  <si>
    <t>suma manuak</t>
  </si>
  <si>
    <t>formula</t>
  </si>
  <si>
    <t>promedio</t>
  </si>
  <si>
    <t>REDONDEO</t>
  </si>
  <si>
    <t>Buscar a ANDRES</t>
  </si>
  <si>
    <t>Reemplazar a ANDRES por Andrés. Remplazar a todos los de construcción por infraestructura.</t>
  </si>
  <si>
    <t>OTRO</t>
  </si>
  <si>
    <t>SUMAR.SI</t>
  </si>
  <si>
    <r>
      <t xml:space="preserve">Reto clase anterior: </t>
    </r>
    <r>
      <rPr>
        <sz val="11"/>
        <color rgb="FF000000"/>
        <rFont val="Calibri"/>
        <family val="2"/>
        <scheme val="minor"/>
      </rPr>
      <t>Encontrar una formula que sume toda la inversión hecha en el sector tecnología en el 2018</t>
    </r>
  </si>
  <si>
    <t>¿Cuál es la inversión real 2018 de cada sector?</t>
  </si>
  <si>
    <t>Inversión 2018</t>
  </si>
  <si>
    <t>¿Cuántas personas vienen en las diferentes modalidades? ¿Porcentaje de cada uno?</t>
  </si>
  <si>
    <t>contar.si</t>
  </si>
  <si>
    <t>Cantidad</t>
  </si>
  <si>
    <t>Porcentaje</t>
  </si>
  <si>
    <t>Otras fórmulas</t>
  </si>
  <si>
    <t>sólo explicar</t>
  </si>
  <si>
    <t>Contar</t>
  </si>
  <si>
    <t>Cuenta el número de celdas que contienen números en un rango determinado</t>
  </si>
  <si>
    <t>ContarA</t>
  </si>
  <si>
    <t>Cuenta el número de celdas no vacías en un rango determinado</t>
  </si>
  <si>
    <t>Pregunta: ¿En qué escenarios pueden ser útiles estas fórmulas?</t>
  </si>
  <si>
    <t>¿Cuál es la calificación promedio?</t>
  </si>
  <si>
    <t>promedio sencillo</t>
  </si>
  <si>
    <t>Tipo</t>
  </si>
  <si>
    <t>Calificación</t>
  </si>
  <si>
    <t>Feria</t>
  </si>
  <si>
    <t>Proyectos</t>
  </si>
  <si>
    <t>Agregado</t>
  </si>
  <si>
    <t>¿Cuál es la calificación promedio de los proyectos de acuerdo a cada uno de los sectores?</t>
  </si>
  <si>
    <t>promedio.si</t>
  </si>
  <si>
    <t>=sumar.si(RANGO DE DATOS, EL DATO O TEXTO, RANGO A SUMAR)</t>
  </si>
  <si>
    <t>¿Cuál es la DIFERENCIA ENTRE inversión real Y EXPECTATIVA 2018 de cada sector?</t>
  </si>
  <si>
    <t>¿Cuál es la DIFERENCIA ENTRE inversión del 2017 y 2016?</t>
  </si>
  <si>
    <t>Calificación Feria (1010)</t>
  </si>
  <si>
    <t>Calificación Proyectos (1010)</t>
  </si>
  <si>
    <t>var 201702016</t>
  </si>
  <si>
    <t>VAR 201702018</t>
  </si>
  <si>
    <t>VARIACION PORCENTUAL TOTAL 2016-2017</t>
  </si>
  <si>
    <t>VARIANZA</t>
  </si>
  <si>
    <t>¿Cuál es la calificación promedio? Teniendo en cuenta que la feria tiene una ponderación del 70% y la de proyectos un 30%.</t>
  </si>
  <si>
    <t>Peso porcentual</t>
  </si>
  <si>
    <t>Puntaje del semestre - Clase de Excel</t>
  </si>
  <si>
    <t>Estudiante</t>
  </si>
  <si>
    <t>Quiz</t>
  </si>
  <si>
    <t>Parcial 1</t>
  </si>
  <si>
    <t>Parcial final</t>
  </si>
  <si>
    <t>Puntaje Final</t>
  </si>
  <si>
    <t>Pedro</t>
  </si>
  <si>
    <t>Juan</t>
  </si>
  <si>
    <t>Diego</t>
  </si>
  <si>
    <t>¿Cómo fijar datos adecuadamente?</t>
  </si>
  <si>
    <t>Felipe</t>
  </si>
  <si>
    <t>Mateo</t>
  </si>
  <si>
    <t>Laura</t>
  </si>
  <si>
    <t>Mónica</t>
  </si>
  <si>
    <t>Luisa</t>
  </si>
  <si>
    <t>Reto</t>
  </si>
  <si>
    <t>(pausa)</t>
  </si>
  <si>
    <t>Obtener Puntaje Final de cada estudiante (cada elemento tiene una equivalencia)</t>
  </si>
  <si>
    <r>
      <t>R.</t>
    </r>
    <r>
      <rPr>
        <sz val="11"/>
        <color rgb="FF000000"/>
        <rFont val="Calibri"/>
        <family val="2"/>
        <scheme val="minor"/>
      </rPr>
      <t xml:space="preserve"> Cuantos estudiantes tiene la tabla (con fórmula)</t>
    </r>
  </si>
  <si>
    <t>Orlando</t>
  </si>
  <si>
    <r>
      <t>R.</t>
    </r>
    <r>
      <rPr>
        <sz val="11"/>
        <color rgb="FF000000"/>
        <rFont val="Calibri"/>
        <family val="2"/>
        <scheme val="minor"/>
      </rPr>
      <t xml:space="preserve"> Cuál es el promedio de los estudiantes (Puntaje Final)</t>
    </r>
  </si>
  <si>
    <t>Marcela</t>
  </si>
  <si>
    <t>María</t>
  </si>
  <si>
    <t>César</t>
  </si>
  <si>
    <t>Catalina</t>
  </si>
  <si>
    <t>Natalia</t>
  </si>
  <si>
    <t>Lorena</t>
  </si>
  <si>
    <t>Fijación de Datos</t>
  </si>
  <si>
    <t>COLUMNAS</t>
  </si>
  <si>
    <t>FIJAS</t>
  </si>
  <si>
    <t>FILAS FIJAS</t>
  </si>
  <si>
    <t>Volver arriba con hipervínculo</t>
  </si>
  <si>
    <t>PONDERACION, TOMAR EN CUENTA EL VALOR QUE TIENE CADA UNO AL MOMENTO DE SACAR ELPROMEDIO</t>
  </si>
  <si>
    <t>PROMEDIO NORMAL</t>
  </si>
  <si>
    <t>PROMEDIO AGREGADO</t>
  </si>
  <si>
    <t>SUMAPRODUCTO PARA TENER EL AGREGADO</t>
  </si>
  <si>
    <t xml:space="preserve">recuerda SUMAPRODUCTO ES LA FORMULA </t>
  </si>
  <si>
    <t>SIN FIJAR NADA SE VA MOVIENDO LA FILA</t>
  </si>
  <si>
    <t>FIJO TODO NO SE MUEVE DE LA MISMA FILA</t>
  </si>
  <si>
    <t>=SUMA($J31:$J33)</t>
  </si>
  <si>
    <t>CONTEO</t>
  </si>
  <si>
    <t>Primer punto</t>
  </si>
  <si>
    <t>Calificación Feria (1-10)</t>
  </si>
  <si>
    <t>Calificación Proyectos (1-10)</t>
  </si>
  <si>
    <t>Calificación personal</t>
  </si>
  <si>
    <t>¿Cuál es la calificación de cada uno, teniendo en cuenta que los proyectos tienen un peso porcentual del 80% y la feria del 20%?</t>
  </si>
  <si>
    <t>Cuantas personas tiene la tabla (con fórmula)</t>
  </si>
  <si>
    <t>Cuál es el promedio de ambas calificaciones? (Puntaje Final)</t>
  </si>
  <si>
    <t>Segundo punto</t>
  </si>
  <si>
    <t>Crear un hipervínculo que lo lleve a la celda Q100 de esta hoja.</t>
  </si>
  <si>
    <t>PROMEDIOS PONDERADOS</t>
  </si>
  <si>
    <t>TRANSPONER</t>
  </si>
  <si>
    <t>CIUDAD</t>
  </si>
  <si>
    <t>VENTAS</t>
  </si>
  <si>
    <t>EL SALTO</t>
  </si>
  <si>
    <t>GUADALAJARA</t>
  </si>
  <si>
    <t>TLAQUEPAQUE</t>
  </si>
  <si>
    <t>ZAPOPAN</t>
  </si>
  <si>
    <t>TLAJOMULCO</t>
  </si>
  <si>
    <t>CIUDADANOS</t>
  </si>
  <si>
    <t>EMPRESA</t>
  </si>
  <si>
    <t>FOXCONN</t>
  </si>
  <si>
    <t>NVIDIA</t>
  </si>
  <si>
    <t>JABIL</t>
  </si>
  <si>
    <t>GAPP</t>
  </si>
  <si>
    <t>AEROPUERTO</t>
  </si>
  <si>
    <t>Gerente</t>
  </si>
  <si>
    <t>Ventas</t>
  </si>
  <si>
    <t>BUSCARV con # de columna DIGITADA</t>
  </si>
  <si>
    <t>BUSCAR V</t>
  </si>
  <si>
    <t>BUSCARV con # de columna FORMULADA</t>
  </si>
  <si>
    <t>Mail</t>
  </si>
  <si>
    <t>ALBERT@gmail.com</t>
  </si>
  <si>
    <t>JOAQUIN@gmail.com</t>
  </si>
  <si>
    <t>CESAR@gmail.com</t>
  </si>
  <si>
    <t>HUGO@gmail.com</t>
  </si>
  <si>
    <t>VALENTINA@gmail.com</t>
  </si>
  <si>
    <t>GERMAN@gmail.com</t>
  </si>
  <si>
    <t>DAVID@gmail.com</t>
  </si>
  <si>
    <t>MIGUEL@gmail.com</t>
  </si>
  <si>
    <t>VICENTE@gmail.com</t>
  </si>
  <si>
    <t>ALVARO@gmail.com</t>
  </si>
  <si>
    <t>LUIS@gmail.com</t>
  </si>
  <si>
    <t>DANIEL@gmail.com</t>
  </si>
  <si>
    <t>JOSEP@gmail.com</t>
  </si>
  <si>
    <t>EDUARDO@gmail.com</t>
  </si>
  <si>
    <t>LEONEL@gmail.com</t>
  </si>
  <si>
    <t>JORDI@gmail.com</t>
  </si>
  <si>
    <t>ESTEBAN@gmail.com</t>
  </si>
  <si>
    <t>JONATHAN@gmail.com</t>
  </si>
  <si>
    <t>FELIPE@gmail.com</t>
  </si>
  <si>
    <t>JOSE@gmail.com</t>
  </si>
  <si>
    <t>FELIX@gmail.com</t>
  </si>
  <si>
    <t>PABLO@gmail.com</t>
  </si>
  <si>
    <t>MANUEL@gmail.com</t>
  </si>
  <si>
    <t>LORENZO@gmail.com</t>
  </si>
  <si>
    <t>ISAAC@gmail.com</t>
  </si>
  <si>
    <t>MARIA@gmail.com</t>
  </si>
  <si>
    <t>ANGEL@gmail.com</t>
  </si>
  <si>
    <t>ADOLFO@gmail.com</t>
  </si>
  <si>
    <t>ERNESTO@gmail.com</t>
  </si>
  <si>
    <t>RAFAEL@gmail.com</t>
  </si>
  <si>
    <t>TOMAS@gmail.com</t>
  </si>
  <si>
    <t>MARCOS@gmail.com</t>
  </si>
  <si>
    <t>MARIO@gmail.com</t>
  </si>
  <si>
    <t>ARTURO@gmail.com</t>
  </si>
  <si>
    <t>EUGENIO@gmail.com</t>
  </si>
  <si>
    <t>JUAN@gmail.com</t>
  </si>
  <si>
    <t>GONZALO@gmail.com</t>
  </si>
  <si>
    <t>ANTONIO@gmail.com</t>
  </si>
  <si>
    <t>EMILIO@gmail.com</t>
  </si>
  <si>
    <t>AGUSTIN@gmail.com</t>
  </si>
  <si>
    <t>JUAN PABLO@gmail.com</t>
  </si>
  <si>
    <t>FRANCISCO@gmail.com</t>
  </si>
  <si>
    <t>MARC@gmail.com</t>
  </si>
  <si>
    <t>ROBERTO@gmail.com</t>
  </si>
  <si>
    <t>CARLOS@gmail.com</t>
  </si>
  <si>
    <t>JOEL@gmail.com</t>
  </si>
  <si>
    <t>MARIANO@gmail.com</t>
  </si>
  <si>
    <t>OSCAR@gmail.com</t>
  </si>
  <si>
    <t>ALEXANDER@gmail.com</t>
  </si>
  <si>
    <t>BORJA@gmail.com</t>
  </si>
  <si>
    <t>RAUL@gmail.com</t>
  </si>
  <si>
    <t>ALEX@gmail.com</t>
  </si>
  <si>
    <t>IVAN@gmail.com</t>
  </si>
  <si>
    <t>SAMUEL@gmail.com</t>
  </si>
  <si>
    <t>ANDRES@gmail.com</t>
  </si>
  <si>
    <t>NORA@gmail.com</t>
  </si>
  <si>
    <t>ANDRÉS@gmail.com</t>
  </si>
  <si>
    <t>CRISTIAN@gmail.com</t>
  </si>
  <si>
    <t>JAVIER@gmail.com</t>
  </si>
  <si>
    <t>DOMINGO@gmail.com</t>
  </si>
  <si>
    <t>NICOLAS@gmail.com</t>
  </si>
  <si>
    <t>HECTOR@gmail.com</t>
  </si>
  <si>
    <t>RICARDO@gmail.com</t>
  </si>
  <si>
    <t>ALBERTO@gmail.com</t>
  </si>
  <si>
    <t>RUBEN@gmail.com</t>
  </si>
  <si>
    <t>SEBASTIAN@gmail.com</t>
  </si>
  <si>
    <t>MOHAMED@gmail.com</t>
  </si>
  <si>
    <t>MARCO@gmail.com</t>
  </si>
  <si>
    <t>SERGIO@gmail.com</t>
  </si>
  <si>
    <t>RAMON@gmail.com</t>
  </si>
  <si>
    <t>GREGORIO@gmail.com</t>
  </si>
  <si>
    <t>JOAN@gmail.com</t>
  </si>
  <si>
    <t>ALFONSO@gmail.com</t>
  </si>
  <si>
    <t>GUILLERMO@gmail.com</t>
  </si>
  <si>
    <t>CHRISTIAN@gmail.com</t>
  </si>
  <si>
    <t>MATEO@gmail.com</t>
  </si>
  <si>
    <t>JULIAN@gmail.com</t>
  </si>
  <si>
    <t>CRISTOBAL@gmail.com</t>
  </si>
  <si>
    <t>RODRIGO@gmail.com</t>
  </si>
  <si>
    <t>JESUS@gmail.com</t>
  </si>
  <si>
    <t>JORGE@gmail.com</t>
  </si>
  <si>
    <t>JULIO@gmail.com</t>
  </si>
  <si>
    <t>MARIA MÓNICA@gmail.com</t>
  </si>
  <si>
    <t>IGNACIO@gmail.com</t>
  </si>
  <si>
    <t>GABRIEL@gmail.com</t>
  </si>
  <si>
    <t>MARTIN@gmail.com</t>
  </si>
  <si>
    <t>FERNANDO@gmail.com</t>
  </si>
  <si>
    <t>ALEJANDRO@gmail.com</t>
  </si>
  <si>
    <t>SANTIAGO@gmail.com</t>
  </si>
  <si>
    <t>LUCAS@gmail.com</t>
  </si>
  <si>
    <t>PEDRO@gmail.com</t>
  </si>
  <si>
    <t>ENRIQUE@gmail.com</t>
  </si>
  <si>
    <t>VICTOR@gmail.com</t>
  </si>
  <si>
    <t>ALFREDO@gmail.com</t>
  </si>
  <si>
    <t>DARIO@gmail.com</t>
  </si>
  <si>
    <t>DIEGO@gmail.com</t>
  </si>
  <si>
    <t>ISMAEL@gmail.com</t>
  </si>
  <si>
    <t>JAIME@gmail.com</t>
  </si>
  <si>
    <t>SALVADOR@gmail.com</t>
  </si>
  <si>
    <t>ADRIAN@gmail.com</t>
  </si>
  <si>
    <t>Luis</t>
  </si>
  <si>
    <t>BUSCARV con # de columna - DIGITADA</t>
  </si>
  <si>
    <t>Inversion de 2016</t>
  </si>
  <si>
    <t>Etiquetas de columna</t>
  </si>
  <si>
    <t>Total general</t>
  </si>
  <si>
    <t>Etiquetas de fila</t>
  </si>
  <si>
    <t>Suma de Calificación Proyectos (1-10)</t>
  </si>
  <si>
    <t>BUSCAR H - con # de fila DIGITADA</t>
  </si>
  <si>
    <t>Mes</t>
  </si>
  <si>
    <t>Costos</t>
  </si>
  <si>
    <t>Febrero</t>
  </si>
  <si>
    <t>Enero</t>
  </si>
  <si>
    <t>Marzo</t>
  </si>
  <si>
    <t>Utilidad</t>
  </si>
  <si>
    <t>BUSCAR H - con # de fila FORMULADA</t>
  </si>
  <si>
    <t>BUSCAR H &amp; BUSCAR V</t>
  </si>
  <si>
    <r>
      <t>Pregunta</t>
    </r>
    <r>
      <rPr>
        <sz val="11"/>
        <color rgb="FF000000"/>
        <rFont val="Calibri"/>
        <family val="2"/>
        <scheme val="minor"/>
      </rPr>
      <t>: ¿En qué casos crees que es útil mezclar estas fórmulas?</t>
    </r>
  </si>
  <si>
    <t>Si la expectativa 2018 es mayor a 50 millones, entonces que diga interesante. Sino, nada.</t>
  </si>
  <si>
    <t>Si es del sector Agroindustrial y si invirtió algo en el 2016, entonces que diga "Agro2016". Sino nada</t>
  </si>
  <si>
    <t>Si la calificación de proyecto es mayor a 7, entonces, satisfecho, sino insatisfecho</t>
  </si>
  <si>
    <t>Si conoce algún proyecto, entonces escribir "Si conoce", sino escribir "No Conoce"</t>
  </si>
  <si>
    <t>Si es de Colomia y es del sector educación, escribir "Elegido", sino "No elegido"</t>
  </si>
  <si>
    <t>IF - 1 condición - "pasa con 7"</t>
  </si>
  <si>
    <t>IF - 2 condiciones - "Platzi y Excel = válido"</t>
  </si>
  <si>
    <t>aprobo</t>
  </si>
  <si>
    <t>Platzi</t>
  </si>
  <si>
    <t>Excel</t>
  </si>
  <si>
    <t>Valido</t>
  </si>
  <si>
    <t>Otro</t>
  </si>
  <si>
    <t>Invalido</t>
  </si>
  <si>
    <t>reprobo</t>
  </si>
  <si>
    <t>&lt;&gt;</t>
  </si>
  <si>
    <t>=</t>
  </si>
  <si>
    <t>Expectativa 2018 interesante</t>
  </si>
  <si>
    <t>Agro2016</t>
  </si>
  <si>
    <t>V1</t>
  </si>
  <si>
    <t>V2</t>
  </si>
  <si>
    <t>Calificación proyecto</t>
  </si>
  <si>
    <t>Conoce proyecto</t>
  </si>
  <si>
    <t>Formatos Condicionales</t>
  </si>
  <si>
    <t>Condicional</t>
  </si>
  <si>
    <t>Descripción</t>
  </si>
  <si>
    <t>Mayor a</t>
  </si>
  <si>
    <t>Menor a</t>
  </si>
  <si>
    <t>Entre</t>
  </si>
  <si>
    <t>* 10 - 20</t>
  </si>
  <si>
    <t>Igual</t>
  </si>
  <si>
    <t>Texto que contiene..</t>
  </si>
  <si>
    <r>
      <t>Condicional</t>
    </r>
    <r>
      <rPr>
        <sz val="11"/>
        <color rgb="FF000000"/>
        <rFont val="Calibri"/>
        <family val="2"/>
        <scheme val="minor"/>
      </rPr>
      <t>: los 3 mayores</t>
    </r>
  </si>
  <si>
    <r>
      <t>Condicional</t>
    </r>
    <r>
      <rPr>
        <sz val="11"/>
        <color rgb="FF000000"/>
        <rFont val="Calibri"/>
        <family val="2"/>
        <scheme val="minor"/>
      </rPr>
      <t>: los 3 menores</t>
    </r>
  </si>
  <si>
    <r>
      <t>Condicional</t>
    </r>
    <r>
      <rPr>
        <sz val="11"/>
        <color rgb="FF000000"/>
        <rFont val="Calibri"/>
        <family val="2"/>
        <scheme val="minor"/>
      </rPr>
      <t>: los mayores al promedio</t>
    </r>
  </si>
  <si>
    <t>Edad</t>
  </si>
  <si>
    <t>Pepe</t>
  </si>
  <si>
    <t>Pablo</t>
  </si>
  <si>
    <t>Nora</t>
  </si>
  <si>
    <t>Alejandro</t>
  </si>
  <si>
    <t>Andrés</t>
  </si>
  <si>
    <t>Clase</t>
  </si>
  <si>
    <t>Resaltar de color verde los países que digan Colombia</t>
  </si>
  <si>
    <t>Resaltar de rojo las calificaciones que estén por debajo de 6</t>
  </si>
  <si>
    <t>Formular: si es inversionista y la inversión es mayor a 10 millones, entonces escribir en la celda "valioso" y resaltar de color verde.</t>
  </si>
  <si>
    <t>Resaltar de color amarillo los inversionistas</t>
  </si>
  <si>
    <t>Resaltar de color verde los números que están por encima del promedio</t>
  </si>
  <si>
    <t>Formular: Si es colombiano y la inversión del 2017 es menor a 10M, escribir omitir (y resaltarla después de color rojo). Sino, dejar vacío y sin color.</t>
  </si>
  <si>
    <t>Inversionista &gt;10M</t>
  </si>
  <si>
    <t>Colombiano &lt;10M</t>
  </si>
  <si>
    <t>Inversion</t>
  </si>
  <si>
    <t>SEMÁFOROS</t>
  </si>
  <si>
    <t>Completar la siguiente tabla (celdas con cuadrante de color azul), de acuerdo a las instrucciones en los comentarios.</t>
  </si>
  <si>
    <t>Meta 2017</t>
  </si>
  <si>
    <t>Real 2017</t>
  </si>
  <si>
    <t>Real 2016</t>
  </si>
  <si>
    <t>Crecimiento</t>
  </si>
  <si>
    <t>Cumplimiento 2017</t>
  </si>
  <si>
    <t>Semáforo</t>
  </si>
  <si>
    <t>1. Calcular la variación porcentual entre el 2017  y el 2018 y dejar la celda acompañada con una flecha verde si aumentó, amarilla si fue igual o roja hacia abajo si disminuyó</t>
  </si>
  <si>
    <t>2. Formular un semáforo que indique si la inversión real de 2018 fue mayor (verde), igual (amarillo), o menor (rojo) que le expectativa de inversión 2018</t>
  </si>
  <si>
    <t>3. Rellenar el nombre de color azul cuando la inversión en el 2016 haya sido mayor a 20M</t>
  </si>
  <si>
    <t>Variación %</t>
  </si>
  <si>
    <t>2018 expecativa vs realidad</t>
  </si>
  <si>
    <t>Tablas dinámicas</t>
  </si>
  <si>
    <t>1. Insertar una tabla dinámica</t>
  </si>
  <si>
    <t>2. Organizarla con los sectores en las filas // en valores: Suma de Expectativa 2018 y Suma de Inversión real 2018</t>
  </si>
  <si>
    <t>3. Obtener los pesos porcentuales de cada sector sobre el total de los valores (expectativa y real 2018)</t>
  </si>
  <si>
    <t>4. Analizar los resultados.</t>
  </si>
  <si>
    <t>4.1. ¿Estuvo relacionada la expectativa con la realidad en cada sector?</t>
  </si>
  <si>
    <t>4.2. ¿Cuál fue el sector que menos se pensó que iba a recibir inversión y efectivamente cuál fue el que menos recibió inversión?</t>
  </si>
  <si>
    <t>Suma de Inversión real 2018</t>
  </si>
  <si>
    <t>(Varios elementos)</t>
  </si>
  <si>
    <t>Suma de Expectativa inversión 2018</t>
  </si>
  <si>
    <t>es para hacer carpetas se guarda en .bat</t>
  </si>
  <si>
    <t>factura</t>
  </si>
  <si>
    <t>fecha</t>
  </si>
  <si>
    <t>comercial</t>
  </si>
  <si>
    <t>marca</t>
  </si>
  <si>
    <t>descripcion</t>
  </si>
  <si>
    <t>base imponible</t>
  </si>
  <si>
    <t>%iva</t>
  </si>
  <si>
    <t>total</t>
  </si>
  <si>
    <t>mexicana</t>
  </si>
  <si>
    <t>JEMS</t>
  </si>
  <si>
    <t>huarache</t>
  </si>
  <si>
    <t>jems</t>
  </si>
  <si>
    <t>tenis blanco</t>
  </si>
  <si>
    <t>SE DEBE DE ACTIVAR EL FORMULARIO DE LAS CINTA DE OPCIONES, ESE APARECE EN TODAS LAS OPIONES</t>
  </si>
  <si>
    <t>Producto</t>
  </si>
  <si>
    <t>Fecha</t>
  </si>
  <si>
    <t>Unidades</t>
  </si>
  <si>
    <t>Venta Bruto</t>
  </si>
  <si>
    <t>Coste de Producto</t>
  </si>
  <si>
    <t>Ingreso Neto</t>
  </si>
  <si>
    <t>Codigo</t>
  </si>
  <si>
    <t>Auriculares</t>
  </si>
  <si>
    <t>ARG</t>
  </si>
  <si>
    <t>Movil</t>
  </si>
  <si>
    <t>COL</t>
  </si>
  <si>
    <t>DEU</t>
  </si>
  <si>
    <t>DOM</t>
  </si>
  <si>
    <t>ECU</t>
  </si>
  <si>
    <t>Funda movil</t>
  </si>
  <si>
    <t>CAN</t>
  </si>
  <si>
    <t>CHE</t>
  </si>
  <si>
    <t>GBR</t>
  </si>
  <si>
    <t>GRC</t>
  </si>
  <si>
    <t>Cargador</t>
  </si>
  <si>
    <t>HKG</t>
  </si>
  <si>
    <t>HUN</t>
  </si>
  <si>
    <t>IRL</t>
  </si>
  <si>
    <t>Protector pantalla</t>
  </si>
  <si>
    <t>ITA</t>
  </si>
  <si>
    <t>Tajeta de memoria</t>
  </si>
  <si>
    <t>ESP</t>
  </si>
  <si>
    <t>EST</t>
  </si>
  <si>
    <t>FIN</t>
  </si>
  <si>
    <t>FRA</t>
  </si>
  <si>
    <t>Cargador innalambirgo</t>
  </si>
  <si>
    <t>Soporte movil</t>
  </si>
  <si>
    <t>HND</t>
  </si>
  <si>
    <t>HRV</t>
  </si>
  <si>
    <t>LTU</t>
  </si>
  <si>
    <t>NLD</t>
  </si>
  <si>
    <t>NOR</t>
  </si>
  <si>
    <t>PER</t>
  </si>
  <si>
    <t>POL</t>
  </si>
  <si>
    <t>PRT</t>
  </si>
  <si>
    <t>SVK</t>
  </si>
  <si>
    <t>SVN</t>
  </si>
  <si>
    <t>SWE</t>
  </si>
  <si>
    <t>UKR</t>
  </si>
  <si>
    <t>USA</t>
  </si>
  <si>
    <t>VEN</t>
  </si>
  <si>
    <t>AUS</t>
  </si>
  <si>
    <t>AUT</t>
  </si>
  <si>
    <t>BEL</t>
  </si>
  <si>
    <t>BGR</t>
  </si>
  <si>
    <t>BRA</t>
  </si>
  <si>
    <t>CHL</t>
  </si>
  <si>
    <t>CRI</t>
  </si>
  <si>
    <t>CZE</t>
  </si>
  <si>
    <t>DNK</t>
  </si>
  <si>
    <t>LUX</t>
  </si>
  <si>
    <t>LVA</t>
  </si>
  <si>
    <t>MEX</t>
  </si>
  <si>
    <t>Pais</t>
  </si>
  <si>
    <t>Argentina</t>
  </si>
  <si>
    <t>Australia</t>
  </si>
  <si>
    <t>Austria</t>
  </si>
  <si>
    <t>Belgica</t>
  </si>
  <si>
    <t>Bulgaria</t>
  </si>
  <si>
    <t>Brazil</t>
  </si>
  <si>
    <t>Canada</t>
  </si>
  <si>
    <t>Suiza</t>
  </si>
  <si>
    <t>Chile</t>
  </si>
  <si>
    <t>Costa Rica</t>
  </si>
  <si>
    <t>Czech Republic</t>
  </si>
  <si>
    <t>Germany</t>
  </si>
  <si>
    <t>Dinamarca</t>
  </si>
  <si>
    <t>Dominican Republic</t>
  </si>
  <si>
    <t>Ecuador</t>
  </si>
  <si>
    <t>España</t>
  </si>
  <si>
    <t>Estonia</t>
  </si>
  <si>
    <t>Finlandia</t>
  </si>
  <si>
    <t>Francia</t>
  </si>
  <si>
    <t>UK</t>
  </si>
  <si>
    <t>Grecia</t>
  </si>
  <si>
    <t>Hong Kong</t>
  </si>
  <si>
    <t>Honduras</t>
  </si>
  <si>
    <t>Croatia</t>
  </si>
  <si>
    <t>Hungria</t>
  </si>
  <si>
    <t>Irlanda</t>
  </si>
  <si>
    <t>Italia</t>
  </si>
  <si>
    <t>Lithuania</t>
  </si>
  <si>
    <t>Luxembourg</t>
  </si>
  <si>
    <t>Latvia</t>
  </si>
  <si>
    <t>Mexico</t>
  </si>
  <si>
    <t>Holanda</t>
  </si>
  <si>
    <t>Norway</t>
  </si>
  <si>
    <t>Peru</t>
  </si>
  <si>
    <t>Polonia</t>
  </si>
  <si>
    <t>Portugal</t>
  </si>
  <si>
    <t>Slovakia</t>
  </si>
  <si>
    <t>Slovenia</t>
  </si>
  <si>
    <t>Suecia</t>
  </si>
  <si>
    <t>Ucrania</t>
  </si>
  <si>
    <t>Ustados Unidos</t>
  </si>
  <si>
    <t>Venezuela</t>
  </si>
  <si>
    <t>País</t>
  </si>
  <si>
    <t>Suma de Ingreso Neto</t>
  </si>
  <si>
    <t xml:space="preserve">SE UTILIZO BUSCAR V PARA RELACIONAR Y HACER LA BUSQUEDA PERO TAMBIEN SE PUEDE HACER CON POWER PIVOT, PARA ESTO TENEMOS QUE HACER LA RELACION ENTRE LAS TABLAS, DECIMOS QUE COLUMNA SE RELACIONA CON QUE PARA QUE PUEDA HACERCE LA CONEXXION Y CUANDO OCUPEMOS HACER UNA TABALA PIVOTE PODEMOS LLAMAR A LA RELACION QUE HICIMOS Y EXTRAER LOS DATOS DESDE AHI </t>
  </si>
  <si>
    <t>Países.1</t>
  </si>
  <si>
    <t>PIB anual</t>
  </si>
  <si>
    <t>PIB anual_2</t>
  </si>
  <si>
    <t>Var. PIB (%)</t>
  </si>
  <si>
    <t>1.685.783 M€</t>
  </si>
  <si>
    <t>1.904.906 M$</t>
  </si>
  <si>
    <t>Alemania</t>
  </si>
  <si>
    <t>4.469.910 M€</t>
  </si>
  <si>
    <t>5.051.567 M$</t>
  </si>
  <si>
    <t>Reino</t>
  </si>
  <si>
    <t>3.545.339 M€</t>
  </si>
  <si>
    <t>3.999.625 M$</t>
  </si>
  <si>
    <t/>
  </si>
  <si>
    <t>3.160.443 M$</t>
  </si>
  <si>
    <t>2.979.085 M€</t>
  </si>
  <si>
    <t>2.380.825 M$</t>
  </si>
  <si>
    <t>2.258.049 M€</t>
  </si>
  <si>
    <t>306.738 M€</t>
  </si>
  <si>
    <t>346.608 M$</t>
  </si>
  <si>
    <t>Zona</t>
  </si>
  <si>
    <t>15.231.399 M€</t>
  </si>
  <si>
    <t>16.485.444 M$</t>
  </si>
  <si>
    <t>Estados</t>
  </si>
  <si>
    <t>27.076.281 M€</t>
  </si>
  <si>
    <t>29.184.900 M$</t>
  </si>
  <si>
    <t>Japón</t>
  </si>
  <si>
    <t>3.714.582 M€</t>
  </si>
  <si>
    <t>4.027.598 M$</t>
  </si>
  <si>
    <t>China</t>
  </si>
  <si>
    <t>17.327.917 M€</t>
  </si>
  <si>
    <t>18.743.802 M$</t>
  </si>
  <si>
    <t>Andorra</t>
  </si>
  <si>
    <t>3.736 M€</t>
  </si>
  <si>
    <t>4.038 M$</t>
  </si>
  <si>
    <t>Emiratos</t>
  </si>
  <si>
    <t>510.287 M€</t>
  </si>
  <si>
    <t>552.325 M$</t>
  </si>
  <si>
    <t>Afganistán</t>
  </si>
  <si>
    <t>15.947 M€</t>
  </si>
  <si>
    <t>17.248 M$</t>
  </si>
  <si>
    <t>Antigua</t>
  </si>
  <si>
    <t>2.040 M€</t>
  </si>
  <si>
    <t>2.208 M$</t>
  </si>
  <si>
    <t>Albania</t>
  </si>
  <si>
    <t>25.001 M€</t>
  </si>
  <si>
    <t>27.037 M$</t>
  </si>
  <si>
    <t>Armenia</t>
  </si>
  <si>
    <t>23.987 M€</t>
  </si>
  <si>
    <t>25.955 M$</t>
  </si>
  <si>
    <t>Angola</t>
  </si>
  <si>
    <t>106.477 M€</t>
  </si>
  <si>
    <t>115.214 M$</t>
  </si>
  <si>
    <t>588.911 M€</t>
  </si>
  <si>
    <t>633.267 M$</t>
  </si>
  <si>
    <t>494.088 M€</t>
  </si>
  <si>
    <t>534.791 M$</t>
  </si>
  <si>
    <t>1.659.335 M€</t>
  </si>
  <si>
    <t>1.833.822 M$</t>
  </si>
  <si>
    <t>Azerbaiyán</t>
  </si>
  <si>
    <t>68.680 M€</t>
  </si>
  <si>
    <t>74.316 M$</t>
  </si>
  <si>
    <t>Bosnia</t>
  </si>
  <si>
    <t>27.483 M€</t>
  </si>
  <si>
    <t>29.614 M$</t>
  </si>
  <si>
    <t>Barbados</t>
  </si>
  <si>
    <t>6.625 M€</t>
  </si>
  <si>
    <t>7.169 M$</t>
  </si>
  <si>
    <t>Bangladés</t>
  </si>
  <si>
    <t>416.888 M€</t>
  </si>
  <si>
    <t>451.096 M$</t>
  </si>
  <si>
    <t>Bélgica</t>
  </si>
  <si>
    <t>641.893 M€</t>
  </si>
  <si>
    <t>725.326 M$</t>
  </si>
  <si>
    <t>Burkina</t>
  </si>
  <si>
    <t>21.376 M€</t>
  </si>
  <si>
    <t>23.130 M$</t>
  </si>
  <si>
    <t>104.767 M€</t>
  </si>
  <si>
    <t>113.343 M$</t>
  </si>
  <si>
    <t>Baréin</t>
  </si>
  <si>
    <t>43.538 M€</t>
  </si>
  <si>
    <t>47.110 M$</t>
  </si>
  <si>
    <t>Burundi</t>
  </si>
  <si>
    <t>4.461 M€</t>
  </si>
  <si>
    <t>4.827 M$</t>
  </si>
  <si>
    <t>Benin</t>
  </si>
  <si>
    <t>19.858 M€</t>
  </si>
  <si>
    <t>21.487 M$</t>
  </si>
  <si>
    <t>Brunéi</t>
  </si>
  <si>
    <t>14.290 M€</t>
  </si>
  <si>
    <t>15.463 M$</t>
  </si>
  <si>
    <t>Bolivia</t>
  </si>
  <si>
    <t>43.405 M€</t>
  </si>
  <si>
    <t>46.967 M$</t>
  </si>
  <si>
    <t>Brasil</t>
  </si>
  <si>
    <t>2.014.143 M€</t>
  </si>
  <si>
    <t>2.179.413 M$</t>
  </si>
  <si>
    <t>Bahamas</t>
  </si>
  <si>
    <t>14.632 M€</t>
  </si>
  <si>
    <t>15.833 M$</t>
  </si>
  <si>
    <t>Bután</t>
  </si>
  <si>
    <t>2.703 M€</t>
  </si>
  <si>
    <t>2.923 M$</t>
  </si>
  <si>
    <t>Botsuana</t>
  </si>
  <si>
    <t>17.888 M€</t>
  </si>
  <si>
    <t>19.356 M$</t>
  </si>
  <si>
    <t>Bielorrusia</t>
  </si>
  <si>
    <t>70.429 M€</t>
  </si>
  <si>
    <t>76.208 M$</t>
  </si>
  <si>
    <t>Belice</t>
  </si>
  <si>
    <t>2.961 M€</t>
  </si>
  <si>
    <t>3.204 M$</t>
  </si>
  <si>
    <t>Canadá</t>
  </si>
  <si>
    <t>2.073.496 M€</t>
  </si>
  <si>
    <t>2.270.076 M$</t>
  </si>
  <si>
    <t>República</t>
  </si>
  <si>
    <t>65.561 M€</t>
  </si>
  <si>
    <t>70.962 M$</t>
  </si>
  <si>
    <t>2.542 M€</t>
  </si>
  <si>
    <t>2.751 M$</t>
  </si>
  <si>
    <t>14.524 M€</t>
  </si>
  <si>
    <t>15.720 M$</t>
  </si>
  <si>
    <t>925.875 M€</t>
  </si>
  <si>
    <t>1.046.220 M$</t>
  </si>
  <si>
    <t>Costa</t>
  </si>
  <si>
    <t>80.483 M€</t>
  </si>
  <si>
    <t>87.113 M$</t>
  </si>
  <si>
    <t>305.169 M€</t>
  </si>
  <si>
    <t>330.267 M$</t>
  </si>
  <si>
    <t>Camerún</t>
  </si>
  <si>
    <t>50.269 M€</t>
  </si>
  <si>
    <t>53.297 M$</t>
  </si>
  <si>
    <t>387.058 M€</t>
  </si>
  <si>
    <t>418.818 M$</t>
  </si>
  <si>
    <t>88.133 M€</t>
  </si>
  <si>
    <t>95.350 M$</t>
  </si>
  <si>
    <t>Cuba</t>
  </si>
  <si>
    <t>460.994 M€</t>
  </si>
  <si>
    <t>545.218 M$</t>
  </si>
  <si>
    <t>Cabo</t>
  </si>
  <si>
    <t>2.519 M€</t>
  </si>
  <si>
    <t>2.726 M$</t>
  </si>
  <si>
    <t>Chipre</t>
  </si>
  <si>
    <t>36.322 M$</t>
  </si>
  <si>
    <t>36.322 M€</t>
  </si>
  <si>
    <t>Chequia</t>
  </si>
  <si>
    <t>347.083 M$</t>
  </si>
  <si>
    <t>346.010 M€</t>
  </si>
  <si>
    <t>Yibuti</t>
  </si>
  <si>
    <t>3.836 M€</t>
  </si>
  <si>
    <t>4.152 M$</t>
  </si>
  <si>
    <t>409.655 M€</t>
  </si>
  <si>
    <t>461.718 M$</t>
  </si>
  <si>
    <t>Dominica</t>
  </si>
  <si>
    <t>636 M€</t>
  </si>
  <si>
    <t>689 M$</t>
  </si>
  <si>
    <t>115.163 M€</t>
  </si>
  <si>
    <t>124.613 M$</t>
  </si>
  <si>
    <t>Argelia</t>
  </si>
  <si>
    <t>248.730 M€</t>
  </si>
  <si>
    <t>269.140 M$</t>
  </si>
  <si>
    <t>115.222 M€</t>
  </si>
  <si>
    <t>124.676 M$</t>
  </si>
  <si>
    <t>43.130 M$</t>
  </si>
  <si>
    <t>41.621 M€</t>
  </si>
  <si>
    <t>Egipto</t>
  </si>
  <si>
    <t>354.057 M€</t>
  </si>
  <si>
    <t>383.109 M$</t>
  </si>
  <si>
    <t>Eritrea</t>
  </si>
  <si>
    <t>1.770 M€</t>
  </si>
  <si>
    <t>1.982 M$</t>
  </si>
  <si>
    <t>Etiopía</t>
  </si>
  <si>
    <t>138.344 M€</t>
  </si>
  <si>
    <t>149.740 M$</t>
  </si>
  <si>
    <t>298.729 M$</t>
  </si>
  <si>
    <t>280.585 M€</t>
  </si>
  <si>
    <t>Fiyi</t>
  </si>
  <si>
    <t>5.515 M€</t>
  </si>
  <si>
    <t>5.968 M$</t>
  </si>
  <si>
    <t>436 M€</t>
  </si>
  <si>
    <t>471 M$</t>
  </si>
  <si>
    <t>Gabón</t>
  </si>
  <si>
    <t>19.315 M€</t>
  </si>
  <si>
    <t>20.900 M$</t>
  </si>
  <si>
    <t>Granada</t>
  </si>
  <si>
    <t>1.268 M€</t>
  </si>
  <si>
    <t>1.372 M$</t>
  </si>
  <si>
    <t>Georgia</t>
  </si>
  <si>
    <t>31.214 M€</t>
  </si>
  <si>
    <t>34.192 M$</t>
  </si>
  <si>
    <t>Ghana</t>
  </si>
  <si>
    <t>76.042 M€</t>
  </si>
  <si>
    <t>82.308 M$</t>
  </si>
  <si>
    <t>Gambia</t>
  </si>
  <si>
    <t>2.222 M€</t>
  </si>
  <si>
    <t>2.405 M$</t>
  </si>
  <si>
    <t>Guinea</t>
  </si>
  <si>
    <t>23.105 M€</t>
  </si>
  <si>
    <t>25.009 M$</t>
  </si>
  <si>
    <t>11.801 M€</t>
  </si>
  <si>
    <t>12.769 M$</t>
  </si>
  <si>
    <t>236.736 M€</t>
  </si>
  <si>
    <t>256.238 M$</t>
  </si>
  <si>
    <t>Guatemala</t>
  </si>
  <si>
    <t>104.607 M€</t>
  </si>
  <si>
    <t>113.190 M$</t>
  </si>
  <si>
    <t>Guinea-Bisáu</t>
  </si>
  <si>
    <t>2.050 M€</t>
  </si>
  <si>
    <t>2.218 M$</t>
  </si>
  <si>
    <t>Guyana</t>
  </si>
  <si>
    <t>22.789 M€</t>
  </si>
  <si>
    <t>24.659 M$</t>
  </si>
  <si>
    <t>Hong</t>
  </si>
  <si>
    <t>376.010 M€</t>
  </si>
  <si>
    <t>406.863 M$</t>
  </si>
  <si>
    <t>34.287 M€</t>
  </si>
  <si>
    <t>37.100 M$</t>
  </si>
  <si>
    <t>Croacia</t>
  </si>
  <si>
    <t>92.671 M€</t>
  </si>
  <si>
    <t>104.716 M$</t>
  </si>
  <si>
    <t>Haití</t>
  </si>
  <si>
    <t>24.240 M€</t>
  </si>
  <si>
    <t>26.229 M$</t>
  </si>
  <si>
    <t>Hungría</t>
  </si>
  <si>
    <t>218.451 M€</t>
  </si>
  <si>
    <t>222.723 M$</t>
  </si>
  <si>
    <t>Indonesia</t>
  </si>
  <si>
    <t>1.290.415 M€</t>
  </si>
  <si>
    <t>1.396.300 M$</t>
  </si>
  <si>
    <t>562.794 M€</t>
  </si>
  <si>
    <t>609.157 M$</t>
  </si>
  <si>
    <t>Israel</t>
  </si>
  <si>
    <t>542.378 M€</t>
  </si>
  <si>
    <t>611.645 M$</t>
  </si>
  <si>
    <t>India</t>
  </si>
  <si>
    <t>3.612.660 M€</t>
  </si>
  <si>
    <t>3.909.097 M$</t>
  </si>
  <si>
    <t>Irak</t>
  </si>
  <si>
    <t>257.631 M€</t>
  </si>
  <si>
    <t>278.771 M$</t>
  </si>
  <si>
    <t>Irán</t>
  </si>
  <si>
    <t>370.921 M€</t>
  </si>
  <si>
    <t>401.357 M$</t>
  </si>
  <si>
    <t>Islandia</t>
  </si>
  <si>
    <t>30.697 M€</t>
  </si>
  <si>
    <t>33.222 M$</t>
  </si>
  <si>
    <t>Jamaica</t>
  </si>
  <si>
    <t>20.239 M€</t>
  </si>
  <si>
    <t>21.900 M$</t>
  </si>
  <si>
    <t>Jordania</t>
  </si>
  <si>
    <t>49.376 M€</t>
  </si>
  <si>
    <t>53.428 M$</t>
  </si>
  <si>
    <t>Kenia</t>
  </si>
  <si>
    <t>110.260 M€</t>
  </si>
  <si>
    <t>119.307 M$</t>
  </si>
  <si>
    <t>Kirguistán</t>
  </si>
  <si>
    <t>16.165 M€</t>
  </si>
  <si>
    <t>17.491 M$</t>
  </si>
  <si>
    <t>Camboya</t>
  </si>
  <si>
    <t>42.602 M€</t>
  </si>
  <si>
    <t>46.300 M$</t>
  </si>
  <si>
    <t>Kiribati</t>
  </si>
  <si>
    <t>285 M€</t>
  </si>
  <si>
    <t>308 M$</t>
  </si>
  <si>
    <t>Comoras</t>
  </si>
  <si>
    <t>1.333 M€</t>
  </si>
  <si>
    <t>1.442 M$</t>
  </si>
  <si>
    <t>San</t>
  </si>
  <si>
    <t>1.037 M€</t>
  </si>
  <si>
    <t>1.122 M$</t>
  </si>
  <si>
    <t>Corea</t>
  </si>
  <si>
    <t>15.371 M€</t>
  </si>
  <si>
    <t>17.365 M$</t>
  </si>
  <si>
    <t>1.733.173 M€</t>
  </si>
  <si>
    <t>1.875.388 M$</t>
  </si>
  <si>
    <t>Kuwait</t>
  </si>
  <si>
    <t>148.076 M€</t>
  </si>
  <si>
    <t>160.226 M$</t>
  </si>
  <si>
    <t>Kazajistán</t>
  </si>
  <si>
    <t>269.582 M€</t>
  </si>
  <si>
    <t>291.480 M$</t>
  </si>
  <si>
    <t>Laos</t>
  </si>
  <si>
    <t>14.702 M€</t>
  </si>
  <si>
    <t>15.908 M$</t>
  </si>
  <si>
    <t>Líbano</t>
  </si>
  <si>
    <t>18.569 M€</t>
  </si>
  <si>
    <t>20.079 M$</t>
  </si>
  <si>
    <t>Santa</t>
  </si>
  <si>
    <t>2.379 M€</t>
  </si>
  <si>
    <t>2.574 M$</t>
  </si>
  <si>
    <t>Liechtenstein</t>
  </si>
  <si>
    <t>7.618 M€</t>
  </si>
  <si>
    <t>8.286 M$</t>
  </si>
  <si>
    <t>Sri</t>
  </si>
  <si>
    <t>91.459 M€</t>
  </si>
  <si>
    <t>98.964 M$</t>
  </si>
  <si>
    <t>Liberia</t>
  </si>
  <si>
    <t>4.416 M€</t>
  </si>
  <si>
    <t>4.778 M$</t>
  </si>
  <si>
    <t>Lesoto</t>
  </si>
  <si>
    <t>2.099 M€</t>
  </si>
  <si>
    <t>2.272 M$</t>
  </si>
  <si>
    <t>Lituania</t>
  </si>
  <si>
    <t>84.869 M$</t>
  </si>
  <si>
    <t>84.061 M€</t>
  </si>
  <si>
    <t>Luxemburgo</t>
  </si>
  <si>
    <t>86.180 M€</t>
  </si>
  <si>
    <t>93.280 M$</t>
  </si>
  <si>
    <t>Letonia</t>
  </si>
  <si>
    <t>43.684 M$</t>
  </si>
  <si>
    <t>43.026 M€</t>
  </si>
  <si>
    <t>Libia</t>
  </si>
  <si>
    <t>44.797 M€</t>
  </si>
  <si>
    <t>48.487 M$</t>
  </si>
  <si>
    <t>Marruecos</t>
  </si>
  <si>
    <t>148.427 M€</t>
  </si>
  <si>
    <t>160.606 M$</t>
  </si>
  <si>
    <t>Mónaco</t>
  </si>
  <si>
    <t>10.279 M€</t>
  </si>
  <si>
    <t>11.126 M$</t>
  </si>
  <si>
    <t>Moldavia</t>
  </si>
  <si>
    <t>16.821 M€</t>
  </si>
  <si>
    <t>18.201 M$</t>
  </si>
  <si>
    <t>Montenegro</t>
  </si>
  <si>
    <t>7.645 M€</t>
  </si>
  <si>
    <t>8.272 M$</t>
  </si>
  <si>
    <t>Madagascar</t>
  </si>
  <si>
    <t>16.095 M€</t>
  </si>
  <si>
    <t>17.421 M$</t>
  </si>
  <si>
    <t>Islas</t>
  </si>
  <si>
    <t>268 M€</t>
  </si>
  <si>
    <t>290 M$</t>
  </si>
  <si>
    <t>Macedonia</t>
  </si>
  <si>
    <t>15.672 M€</t>
  </si>
  <si>
    <t>16.679 M$</t>
  </si>
  <si>
    <t>Malí</t>
  </si>
  <si>
    <t>24.755 M€</t>
  </si>
  <si>
    <t>26.795 M$</t>
  </si>
  <si>
    <t>Myanmar</t>
  </si>
  <si>
    <t>68.386 M€</t>
  </si>
  <si>
    <t>74.068 M$</t>
  </si>
  <si>
    <t>Mongolia</t>
  </si>
  <si>
    <t>21.991 M€</t>
  </si>
  <si>
    <t>23.795 M$</t>
  </si>
  <si>
    <t>Mauritania</t>
  </si>
  <si>
    <t>10.078 M€</t>
  </si>
  <si>
    <t>10.908 M$</t>
  </si>
  <si>
    <t>Malta</t>
  </si>
  <si>
    <t>24.577 M€</t>
  </si>
  <si>
    <t>27.772 M$</t>
  </si>
  <si>
    <t>Mauricio</t>
  </si>
  <si>
    <t>13.795 M€</t>
  </si>
  <si>
    <t>14.938 M$</t>
  </si>
  <si>
    <t>Maldivas</t>
  </si>
  <si>
    <t>6.517 M€</t>
  </si>
  <si>
    <t>7.052 M$</t>
  </si>
  <si>
    <t>Malaui</t>
  </si>
  <si>
    <t>10.902 M€</t>
  </si>
  <si>
    <t>11.797 M$</t>
  </si>
  <si>
    <t>México</t>
  </si>
  <si>
    <t>1.715.593 M€</t>
  </si>
  <si>
    <t>1.830.489 M$</t>
  </si>
  <si>
    <t>Malasia</t>
  </si>
  <si>
    <t>390.208 M€</t>
  </si>
  <si>
    <t>422.227 M$</t>
  </si>
  <si>
    <t>Mozambique</t>
  </si>
  <si>
    <t>21.017 M€</t>
  </si>
  <si>
    <t>22.745 M$</t>
  </si>
  <si>
    <t>Namibia</t>
  </si>
  <si>
    <t>12.356 M€</t>
  </si>
  <si>
    <t>13.370 M$</t>
  </si>
  <si>
    <t>Níger</t>
  </si>
  <si>
    <t>18.363 M€</t>
  </si>
  <si>
    <t>19.876 M$</t>
  </si>
  <si>
    <t>Nigeria</t>
  </si>
  <si>
    <t>232.991 M€</t>
  </si>
  <si>
    <t>252.109 M$</t>
  </si>
  <si>
    <t>Nicaragua</t>
  </si>
  <si>
    <t>18.201 M€</t>
  </si>
  <si>
    <t>19.694 M$</t>
  </si>
  <si>
    <t>Países</t>
  </si>
  <si>
    <t>1.179.660 M€</t>
  </si>
  <si>
    <t>1.332.992 M$</t>
  </si>
  <si>
    <t>Noruega</t>
  </si>
  <si>
    <t>446.866 M€</t>
  </si>
  <si>
    <t>483.593 M$</t>
  </si>
  <si>
    <t>Nepal</t>
  </si>
  <si>
    <t>39.648 M€</t>
  </si>
  <si>
    <t>42.914 M$</t>
  </si>
  <si>
    <t>Nauru</t>
  </si>
  <si>
    <t>151 M€</t>
  </si>
  <si>
    <t>163 M$</t>
  </si>
  <si>
    <t>Nueva</t>
  </si>
  <si>
    <t>238.773 M€</t>
  </si>
  <si>
    <t>260.172 M$</t>
  </si>
  <si>
    <t>Omán</t>
  </si>
  <si>
    <t>98.833 M€</t>
  </si>
  <si>
    <t>106.943 M$</t>
  </si>
  <si>
    <t>Panamá</t>
  </si>
  <si>
    <t>79.963 M€</t>
  </si>
  <si>
    <t>86.524 M$</t>
  </si>
  <si>
    <t>Perú</t>
  </si>
  <si>
    <t>272.329 M€</t>
  </si>
  <si>
    <t>294.675 M$</t>
  </si>
  <si>
    <t>Papúa</t>
  </si>
  <si>
    <t>29.380 M€</t>
  </si>
  <si>
    <t>31.800 M$</t>
  </si>
  <si>
    <t>Filipinas</t>
  </si>
  <si>
    <t>426.611 M€</t>
  </si>
  <si>
    <t>461.617 M$</t>
  </si>
  <si>
    <t>Pakistán</t>
  </si>
  <si>
    <t>344.787 M€</t>
  </si>
  <si>
    <t>373.078 M$</t>
  </si>
  <si>
    <t>918.464 M€</t>
  </si>
  <si>
    <t>917.767 M$</t>
  </si>
  <si>
    <t>Estado</t>
  </si>
  <si>
    <t>12.671 M€</t>
  </si>
  <si>
    <t>13.711 M$</t>
  </si>
  <si>
    <t>Palaos</t>
  </si>
  <si>
    <t>254 M€</t>
  </si>
  <si>
    <t>275 M$</t>
  </si>
  <si>
    <t>Paraguay</t>
  </si>
  <si>
    <t>41.087 M€</t>
  </si>
  <si>
    <t>44.458 M$</t>
  </si>
  <si>
    <t>Catar</t>
  </si>
  <si>
    <t>202.482 M€</t>
  </si>
  <si>
    <t>219.163 M$</t>
  </si>
  <si>
    <t>Rumanía</t>
  </si>
  <si>
    <t>353.633 M€</t>
  </si>
  <si>
    <t>382.566 M$</t>
  </si>
  <si>
    <t>Serbia</t>
  </si>
  <si>
    <t>83.258 M€</t>
  </si>
  <si>
    <t>89.074 M$</t>
  </si>
  <si>
    <t>Rusia</t>
  </si>
  <si>
    <t>2.008.424 M€</t>
  </si>
  <si>
    <t>2.173.225 M$</t>
  </si>
  <si>
    <t>Ruanda</t>
  </si>
  <si>
    <t>13.170 M€</t>
  </si>
  <si>
    <t>14.251 M$</t>
  </si>
  <si>
    <t>Arabia</t>
  </si>
  <si>
    <t>1.145.787 M€</t>
  </si>
  <si>
    <t>1.254.141 M$</t>
  </si>
  <si>
    <t>1.463 M€</t>
  </si>
  <si>
    <t>1.584 M$</t>
  </si>
  <si>
    <t>Seychelles</t>
  </si>
  <si>
    <t>2.002 M€</t>
  </si>
  <si>
    <t>2.167 M$</t>
  </si>
  <si>
    <t>Sudán</t>
  </si>
  <si>
    <t>45.892 M€</t>
  </si>
  <si>
    <t>49.672 M$</t>
  </si>
  <si>
    <t>593.698 M€</t>
  </si>
  <si>
    <t>604.395 M$</t>
  </si>
  <si>
    <t>Singapur</t>
  </si>
  <si>
    <t>505.877 M€</t>
  </si>
  <si>
    <t>547.387 M$</t>
  </si>
  <si>
    <t>Eslovenia</t>
  </si>
  <si>
    <t>70.486 M€</t>
  </si>
  <si>
    <t>79.648 M$</t>
  </si>
  <si>
    <t>Eslovaquia</t>
  </si>
  <si>
    <t>130.208 M€</t>
  </si>
  <si>
    <t>140.934 M$</t>
  </si>
  <si>
    <t>Sierra</t>
  </si>
  <si>
    <t>7.201 M€</t>
  </si>
  <si>
    <t>7.792 M$</t>
  </si>
  <si>
    <t>1.875 M€</t>
  </si>
  <si>
    <t>2.028 M$</t>
  </si>
  <si>
    <t>Senegal</t>
  </si>
  <si>
    <t>30.327 M€</t>
  </si>
  <si>
    <t>32.816 M$</t>
  </si>
  <si>
    <t>Somalia</t>
  </si>
  <si>
    <t>11.056 M€</t>
  </si>
  <si>
    <t>11.967 M$</t>
  </si>
  <si>
    <t>Surinam</t>
  </si>
  <si>
    <t>4.114 M€</t>
  </si>
  <si>
    <t>4.452 M$</t>
  </si>
  <si>
    <t>4.296 M€</t>
  </si>
  <si>
    <t>4.648 M$</t>
  </si>
  <si>
    <t>Santo</t>
  </si>
  <si>
    <t>760 M€</t>
  </si>
  <si>
    <t>822 M$</t>
  </si>
  <si>
    <t>El</t>
  </si>
  <si>
    <t>32.683 M€</t>
  </si>
  <si>
    <t>35.365 M$</t>
  </si>
  <si>
    <t>Siria</t>
  </si>
  <si>
    <t>18.490 M€</t>
  </si>
  <si>
    <t>19.993 M$</t>
  </si>
  <si>
    <t>Eswatini</t>
  </si>
  <si>
    <t>4.489 M€</t>
  </si>
  <si>
    <t>4.859 M$</t>
  </si>
  <si>
    <t>Chad</t>
  </si>
  <si>
    <t>18.033 M€</t>
  </si>
  <si>
    <t>19.519 M$</t>
  </si>
  <si>
    <t>Togo</t>
  </si>
  <si>
    <t>9.035 M€</t>
  </si>
  <si>
    <t>9.776 M$</t>
  </si>
  <si>
    <t>Tailandia</t>
  </si>
  <si>
    <t>486.591 M€</t>
  </si>
  <si>
    <t>526.518 M$</t>
  </si>
  <si>
    <t>Tayikistán</t>
  </si>
  <si>
    <t>13.123 M€</t>
  </si>
  <si>
    <t>14.205 M$</t>
  </si>
  <si>
    <t>Timor</t>
  </si>
  <si>
    <t>1.862 M€</t>
  </si>
  <si>
    <t>2.015 M$</t>
  </si>
  <si>
    <t>Turkmenistán</t>
  </si>
  <si>
    <t>63.467 M€</t>
  </si>
  <si>
    <t>68.675 M$</t>
  </si>
  <si>
    <t>Túnez</t>
  </si>
  <si>
    <t>48.912 M€</t>
  </si>
  <si>
    <t>52.925 M$</t>
  </si>
  <si>
    <t>Tonga</t>
  </si>
  <si>
    <t>473 M€</t>
  </si>
  <si>
    <t>512 M$</t>
  </si>
  <si>
    <t>Türkiye</t>
  </si>
  <si>
    <t>1.253.387 M€</t>
  </si>
  <si>
    <t>1.359.124 M$</t>
  </si>
  <si>
    <t>Trinidad</t>
  </si>
  <si>
    <t>23.690 M€</t>
  </si>
  <si>
    <t>25.634 M$</t>
  </si>
  <si>
    <t>Tuvalu</t>
  </si>
  <si>
    <t>52 M€</t>
  </si>
  <si>
    <t>56 M$</t>
  </si>
  <si>
    <t>Taiwan</t>
  </si>
  <si>
    <t>736.565 M€</t>
  </si>
  <si>
    <t>797.004 M$</t>
  </si>
  <si>
    <t>Tanzania</t>
  </si>
  <si>
    <t>72.658 M€</t>
  </si>
  <si>
    <t>78.844 M$</t>
  </si>
  <si>
    <t>176.227 M€</t>
  </si>
  <si>
    <t>190.687 M$</t>
  </si>
  <si>
    <t>Uganda</t>
  </si>
  <si>
    <t>51.968 M€</t>
  </si>
  <si>
    <t>56.232 M$</t>
  </si>
  <si>
    <t>Uruguay</t>
  </si>
  <si>
    <t>74.822 M€</t>
  </si>
  <si>
    <t>80.961 M$</t>
  </si>
  <si>
    <t>Uzbekistán</t>
  </si>
  <si>
    <t>106.244 M€</t>
  </si>
  <si>
    <t>114.962 M$</t>
  </si>
  <si>
    <t>1.069 M€</t>
  </si>
  <si>
    <t>1.157 M$</t>
  </si>
  <si>
    <t>110.685 M€</t>
  </si>
  <si>
    <t>119.803 M$</t>
  </si>
  <si>
    <t>Viet</t>
  </si>
  <si>
    <t>424.629 M€</t>
  </si>
  <si>
    <t>459.472 M$</t>
  </si>
  <si>
    <t>Vanuatu</t>
  </si>
  <si>
    <t>1.033 M€</t>
  </si>
  <si>
    <t>1.118 M$</t>
  </si>
  <si>
    <t>Samoa</t>
  </si>
  <si>
    <t>987 M€</t>
  </si>
  <si>
    <t>1.068 M$</t>
  </si>
  <si>
    <t>Yemen</t>
  </si>
  <si>
    <t>22.331 M€</t>
  </si>
  <si>
    <t>23.534 M$</t>
  </si>
  <si>
    <t>Sudáfrica</t>
  </si>
  <si>
    <t>370.661 M€</t>
  </si>
  <si>
    <t>401.145 M$</t>
  </si>
  <si>
    <t>Zambia</t>
  </si>
  <si>
    <t>24.330 M€</t>
  </si>
  <si>
    <t>26.326 M$</t>
  </si>
  <si>
    <t>Zimbabue</t>
  </si>
  <si>
    <t>38.378 M€</t>
  </si>
  <si>
    <t>822.938 M$</t>
  </si>
  <si>
    <t>&lt;</t>
  </si>
  <si>
    <t>&lt; PIB  2024</t>
  </si>
  <si>
    <t>Países.2</t>
  </si>
  <si>
    <t>PIB Trim Per Capita</t>
  </si>
  <si>
    <t>Var. PIB Trim Per Capita</t>
  </si>
  <si>
    <t>Var. anual PIB Trim Per Capita</t>
  </si>
  <si>
    <t>PIB Trim Per Capita_3</t>
  </si>
  <si>
    <t>Var. anual PIB Trim Per Capita_5</t>
  </si>
  <si>
    <t>Var. PIB Trim Per Capita_7</t>
  </si>
  <si>
    <t>IV Trim 2025</t>
  </si>
  <si>
    <t>8.809 k</t>
  </si>
  <si>
    <t>2,9%</t>
  </si>
  <si>
    <t>6,0%</t>
  </si>
  <si>
    <t>10.248 $</t>
  </si>
  <si>
    <t>15,5%</t>
  </si>
  <si>
    <t>13.571 k</t>
  </si>
  <si>
    <t>1,1%</t>
  </si>
  <si>
    <t>3,6%</t>
  </si>
  <si>
    <t>15.789 $</t>
  </si>
  <si>
    <t>12,8%</t>
  </si>
  <si>
    <t>12.865 k</t>
  </si>
  <si>
    <t>-0,4%</t>
  </si>
  <si>
    <t>-1,0%</t>
  </si>
  <si>
    <t>11.058 $</t>
  </si>
  <si>
    <t>-7,4%</t>
  </si>
  <si>
    <t>10.938 k</t>
  </si>
  <si>
    <t>0,7%</t>
  </si>
  <si>
    <t>2,4%</t>
  </si>
  <si>
    <t>12.726 $</t>
  </si>
  <si>
    <t>11,6%</t>
  </si>
  <si>
    <t>III Trim 2025</t>
  </si>
  <si>
    <t>9.578 k</t>
  </si>
  <si>
    <t>0,5%</t>
  </si>
  <si>
    <t>2,7%</t>
  </si>
  <si>
    <t>11.188 $</t>
  </si>
  <si>
    <t>9,3%</t>
  </si>
  <si>
    <t>7.299 k</t>
  </si>
  <si>
    <t>1,0%</t>
  </si>
  <si>
    <t>8.492 $</t>
  </si>
  <si>
    <t>15,4%</t>
  </si>
  <si>
    <t>11.587 k</t>
  </si>
  <si>
    <t>0,8%</t>
  </si>
  <si>
    <t>3,8%</t>
  </si>
  <si>
    <t>13.534 $</t>
  </si>
  <si>
    <t>10,4%</t>
  </si>
  <si>
    <t>19.896 k</t>
  </si>
  <si>
    <t>1,7%</t>
  </si>
  <si>
    <t>-3,1%</t>
  </si>
  <si>
    <t>23.148 $</t>
  </si>
  <si>
    <t>5,6%</t>
  </si>
  <si>
    <t>7.532 k</t>
  </si>
  <si>
    <t>-3,3%</t>
  </si>
  <si>
    <t>-6,1%</t>
  </si>
  <si>
    <t>6.376 $</t>
  </si>
  <si>
    <t>-6,3%</t>
  </si>
  <si>
    <t>2.898 k</t>
  </si>
  <si>
    <t>9,2%</t>
  </si>
  <si>
    <t>3.385 $</t>
  </si>
  <si>
    <t>16,1%</t>
  </si>
  <si>
    <t>3.166 k</t>
  </si>
  <si>
    <t>-6,0%</t>
  </si>
  <si>
    <t>-7,2%</t>
  </si>
  <si>
    <t>2.710 $</t>
  </si>
  <si>
    <t>-11,6%</t>
  </si>
  <si>
    <t>14.114 k</t>
  </si>
  <si>
    <t>4,1%</t>
  </si>
  <si>
    <t>16.420 $</t>
  </si>
  <si>
    <t>13,4%</t>
  </si>
  <si>
    <t>14.654 k</t>
  </si>
  <si>
    <t>-4,8%</t>
  </si>
  <si>
    <t>12.545 $</t>
  </si>
  <si>
    <t>-10,3%</t>
  </si>
  <si>
    <t>2.139 k</t>
  </si>
  <si>
    <t>2.498 $</t>
  </si>
  <si>
    <t>12,3%</t>
  </si>
  <si>
    <t>13.638 k</t>
  </si>
  <si>
    <t>0,6%</t>
  </si>
  <si>
    <t>3,4%</t>
  </si>
  <si>
    <t>15.867 $</t>
  </si>
  <si>
    <t>12,6%</t>
  </si>
  <si>
    <t>4.712 k</t>
  </si>
  <si>
    <t>1,5%</t>
  </si>
  <si>
    <t>13,2%</t>
  </si>
  <si>
    <t>5.482 $</t>
  </si>
  <si>
    <t>23,3%</t>
  </si>
  <si>
    <t>2.379 k</t>
  </si>
  <si>
    <t>2,6%</t>
  </si>
  <si>
    <t>2.037 $</t>
  </si>
  <si>
    <t>-2,7%</t>
  </si>
  <si>
    <t>12.261 k</t>
  </si>
  <si>
    <t>10.496 $</t>
  </si>
  <si>
    <t>-10,1%</t>
  </si>
  <si>
    <t>25.648 k</t>
  </si>
  <si>
    <t>29.839 $</t>
  </si>
  <si>
    <t>9,8%</t>
  </si>
  <si>
    <t>3.876 k</t>
  </si>
  <si>
    <t>-3,4%</t>
  </si>
  <si>
    <t>-0,7%</t>
  </si>
  <si>
    <t>3.318 $</t>
  </si>
  <si>
    <t>-5,5%</t>
  </si>
  <si>
    <t>2.020 k</t>
  </si>
  <si>
    <t>5,7%</t>
  </si>
  <si>
    <t>10,2%</t>
  </si>
  <si>
    <t>2.351 $</t>
  </si>
  <si>
    <t>21,5%</t>
  </si>
  <si>
    <t>4.086 k</t>
  </si>
  <si>
    <t>-1,3%</t>
  </si>
  <si>
    <t>4.772 $</t>
  </si>
  <si>
    <t>7,2%</t>
  </si>
  <si>
    <t>9.253 k</t>
  </si>
  <si>
    <t>10.808 $</t>
  </si>
  <si>
    <t>8,9%</t>
  </si>
  <si>
    <t>8.049 k</t>
  </si>
  <si>
    <t>3,1%</t>
  </si>
  <si>
    <t>9,1%</t>
  </si>
  <si>
    <t>9.402 $</t>
  </si>
  <si>
    <t>16,0%</t>
  </si>
  <si>
    <t>17.340 k</t>
  </si>
  <si>
    <t>1,3%</t>
  </si>
  <si>
    <t>20.173 $</t>
  </si>
  <si>
    <t>7.601 k</t>
  </si>
  <si>
    <t>0,2%</t>
  </si>
  <si>
    <t>4,4%</t>
  </si>
  <si>
    <t>8.879 $</t>
  </si>
  <si>
    <t>11,0%</t>
  </si>
  <si>
    <t>12.575 k</t>
  </si>
  <si>
    <t>0,9%</t>
  </si>
  <si>
    <t>2,0%</t>
  </si>
  <si>
    <t>14.630 $</t>
  </si>
  <si>
    <t>11,1%</t>
  </si>
  <si>
    <t>6.023 k</t>
  </si>
  <si>
    <t>5,2%</t>
  </si>
  <si>
    <t>7.035 $</t>
  </si>
  <si>
    <t>11,8%</t>
  </si>
  <si>
    <t>6.203 k</t>
  </si>
  <si>
    <t>7.217 $</t>
  </si>
  <si>
    <t>19,6%</t>
  </si>
  <si>
    <t>5.798 k</t>
  </si>
  <si>
    <t>6,1%</t>
  </si>
  <si>
    <t>6.773 $</t>
  </si>
  <si>
    <t>1.125 k</t>
  </si>
  <si>
    <t>-5,8%</t>
  </si>
  <si>
    <t>967 $</t>
  </si>
  <si>
    <t>86.214,3%</t>
  </si>
  <si>
    <t>29.202 k</t>
  </si>
  <si>
    <t>-1,8%</t>
  </si>
  <si>
    <t>9,7%</t>
  </si>
  <si>
    <t>34.110 $</t>
  </si>
  <si>
    <t>16,6%</t>
  </si>
  <si>
    <t>14.402 k</t>
  </si>
  <si>
    <t>5,5%</t>
  </si>
  <si>
    <t>11.571 $</t>
  </si>
  <si>
    <t>606 k</t>
  </si>
  <si>
    <t>-2,9%</t>
  </si>
  <si>
    <t>-1,7%</t>
  </si>
  <si>
    <t>519 $</t>
  </si>
  <si>
    <t>94.201,8%</t>
  </si>
  <si>
    <t>22.143 k</t>
  </si>
  <si>
    <t>2,5%</t>
  </si>
  <si>
    <t>11,7%</t>
  </si>
  <si>
    <t>25.865 $</t>
  </si>
  <si>
    <t>18,8%</t>
  </si>
  <si>
    <t>7.925 k</t>
  </si>
  <si>
    <t>-1,5%</t>
  </si>
  <si>
    <t>-3,9%</t>
  </si>
  <si>
    <t>6.785 $</t>
  </si>
  <si>
    <t>-9,3%</t>
  </si>
  <si>
    <t>7.437 k</t>
  </si>
  <si>
    <t>6,3%</t>
  </si>
  <si>
    <t>8.653 $</t>
  </si>
  <si>
    <t>15,7%</t>
  </si>
  <si>
    <t>32.739 k</t>
  </si>
  <si>
    <t>3,3%</t>
  </si>
  <si>
    <t>38.242 $</t>
  </si>
  <si>
    <t>9,9%</t>
  </si>
  <si>
    <t>5.942 k</t>
  </si>
  <si>
    <t>6,4%</t>
  </si>
  <si>
    <t>6.913 $</t>
  </si>
  <si>
    <t>15,9%</t>
  </si>
  <si>
    <t>3.333 k</t>
  </si>
  <si>
    <t>7,6%</t>
  </si>
  <si>
    <t>3.893 $</t>
  </si>
  <si>
    <t>14,4%</t>
  </si>
  <si>
    <t>2.369 k</t>
  </si>
  <si>
    <t>3,7%</t>
  </si>
  <si>
    <t>2.768 $</t>
  </si>
  <si>
    <t>16,8%</t>
  </si>
  <si>
    <t>11.085 k</t>
  </si>
  <si>
    <t>7,5%</t>
  </si>
  <si>
    <t>12.897 $</t>
  </si>
  <si>
    <t>17,1%</t>
  </si>
  <si>
    <t>3.063 k</t>
  </si>
  <si>
    <t>1,8%</t>
  </si>
  <si>
    <t>2.622 $</t>
  </si>
  <si>
    <t>-8,8%</t>
  </si>
  <si>
    <t>16.654 k</t>
  </si>
  <si>
    <t>1,2%</t>
  </si>
  <si>
    <t>4,9%</t>
  </si>
  <si>
    <t>19.376 $</t>
  </si>
  <si>
    <t>14,3%</t>
  </si>
  <si>
    <t>20.556 k</t>
  </si>
  <si>
    <t>17.669 $</t>
  </si>
  <si>
    <t>-19,8%</t>
  </si>
  <si>
    <t>10.731 k</t>
  </si>
  <si>
    <t>-1,4%</t>
  </si>
  <si>
    <t>9.187 $</t>
  </si>
  <si>
    <t>-11,2%</t>
  </si>
  <si>
    <t>6.284 k</t>
  </si>
  <si>
    <t>1,6%</t>
  </si>
  <si>
    <t>7,3%</t>
  </si>
  <si>
    <t>7.341 $</t>
  </si>
  <si>
    <t>14,2%</t>
  </si>
  <si>
    <t>5.042 k</t>
  </si>
  <si>
    <t>2,8%</t>
  </si>
  <si>
    <t>7,8%</t>
  </si>
  <si>
    <t>5.889 $</t>
  </si>
  <si>
    <t>14,7%</t>
  </si>
  <si>
    <t>3.411 k</t>
  </si>
  <si>
    <t>2,1%</t>
  </si>
  <si>
    <t>7,4%</t>
  </si>
  <si>
    <t>3.984 $</t>
  </si>
  <si>
    <t>III Trim 2021</t>
  </si>
  <si>
    <t>2.557 k</t>
  </si>
  <si>
    <t>6,8%</t>
  </si>
  <si>
    <t>22,6%</t>
  </si>
  <si>
    <t>2.169 $</t>
  </si>
  <si>
    <t>19,8%</t>
  </si>
  <si>
    <t>IV Trim 2019</t>
  </si>
  <si>
    <t>6.168 k</t>
  </si>
  <si>
    <t>4,2%</t>
  </si>
  <si>
    <t>4,0%</t>
  </si>
  <si>
    <t>6.827 $</t>
  </si>
  <si>
    <t>14.124 k</t>
  </si>
  <si>
    <t>0,4%</t>
  </si>
  <si>
    <t>16.498 $</t>
  </si>
  <si>
    <t>8.503 k</t>
  </si>
  <si>
    <t>5,3%</t>
  </si>
  <si>
    <t>9.892 $</t>
  </si>
  <si>
    <t>6.450 k</t>
  </si>
  <si>
    <t>1,4%</t>
  </si>
  <si>
    <t>5,8%</t>
  </si>
  <si>
    <t>7.504 $</t>
  </si>
  <si>
    <t>15,3%</t>
  </si>
  <si>
    <t>4.067 k</t>
  </si>
  <si>
    <t>4.751 $</t>
  </si>
  <si>
    <t>17,2%</t>
  </si>
  <si>
    <t>1.485 k</t>
  </si>
  <si>
    <t>1.271 $</t>
  </si>
  <si>
    <t>-6,7%</t>
  </si>
  <si>
    <t xml:space="preserve">España  </t>
  </si>
  <si>
    <t xml:space="preserve">Alemania  </t>
  </si>
  <si>
    <t xml:space="preserve">Reino Unido  </t>
  </si>
  <si>
    <t xml:space="preserve">Francia  </t>
  </si>
  <si>
    <t xml:space="preserve">Italia  </t>
  </si>
  <si>
    <t xml:space="preserve">Portugal  </t>
  </si>
  <si>
    <t xml:space="preserve">Zona Euro  </t>
  </si>
  <si>
    <t xml:space="preserve">Estados Unidos  </t>
  </si>
  <si>
    <t xml:space="preserve">Japón  </t>
  </si>
  <si>
    <t xml:space="preserve">Albania  </t>
  </si>
  <si>
    <t xml:space="preserve">Argentina  </t>
  </si>
  <si>
    <t xml:space="preserve">Austria  </t>
  </si>
  <si>
    <t xml:space="preserve">Australia  </t>
  </si>
  <si>
    <t xml:space="preserve">Bosnia y Herzegovina  </t>
  </si>
  <si>
    <t xml:space="preserve">Bélgica  </t>
  </si>
  <si>
    <t xml:space="preserve">Bulgaria  </t>
  </si>
  <si>
    <t xml:space="preserve">Brasil  </t>
  </si>
  <si>
    <t xml:space="preserve">Canadá  </t>
  </si>
  <si>
    <t xml:space="preserve">Suiza  </t>
  </si>
  <si>
    <t xml:space="preserve">Chile  </t>
  </si>
  <si>
    <t xml:space="preserve">Colombia  </t>
  </si>
  <si>
    <t xml:space="preserve">Costa Rica  </t>
  </si>
  <si>
    <t xml:space="preserve">Chipre  </t>
  </si>
  <si>
    <t xml:space="preserve">Chequia  </t>
  </si>
  <si>
    <t xml:space="preserve">Dinamarca  </t>
  </si>
  <si>
    <t xml:space="preserve">Estonia  </t>
  </si>
  <si>
    <t xml:space="preserve">Finlandia  </t>
  </si>
  <si>
    <t xml:space="preserve">Grecia  </t>
  </si>
  <si>
    <t xml:space="preserve">Croacia  </t>
  </si>
  <si>
    <t xml:space="preserve">Hungría  </t>
  </si>
  <si>
    <t xml:space="preserve">Indonesia  </t>
  </si>
  <si>
    <t xml:space="preserve">Irlanda  </t>
  </si>
  <si>
    <t xml:space="preserve">Israel  </t>
  </si>
  <si>
    <t xml:space="preserve">India  </t>
  </si>
  <si>
    <t xml:space="preserve">Islandia  </t>
  </si>
  <si>
    <t xml:space="preserve">Corea del Sur  </t>
  </si>
  <si>
    <t xml:space="preserve">Lituania  </t>
  </si>
  <si>
    <t xml:space="preserve">Luxemburgo  </t>
  </si>
  <si>
    <t xml:space="preserve">Letonia  </t>
  </si>
  <si>
    <t xml:space="preserve">Montenegro  </t>
  </si>
  <si>
    <t xml:space="preserve">Macedonia del Norte  </t>
  </si>
  <si>
    <t xml:space="preserve">Malta  </t>
  </si>
  <si>
    <t xml:space="preserve">México  </t>
  </si>
  <si>
    <t xml:space="preserve">Países Bajos  </t>
  </si>
  <si>
    <t xml:space="preserve">Noruega  </t>
  </si>
  <si>
    <t xml:space="preserve">Nueva Zelanda  </t>
  </si>
  <si>
    <t xml:space="preserve">Polonia  </t>
  </si>
  <si>
    <t xml:space="preserve">Rumanía  </t>
  </si>
  <si>
    <t xml:space="preserve">Serbia  </t>
  </si>
  <si>
    <t xml:space="preserve">Rusia  </t>
  </si>
  <si>
    <t xml:space="preserve">Arabia Saudita  </t>
  </si>
  <si>
    <t xml:space="preserve">Suecia  </t>
  </si>
  <si>
    <t xml:space="preserve">Eslovenia  </t>
  </si>
  <si>
    <t xml:space="preserve">Eslovaquia  </t>
  </si>
  <si>
    <t xml:space="preserve">Türkiye  </t>
  </si>
  <si>
    <t xml:space="preserve">Sudáfrica  </t>
  </si>
  <si>
    <t>Factura</t>
  </si>
  <si>
    <t>Comercial</t>
  </si>
  <si>
    <t>Marca</t>
  </si>
  <si>
    <t>Decripcion</t>
  </si>
  <si>
    <t>Base Imponible</t>
  </si>
  <si>
    <t>%Iva</t>
  </si>
  <si>
    <t>Total</t>
  </si>
  <si>
    <t>Mayuscula</t>
  </si>
  <si>
    <t>Minuscula</t>
  </si>
  <si>
    <t>Nombre Propio</t>
  </si>
  <si>
    <t>Maria garcia 1254</t>
  </si>
  <si>
    <t>Samsung</t>
  </si>
  <si>
    <t>luis valle 5431</t>
  </si>
  <si>
    <t>PaBLo Lopez 7384</t>
  </si>
  <si>
    <t>One Plus</t>
  </si>
  <si>
    <t>PaBLo LoPEz 7384</t>
  </si>
  <si>
    <t>Xiaomi</t>
  </si>
  <si>
    <t>ana Fernandezz 4321</t>
  </si>
  <si>
    <t>MARIO perez 1123</t>
  </si>
  <si>
    <t>PocoPhone</t>
  </si>
  <si>
    <t>Apple</t>
  </si>
  <si>
    <t>Maria GARCIA 1254</t>
  </si>
  <si>
    <t>rellenar automatico</t>
  </si>
  <si>
    <t>MARIA Garcia</t>
  </si>
  <si>
    <t>LUIS Valle</t>
  </si>
  <si>
    <t>PABLO Lopez</t>
  </si>
  <si>
    <t>ANA Fernandezz</t>
  </si>
  <si>
    <t>MARIO Perez</t>
  </si>
  <si>
    <t>derecha</t>
  </si>
  <si>
    <t>izquierda</t>
  </si>
  <si>
    <t>FACTURA</t>
  </si>
  <si>
    <t>FECHA</t>
  </si>
  <si>
    <t>COMERCIAL</t>
  </si>
  <si>
    <t>DECRIPCION</t>
  </si>
  <si>
    <t>BASE IMPONIBLE</t>
  </si>
  <si>
    <t>%IVA</t>
  </si>
  <si>
    <t>TOTAL</t>
  </si>
  <si>
    <t>Ana</t>
  </si>
  <si>
    <t>Mario</t>
  </si>
  <si>
    <t>Maria</t>
  </si>
  <si>
    <t xml:space="preserve">se selecciona toda la tabla y se le pica en F5 para despues seleccionar especial y ponerle en celdas en blanco </t>
  </si>
  <si>
    <t>X</t>
  </si>
  <si>
    <t xml:space="preserve">#¡VALOR! </t>
  </si>
  <si>
    <t xml:space="preserve"> #¡VALOR! </t>
  </si>
  <si>
    <t>F5, CELDA EN BLANCO, =CELDA DE ARRIBA, CONTROL Y ENTER</t>
  </si>
  <si>
    <t>MARCA</t>
  </si>
  <si>
    <t>ARTICULO</t>
  </si>
  <si>
    <t>Maria Garcia</t>
  </si>
  <si>
    <t>Luis Valle</t>
  </si>
  <si>
    <t>Pablo Lopez</t>
  </si>
  <si>
    <t>Ana Fernandez</t>
  </si>
  <si>
    <t>Mario Perez</t>
  </si>
  <si>
    <t>FACTURA UNICA</t>
  </si>
  <si>
    <t>UNICA</t>
  </si>
  <si>
    <t xml:space="preserve">para los duplicados evitarlos podemos poner en validacion de datos, personalizado y ponerle la formula que no sea igual al dato anterior o con un conntar si para que muestre el 1 de que es unico </t>
  </si>
  <si>
    <t>Provincia</t>
  </si>
  <si>
    <t>Genero</t>
  </si>
  <si>
    <t>Prenda</t>
  </si>
  <si>
    <t>Talla</t>
  </si>
  <si>
    <t>Color</t>
  </si>
  <si>
    <t>Sección</t>
  </si>
  <si>
    <t>Coste</t>
  </si>
  <si>
    <t>Beneficio</t>
  </si>
  <si>
    <t>Cantabria</t>
  </si>
  <si>
    <t>Mujer</t>
  </si>
  <si>
    <t>Pantalones</t>
  </si>
  <si>
    <t>XL</t>
  </si>
  <si>
    <t>Marron</t>
  </si>
  <si>
    <t>Señora</t>
  </si>
  <si>
    <t>La Rioja</t>
  </si>
  <si>
    <t>Abrigo</t>
  </si>
  <si>
    <t>M</t>
  </si>
  <si>
    <t>Negro</t>
  </si>
  <si>
    <t>Andalucía</t>
  </si>
  <si>
    <t>Hombre</t>
  </si>
  <si>
    <t>Camiseta</t>
  </si>
  <si>
    <t>Verde</t>
  </si>
  <si>
    <t>Moda joven</t>
  </si>
  <si>
    <t>Camisa</t>
  </si>
  <si>
    <t>S</t>
  </si>
  <si>
    <t>Amarillo</t>
  </si>
  <si>
    <t>Cabellero</t>
  </si>
  <si>
    <t>Castilla y León</t>
  </si>
  <si>
    <t>Vestidos</t>
  </si>
  <si>
    <t>Estampado</t>
  </si>
  <si>
    <t>L</t>
  </si>
  <si>
    <t>Naranja</t>
  </si>
  <si>
    <t>Melilla</t>
  </si>
  <si>
    <t>Canarias</t>
  </si>
  <si>
    <t>Blanco</t>
  </si>
  <si>
    <t>Extremadura</t>
  </si>
  <si>
    <t>Ceuta</t>
  </si>
  <si>
    <t>Jersey</t>
  </si>
  <si>
    <t>Cataluña</t>
  </si>
  <si>
    <t>Accesorios</t>
  </si>
  <si>
    <t>Rojo</t>
  </si>
  <si>
    <t>Comunidad de Madrid</t>
  </si>
  <si>
    <t>Traje</t>
  </si>
  <si>
    <t>Navarra</t>
  </si>
  <si>
    <t>Comunidad Valenciana</t>
  </si>
  <si>
    <t>Castilla-La Mancha</t>
  </si>
  <si>
    <t>Galicia</t>
  </si>
  <si>
    <t>País Vasco</t>
  </si>
  <si>
    <t>Islas Baleares</t>
  </si>
  <si>
    <t>Aragón</t>
  </si>
  <si>
    <t>Asturias</t>
  </si>
  <si>
    <t>Región de Murcia</t>
  </si>
  <si>
    <t>Shorts</t>
  </si>
  <si>
    <t>mes</t>
  </si>
  <si>
    <t>Prendas vendidas</t>
  </si>
  <si>
    <t>Abril</t>
  </si>
  <si>
    <t>Mayo</t>
  </si>
  <si>
    <t>Junio</t>
  </si>
  <si>
    <t>Julio</t>
  </si>
  <si>
    <t>Agosto</t>
  </si>
  <si>
    <t>Septiembre</t>
  </si>
  <si>
    <t>Octubre</t>
  </si>
  <si>
    <t>Noviembre</t>
  </si>
  <si>
    <t>Diciembre</t>
  </si>
  <si>
    <t>enero</t>
  </si>
  <si>
    <t>='sumar si</t>
  </si>
  <si>
    <t>=promedio. Si</t>
  </si>
  <si>
    <t>=contar.si</t>
  </si>
  <si>
    <t>Escala de tiempo</t>
  </si>
  <si>
    <t>Valores</t>
  </si>
  <si>
    <t>Previsión</t>
  </si>
  <si>
    <t>Límite de confianza inferior</t>
  </si>
  <si>
    <t>Límite de confianza superior</t>
  </si>
  <si>
    <t>PVP</t>
  </si>
  <si>
    <t>Venta</t>
  </si>
  <si>
    <t>Coste/ ud</t>
  </si>
  <si>
    <t>DASHBOARD</t>
  </si>
  <si>
    <t>2020</t>
  </si>
  <si>
    <t>2021</t>
  </si>
  <si>
    <t>Suma de Beneficio</t>
  </si>
  <si>
    <t>ene</t>
  </si>
  <si>
    <t>feb</t>
  </si>
  <si>
    <t>mar</t>
  </si>
  <si>
    <t>abr</t>
  </si>
  <si>
    <t>may</t>
  </si>
  <si>
    <t>jun</t>
  </si>
  <si>
    <t>jul</t>
  </si>
  <si>
    <t>ago</t>
  </si>
  <si>
    <t>sep</t>
  </si>
  <si>
    <t>oct</t>
  </si>
  <si>
    <t>nov</t>
  </si>
  <si>
    <t>dic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</si>
</sst>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6" formatCode="&quot;$&quot;#,##0;[Red]\-&quot;$&quot;#,##0"/>
    <numFmt numFmtId="8" formatCode="&quot;$&quot;#,##0.00;[Red]\-&quot;$&quot;#,##0.00"/>
    <numFmt numFmtId="44" formatCode="_-&quot;$&quot;* #,##0.00_-;\-&quot;$&quot;* #,##0.00_-;_-&quot;$&quot;* &quot;-&quot;??_-;_-@_-"/>
    <numFmt numFmtId="43" formatCode="_-* #,##0.00_-;\-* #,##0.00_-;_-* &quot;-&quot;??_-;_-@_-"/>
    <numFmt numFmtId="164" formatCode="&quot;$&quot;#,##0.00"/>
    <numFmt numFmtId="165" formatCode="&quot;$&quot;#,##0"/>
    <numFmt numFmtId="166" formatCode="_-&quot;$&quot;* #,##0_-;\-&quot;$&quot;* #,##0_-;_-&quot;$&quot;* &quot;-&quot;??_-;_-@_-"/>
    <numFmt numFmtId="167" formatCode="#.##000\ [$€-1];[Red]\-#.##000\ [$€-1]"/>
    <numFmt numFmtId="172" formatCode="[$€-2]\ #.##000;[Red]\-[$€-2]\ #.##000"/>
    <numFmt numFmtId="177" formatCode="[$€-2]\ #.##;[Red]\-[$€-2]\ #.##"/>
  </numFmts>
  <fonts count="31">
    <font>
      <sz val="11"/>
      <color theme="1"/>
      <name val="Calibri"/>
      <family val="2"/>
      <scheme val="minor"/>
    </font>
    <font>
      <sz val="11"/>
      <color theme="1"/>
      <name val="Calibri"/>
      <family val="2"/>
      <scheme val="minor"/>
    </font>
    <font>
      <b/>
      <sz val="11"/>
      <color theme="1"/>
      <name val="Calibri"/>
      <family val="2"/>
      <scheme val="minor"/>
    </font>
    <font>
      <sz val="10"/>
      <color theme="1"/>
      <name val="Arial"/>
      <family val="2"/>
    </font>
    <font>
      <sz val="11"/>
      <color theme="9" tint="-0.249977111117893"/>
      <name val="Calibri"/>
      <family val="2"/>
      <scheme val="minor"/>
    </font>
    <font>
      <u/>
      <sz val="11"/>
      <color theme="10"/>
      <name val="Calibri"/>
      <family val="2"/>
      <scheme val="minor"/>
    </font>
    <font>
      <b/>
      <sz val="10"/>
      <color theme="1"/>
      <name val="Arial"/>
      <family val="2"/>
    </font>
    <font>
      <b/>
      <sz val="11"/>
      <color rgb="FF98C83E"/>
      <name val="Calibri"/>
      <family val="2"/>
      <scheme val="minor"/>
    </font>
    <font>
      <b/>
      <sz val="11"/>
      <color rgb="FF000000"/>
      <name val="Calibri"/>
      <family val="2"/>
      <scheme val="minor"/>
    </font>
    <font>
      <sz val="11"/>
      <color rgb="FF000000"/>
      <name val="Calibri"/>
      <family val="2"/>
      <scheme val="minor"/>
    </font>
    <font>
      <sz val="11"/>
      <name val="Calibri"/>
      <family val="2"/>
      <scheme val="minor"/>
    </font>
    <font>
      <sz val="11"/>
      <color rgb="FFFFFFFF"/>
      <name val="Calibri"/>
      <family val="2"/>
      <scheme val="minor"/>
    </font>
    <font>
      <b/>
      <sz val="14"/>
      <color rgb="FF00338D"/>
      <name val="Univers 45 Light"/>
    </font>
    <font>
      <b/>
      <sz val="11"/>
      <color rgb="FFFFFFFF"/>
      <name val="Calibri"/>
      <family val="2"/>
      <scheme val="minor"/>
    </font>
    <font>
      <sz val="8"/>
      <name val="Calibri"/>
      <family val="2"/>
      <scheme val="minor"/>
    </font>
    <font>
      <sz val="11"/>
      <color rgb="FF006100"/>
      <name val="Calibri"/>
      <family val="2"/>
      <scheme val="minor"/>
    </font>
    <font>
      <sz val="11"/>
      <color rgb="FF9C0006"/>
      <name val="Calibri"/>
      <family val="2"/>
      <scheme val="minor"/>
    </font>
    <font>
      <b/>
      <sz val="11"/>
      <color theme="0"/>
      <name val="Calibri"/>
      <family val="2"/>
      <scheme val="minor"/>
    </font>
    <font>
      <sz val="11"/>
      <color rgb="FFFF0000"/>
      <name val="Calibri"/>
      <family val="2"/>
      <scheme val="minor"/>
    </font>
    <font>
      <i/>
      <u/>
      <sz val="11"/>
      <color rgb="FF000000"/>
      <name val="Calibri"/>
      <family val="2"/>
      <scheme val="minor"/>
    </font>
    <font>
      <b/>
      <sz val="11"/>
      <color rgb="FF5B9BD5"/>
      <name val="Calibri"/>
      <family val="2"/>
      <scheme val="minor"/>
    </font>
    <font>
      <b/>
      <sz val="11"/>
      <color rgb="FF00338D"/>
      <name val="Calibri"/>
      <family val="2"/>
      <scheme val="minor"/>
    </font>
    <font>
      <b/>
      <sz val="18"/>
      <color rgb="FF44546A"/>
      <name val="Calibri"/>
      <family val="2"/>
      <scheme val="minor"/>
    </font>
    <font>
      <sz val="11"/>
      <color rgb="FF0000FF"/>
      <name val="Calibri"/>
      <family val="2"/>
      <scheme val="minor"/>
    </font>
    <font>
      <sz val="11"/>
      <color rgb="FF9C6500"/>
      <name val="Calibri"/>
      <family val="2"/>
      <scheme val="minor"/>
    </font>
    <font>
      <b/>
      <sz val="18"/>
      <color rgb="FF00338D"/>
      <name val="Calibri"/>
      <family val="2"/>
      <scheme val="minor"/>
    </font>
    <font>
      <b/>
      <sz val="11"/>
      <color rgb="FFFFFFFF"/>
      <name val="Calibri"/>
      <scheme val="minor"/>
    </font>
    <font>
      <sz val="11"/>
      <color rgb="FF000000"/>
      <name val="Calibri"/>
      <scheme val="minor"/>
    </font>
    <font>
      <sz val="72"/>
      <color theme="1"/>
      <name val="Calibri"/>
      <family val="2"/>
      <scheme val="minor"/>
    </font>
    <font>
      <sz val="20"/>
      <color theme="1"/>
      <name val="Calibri"/>
      <family val="2"/>
      <scheme val="minor"/>
    </font>
    <font>
      <sz val="28"/>
      <color theme="1"/>
      <name val="Calibri"/>
      <family val="2"/>
      <scheme val="minor"/>
    </font>
  </fonts>
  <fills count="33">
    <fill>
      <patternFill patternType="none"/>
    </fill>
    <fill>
      <patternFill patternType="gray125"/>
    </fill>
    <fill>
      <patternFill patternType="solid">
        <fgColor theme="9" tint="0.79998168889431442"/>
        <bgColor indexed="64"/>
      </patternFill>
    </fill>
    <fill>
      <patternFill patternType="solid">
        <fgColor rgb="FF92D050"/>
        <bgColor rgb="FF000000"/>
      </patternFill>
    </fill>
    <fill>
      <patternFill patternType="solid">
        <fgColor rgb="FF5B9BD5"/>
        <bgColor rgb="FF000000"/>
      </patternFill>
    </fill>
    <fill>
      <patternFill patternType="solid">
        <fgColor rgb="FFD9D9D9"/>
        <bgColor rgb="FF000000"/>
      </patternFill>
    </fill>
    <fill>
      <patternFill patternType="solid">
        <fgColor rgb="FFBDD7EE"/>
        <bgColor rgb="FF000000"/>
      </patternFill>
    </fill>
    <fill>
      <patternFill patternType="solid">
        <fgColor rgb="FFF8CBAD"/>
        <bgColor rgb="FF000000"/>
      </patternFill>
    </fill>
    <fill>
      <patternFill patternType="solid">
        <fgColor rgb="FFDDEBF7"/>
        <bgColor rgb="FF000000"/>
      </patternFill>
    </fill>
    <fill>
      <patternFill patternType="solid">
        <fgColor rgb="FFFCE4D6"/>
        <bgColor rgb="FF000000"/>
      </patternFill>
    </fill>
    <fill>
      <patternFill patternType="solid">
        <fgColor theme="3" tint="0.59999389629810485"/>
        <bgColor indexed="64"/>
      </patternFill>
    </fill>
    <fill>
      <patternFill patternType="solid">
        <fgColor theme="7" tint="0.59999389629810485"/>
        <bgColor indexed="64"/>
      </patternFill>
    </fill>
    <fill>
      <patternFill patternType="solid">
        <fgColor theme="5"/>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0" tint="-0.14999847407452621"/>
        <bgColor theme="0" tint="-0.14999847407452621"/>
      </patternFill>
    </fill>
    <fill>
      <patternFill patternType="solid">
        <fgColor theme="4"/>
        <bgColor theme="4"/>
      </patternFill>
    </fill>
    <fill>
      <patternFill patternType="solid">
        <fgColor rgb="FFFFFF00"/>
        <bgColor rgb="FF000000"/>
      </patternFill>
    </fill>
    <fill>
      <patternFill patternType="solid">
        <fgColor theme="5" tint="0.59999389629810485"/>
        <bgColor indexed="64"/>
      </patternFill>
    </fill>
    <fill>
      <patternFill patternType="solid">
        <fgColor rgb="FFACB9CA"/>
        <bgColor rgb="FF000000"/>
      </patternFill>
    </fill>
    <fill>
      <patternFill patternType="solid">
        <fgColor rgb="FFA6A6A6"/>
        <bgColor rgb="FF000000"/>
      </patternFill>
    </fill>
    <fill>
      <patternFill patternType="solid">
        <fgColor rgb="FF4472C4"/>
        <bgColor rgb="FF000000"/>
      </patternFill>
    </fill>
    <fill>
      <patternFill patternType="solid">
        <fgColor rgb="FFB4C6E7"/>
        <bgColor rgb="FF000000"/>
      </patternFill>
    </fill>
    <fill>
      <patternFill patternType="solid">
        <fgColor rgb="FFC6EFCE"/>
        <bgColor rgb="FF000000"/>
      </patternFill>
    </fill>
    <fill>
      <patternFill patternType="solid">
        <fgColor rgb="FFFFC7CE"/>
        <bgColor rgb="FF000000"/>
      </patternFill>
    </fill>
    <fill>
      <patternFill patternType="solid">
        <fgColor rgb="FFFFEB9C"/>
        <bgColor rgb="FF000000"/>
      </patternFill>
    </fill>
    <fill>
      <patternFill patternType="solid">
        <fgColor rgb="FFBFBFBF"/>
        <bgColor rgb="FF000000"/>
      </patternFill>
    </fill>
    <fill>
      <patternFill patternType="solid">
        <fgColor rgb="FFDBDBDB"/>
        <bgColor rgb="FF000000"/>
      </patternFill>
    </fill>
    <fill>
      <patternFill patternType="solid">
        <fgColor rgb="FF1F3864"/>
        <bgColor rgb="FF1F3864"/>
      </patternFill>
    </fill>
    <fill>
      <patternFill patternType="solid">
        <fgColor rgb="FF203764"/>
        <bgColor rgb="FF000000"/>
      </patternFill>
    </fill>
    <fill>
      <patternFill patternType="solid">
        <fgColor rgb="FFD9E1F2"/>
        <bgColor rgb="FF000000"/>
      </patternFill>
    </fill>
  </fills>
  <borders count="67">
    <border>
      <left/>
      <right/>
      <top/>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
      <left style="medium">
        <color rgb="FFCCCCCC"/>
      </left>
      <right/>
      <top/>
      <bottom style="medium">
        <color rgb="FFCCCCCC"/>
      </bottom>
      <diagonal/>
    </border>
    <border>
      <left style="medium">
        <color theme="1" tint="4.9989318521683403E-2"/>
      </left>
      <right style="medium">
        <color theme="1" tint="4.9989318521683403E-2"/>
      </right>
      <top/>
      <bottom style="medium">
        <color theme="1" tint="4.9989318521683403E-2"/>
      </bottom>
      <diagonal/>
    </border>
    <border>
      <left style="medium">
        <color theme="1" tint="4.9989318521683403E-2"/>
      </left>
      <right/>
      <top/>
      <bottom/>
      <diagonal/>
    </border>
    <border>
      <left style="thick">
        <color theme="9" tint="0.39997558519241921"/>
      </left>
      <right/>
      <top style="thick">
        <color theme="9" tint="0.39997558519241921"/>
      </top>
      <bottom style="thick">
        <color theme="9" tint="0.39994506668294322"/>
      </bottom>
      <diagonal/>
    </border>
    <border>
      <left/>
      <right/>
      <top style="thick">
        <color theme="9" tint="0.39997558519241921"/>
      </top>
      <bottom style="thick">
        <color theme="9" tint="0.39994506668294322"/>
      </bottom>
      <diagonal/>
    </border>
    <border>
      <left/>
      <right style="thick">
        <color theme="9" tint="0.39997558519241921"/>
      </right>
      <top style="thick">
        <color theme="9" tint="0.39997558519241921"/>
      </top>
      <bottom style="thick">
        <color theme="9" tint="0.39994506668294322"/>
      </bottom>
      <diagonal/>
    </border>
    <border>
      <left style="thin">
        <color theme="1" tint="4.9989318521683403E-2"/>
      </left>
      <right style="thin">
        <color theme="1" tint="4.9989318521683403E-2"/>
      </right>
      <top style="thin">
        <color theme="1" tint="4.9989318521683403E-2"/>
      </top>
      <bottom style="thin">
        <color theme="1" tint="4.9989318521683403E-2"/>
      </bottom>
      <diagonal/>
    </border>
    <border>
      <left style="thin">
        <color theme="1" tint="4.9989318521683403E-2"/>
      </left>
      <right style="thin">
        <color theme="1" tint="4.9989318521683403E-2"/>
      </right>
      <top/>
      <bottom style="thin">
        <color theme="1" tint="4.9989318521683403E-2"/>
      </bottom>
      <diagonal/>
    </border>
    <border>
      <left style="thin">
        <color rgb="FF98C83E"/>
      </left>
      <right/>
      <top style="thin">
        <color rgb="FF98C83E"/>
      </top>
      <bottom/>
      <diagonal/>
    </border>
    <border>
      <left/>
      <right/>
      <top style="thin">
        <color rgb="FF98C83E"/>
      </top>
      <bottom/>
      <diagonal/>
    </border>
    <border>
      <left style="thin">
        <color rgb="FF98C83E"/>
      </left>
      <right/>
      <top/>
      <bottom style="thin">
        <color indexed="64"/>
      </bottom>
      <diagonal/>
    </border>
    <border>
      <left/>
      <right/>
      <top/>
      <bottom style="thin">
        <color indexed="64"/>
      </bottom>
      <diagonal/>
    </border>
    <border>
      <left style="thin">
        <color rgb="FF98C83E"/>
      </left>
      <right style="thin">
        <color indexed="64"/>
      </right>
      <top style="thin">
        <color indexed="64"/>
      </top>
      <bottom style="thin">
        <color indexed="64"/>
      </bottom>
      <diagonal/>
    </border>
    <border>
      <left style="thin">
        <color indexed="64"/>
      </left>
      <right style="thin">
        <color rgb="FF98C83E"/>
      </right>
      <top style="thin">
        <color indexed="64"/>
      </top>
      <bottom style="thin">
        <color indexed="64"/>
      </bottom>
      <diagonal/>
    </border>
    <border>
      <left style="thin">
        <color rgb="FF98C83E"/>
      </left>
      <right style="thin">
        <color indexed="64"/>
      </right>
      <top style="thin">
        <color indexed="64"/>
      </top>
      <bottom style="thin">
        <color rgb="FF98C83E"/>
      </bottom>
      <diagonal/>
    </border>
    <border>
      <left style="thin">
        <color indexed="64"/>
      </left>
      <right style="thin">
        <color indexed="64"/>
      </right>
      <top style="thin">
        <color indexed="64"/>
      </top>
      <bottom style="thin">
        <color rgb="FF98C83E"/>
      </bottom>
      <diagonal/>
    </border>
    <border>
      <left style="thin">
        <color indexed="64"/>
      </left>
      <right style="thin">
        <color rgb="FF98C83E"/>
      </right>
      <top style="thin">
        <color indexed="64"/>
      </top>
      <bottom style="thin">
        <color rgb="FF98C83E"/>
      </bottom>
      <diagonal/>
    </border>
    <border>
      <left/>
      <right/>
      <top/>
      <bottom style="thin">
        <color rgb="FF98C83E"/>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medium">
        <color rgb="FFCCCCCC"/>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rgb="FFCCCCCC"/>
      </left>
      <right/>
      <top style="medium">
        <color rgb="FFCCCCCC"/>
      </top>
      <bottom/>
      <diagonal/>
    </border>
    <border>
      <left/>
      <right/>
      <top style="medium">
        <color rgb="FFCCCCCC"/>
      </top>
      <bottom/>
      <diagonal/>
    </border>
    <border>
      <left/>
      <right style="medium">
        <color rgb="FFCCCCCC"/>
      </right>
      <top style="medium">
        <color rgb="FFCCCCCC"/>
      </top>
      <bottom/>
      <diagonal/>
    </border>
    <border>
      <left style="medium">
        <color rgb="FFCCCCCC"/>
      </left>
      <right/>
      <top/>
      <bottom/>
      <diagonal/>
    </border>
    <border>
      <left/>
      <right style="medium">
        <color rgb="FFCCCCCC"/>
      </right>
      <top/>
      <bottom/>
      <diagonal/>
    </border>
    <border>
      <left/>
      <right/>
      <top/>
      <bottom style="medium">
        <color rgb="FFCCCCCC"/>
      </bottom>
      <diagonal/>
    </border>
    <border>
      <left/>
      <right style="medium">
        <color rgb="FFCCCCCC"/>
      </right>
      <top/>
      <bottom style="medium">
        <color rgb="FFCCCCCC"/>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indexed="64"/>
      </left>
      <right style="thin">
        <color indexed="64"/>
      </right>
      <top/>
      <bottom/>
      <diagonal/>
    </border>
    <border>
      <left style="thin">
        <color indexed="64"/>
      </left>
      <right style="thin">
        <color indexed="64"/>
      </right>
      <top style="thin">
        <color indexed="64"/>
      </top>
      <bottom style="medium">
        <color indexed="64"/>
      </bottom>
      <diagonal/>
    </border>
    <border>
      <left style="medium">
        <color rgb="FFCCCCCC"/>
      </left>
      <right style="medium">
        <color rgb="FFCCCCCC"/>
      </right>
      <top style="medium">
        <color rgb="FFCCCCCC"/>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CCCCCC"/>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theme="4" tint="0.39997558519241921"/>
      </left>
      <right/>
      <top style="thin">
        <color theme="4" tint="0.39997558519241921"/>
      </top>
      <bottom style="thin">
        <color theme="4" tint="0.39997558519241921"/>
      </bottom>
      <diagonal/>
    </border>
    <border>
      <left/>
      <right style="thin">
        <color indexed="64"/>
      </right>
      <top/>
      <bottom/>
      <diagonal/>
    </border>
    <border>
      <left style="thick">
        <color rgb="FF5B9BD5"/>
      </left>
      <right/>
      <top style="thick">
        <color rgb="FF5B9BD5"/>
      </top>
      <bottom style="thin">
        <color indexed="64"/>
      </bottom>
      <diagonal/>
    </border>
    <border>
      <left/>
      <right/>
      <top style="thick">
        <color rgb="FF5B9BD5"/>
      </top>
      <bottom style="thin">
        <color indexed="64"/>
      </bottom>
      <diagonal/>
    </border>
    <border>
      <left/>
      <right style="thick">
        <color rgb="FF5B9BD5"/>
      </right>
      <top style="thick">
        <color rgb="FF5B9BD5"/>
      </top>
      <bottom style="thin">
        <color indexed="64"/>
      </bottom>
      <diagonal/>
    </border>
    <border>
      <left style="thick">
        <color rgb="FF5B9BD5"/>
      </left>
      <right/>
      <top style="thin">
        <color indexed="64"/>
      </top>
      <bottom style="thin">
        <color indexed="64"/>
      </bottom>
      <diagonal/>
    </border>
    <border>
      <left/>
      <right style="thick">
        <color rgb="FF5B9BD5"/>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5">
    <xf numFmtId="0" fontId="0" fillId="0" borderId="0"/>
    <xf numFmtId="9" fontId="1" fillId="0" borderId="0" applyFont="0" applyFill="0" applyBorder="0" applyAlignment="0" applyProtection="0"/>
    <xf numFmtId="0" fontId="5" fillId="0" borderId="0" applyNumberFormat="0" applyFill="0" applyBorder="0" applyAlignment="0" applyProtection="0"/>
    <xf numFmtId="43" fontId="1" fillId="0" borderId="0" applyFont="0" applyFill="0" applyBorder="0" applyAlignment="0" applyProtection="0"/>
    <xf numFmtId="44" fontId="1" fillId="0" borderId="0" applyFont="0" applyFill="0" applyBorder="0" applyAlignment="0" applyProtection="0"/>
  </cellStyleXfs>
  <cellXfs count="345">
    <xf numFmtId="0" fontId="0" fillId="0" borderId="0" xfId="0"/>
    <xf numFmtId="0" fontId="3" fillId="0" borderId="1" xfId="0" applyFont="1" applyBorder="1" applyAlignment="1">
      <alignment wrapText="1"/>
    </xf>
    <xf numFmtId="6" fontId="3" fillId="0" borderId="1" xfId="0" applyNumberFormat="1" applyFont="1" applyBorder="1" applyAlignment="1">
      <alignment horizontal="right" wrapText="1"/>
    </xf>
    <xf numFmtId="0" fontId="3" fillId="0" borderId="1" xfId="0" applyFont="1" applyBorder="1" applyAlignment="1">
      <alignment horizontal="right" wrapText="1"/>
    </xf>
    <xf numFmtId="0" fontId="3" fillId="0" borderId="1" xfId="0" applyFont="1" applyBorder="1" applyAlignment="1">
      <alignment vertical="center"/>
    </xf>
    <xf numFmtId="1" fontId="0" fillId="0" borderId="0" xfId="0" applyNumberFormat="1"/>
    <xf numFmtId="165" fontId="0" fillId="0" borderId="0" xfId="0" applyNumberFormat="1"/>
    <xf numFmtId="0" fontId="6" fillId="0" borderId="4" xfId="0" applyFont="1" applyBorder="1" applyAlignment="1">
      <alignment wrapText="1"/>
    </xf>
    <xf numFmtId="165" fontId="6" fillId="0" borderId="4" xfId="0" applyNumberFormat="1" applyFont="1" applyBorder="1" applyAlignment="1">
      <alignment wrapText="1"/>
    </xf>
    <xf numFmtId="1" fontId="6" fillId="0" borderId="4" xfId="0" applyNumberFormat="1" applyFont="1" applyBorder="1" applyAlignment="1">
      <alignment wrapText="1"/>
    </xf>
    <xf numFmtId="0" fontId="0" fillId="0" borderId="5" xfId="0" applyBorder="1"/>
    <xf numFmtId="0" fontId="3" fillId="0" borderId="9" xfId="0" applyFont="1" applyBorder="1" applyAlignment="1">
      <alignment wrapText="1"/>
    </xf>
    <xf numFmtId="165" fontId="3" fillId="0" borderId="9" xfId="0" applyNumberFormat="1" applyFont="1" applyBorder="1" applyAlignment="1">
      <alignment horizontal="right" wrapText="1"/>
    </xf>
    <xf numFmtId="1" fontId="3" fillId="0" borderId="9" xfId="0" applyNumberFormat="1" applyFont="1" applyBorder="1" applyAlignment="1">
      <alignment horizontal="right" wrapText="1"/>
    </xf>
    <xf numFmtId="1" fontId="3" fillId="0" borderId="9" xfId="0" applyNumberFormat="1" applyFont="1" applyBorder="1" applyAlignment="1">
      <alignment wrapText="1"/>
    </xf>
    <xf numFmtId="0" fontId="3" fillId="0" borderId="9" xfId="0" applyFont="1" applyBorder="1" applyAlignment="1">
      <alignment vertical="center"/>
    </xf>
    <xf numFmtId="0" fontId="3" fillId="0" borderId="10" xfId="0" applyFont="1" applyBorder="1" applyAlignment="1">
      <alignment wrapText="1"/>
    </xf>
    <xf numFmtId="165" fontId="3" fillId="0" borderId="10" xfId="0" applyNumberFormat="1" applyFont="1" applyBorder="1" applyAlignment="1">
      <alignment horizontal="right" wrapText="1"/>
    </xf>
    <xf numFmtId="1" fontId="3" fillId="0" borderId="10" xfId="0" applyNumberFormat="1" applyFont="1" applyBorder="1" applyAlignment="1">
      <alignment horizontal="right" wrapText="1"/>
    </xf>
    <xf numFmtId="0" fontId="8" fillId="0" borderId="15" xfId="0" applyFont="1" applyBorder="1" applyAlignment="1">
      <alignment horizontal="center" vertical="center" wrapText="1"/>
    </xf>
    <xf numFmtId="0" fontId="8" fillId="0" borderId="2" xfId="0" applyFont="1" applyBorder="1" applyAlignment="1">
      <alignment horizontal="center" vertical="center" wrapText="1"/>
    </xf>
    <xf numFmtId="0" fontId="8" fillId="0" borderId="16" xfId="0" applyFont="1" applyBorder="1" applyAlignment="1">
      <alignment horizontal="center" vertical="center" wrapText="1"/>
    </xf>
    <xf numFmtId="0" fontId="9" fillId="0" borderId="15" xfId="0" applyFont="1" applyBorder="1" applyAlignment="1">
      <alignment vertical="center"/>
    </xf>
    <xf numFmtId="0" fontId="9" fillId="0" borderId="2" xfId="0" applyFont="1" applyBorder="1" applyAlignment="1">
      <alignment vertical="center"/>
    </xf>
    <xf numFmtId="0" fontId="9" fillId="0" borderId="2" xfId="0" applyFont="1" applyBorder="1"/>
    <xf numFmtId="0" fontId="10" fillId="0" borderId="2" xfId="0" applyFont="1" applyBorder="1" applyAlignment="1">
      <alignment horizontal="left"/>
    </xf>
    <xf numFmtId="0" fontId="9" fillId="0" borderId="16" xfId="0" applyFont="1" applyBorder="1"/>
    <xf numFmtId="6" fontId="9" fillId="0" borderId="2" xfId="0" applyNumberFormat="1" applyFont="1" applyBorder="1"/>
    <xf numFmtId="6" fontId="9" fillId="0" borderId="2" xfId="0" applyNumberFormat="1" applyFont="1" applyBorder="1" applyAlignment="1">
      <alignment vertical="center"/>
    </xf>
    <xf numFmtId="0" fontId="10" fillId="0" borderId="16" xfId="0" applyFont="1" applyBorder="1" applyAlignment="1">
      <alignment horizontal="left"/>
    </xf>
    <xf numFmtId="0" fontId="10" fillId="0" borderId="16" xfId="0" applyFont="1" applyBorder="1" applyAlignment="1">
      <alignment horizontal="left" vertical="top"/>
    </xf>
    <xf numFmtId="0" fontId="9" fillId="0" borderId="17" xfId="0" applyFont="1" applyBorder="1" applyAlignment="1">
      <alignment vertical="center"/>
    </xf>
    <xf numFmtId="0" fontId="9" fillId="0" borderId="18" xfId="0" applyFont="1" applyBorder="1" applyAlignment="1">
      <alignment vertical="center"/>
    </xf>
    <xf numFmtId="0" fontId="9" fillId="0" borderId="18" xfId="0" applyFont="1" applyBorder="1"/>
    <xf numFmtId="0" fontId="9" fillId="0" borderId="19" xfId="0" applyFont="1" applyBorder="1"/>
    <xf numFmtId="0" fontId="8" fillId="0" borderId="0" xfId="0" applyFont="1" applyAlignment="1">
      <alignment horizontal="center" vertical="center" wrapText="1"/>
    </xf>
    <xf numFmtId="0" fontId="8" fillId="0" borderId="2" xfId="0" applyFont="1" applyBorder="1" applyAlignment="1">
      <alignment horizontal="center" vertical="center"/>
    </xf>
    <xf numFmtId="0" fontId="9" fillId="3" borderId="2" xfId="0" applyFont="1" applyFill="1" applyBorder="1"/>
    <xf numFmtId="0" fontId="8" fillId="0" borderId="2" xfId="0" applyFont="1" applyBorder="1" applyAlignment="1">
      <alignment horizontal="left" indent="2"/>
    </xf>
    <xf numFmtId="6" fontId="9" fillId="0" borderId="18" xfId="0" applyNumberFormat="1" applyFont="1" applyBorder="1"/>
    <xf numFmtId="0" fontId="5" fillId="0" borderId="2" xfId="2" applyBorder="1" applyAlignment="1">
      <alignment vertical="center"/>
    </xf>
    <xf numFmtId="0" fontId="9" fillId="5" borderId="2" xfId="0" applyFont="1" applyFill="1" applyBorder="1" applyAlignment="1">
      <alignment vertical="center"/>
    </xf>
    <xf numFmtId="0" fontId="9" fillId="6" borderId="2" xfId="0" applyFont="1" applyFill="1" applyBorder="1"/>
    <xf numFmtId="0" fontId="9" fillId="0" borderId="0" xfId="0" applyFont="1"/>
    <xf numFmtId="0" fontId="8" fillId="8" borderId="2" xfId="0" applyFont="1" applyFill="1" applyBorder="1"/>
    <xf numFmtId="0" fontId="8" fillId="9" borderId="2" xfId="0" applyFont="1" applyFill="1" applyBorder="1" applyAlignment="1">
      <alignment horizontal="left"/>
    </xf>
    <xf numFmtId="0" fontId="8" fillId="9" borderId="2" xfId="0" applyFont="1" applyFill="1" applyBorder="1"/>
    <xf numFmtId="0" fontId="10" fillId="0" borderId="0" xfId="0" applyFont="1" applyAlignment="1">
      <alignment horizontal="left"/>
    </xf>
    <xf numFmtId="0" fontId="0" fillId="10" borderId="0" xfId="0" applyFill="1"/>
    <xf numFmtId="0" fontId="0" fillId="11" borderId="0" xfId="0" applyFill="1"/>
    <xf numFmtId="0" fontId="9" fillId="0" borderId="0" xfId="0" applyFont="1" applyAlignment="1">
      <alignment vertical="center"/>
    </xf>
    <xf numFmtId="0" fontId="9" fillId="0" borderId="36" xfId="0" applyFont="1" applyBorder="1"/>
    <xf numFmtId="0" fontId="9" fillId="0" borderId="25" xfId="0" applyFont="1" applyBorder="1"/>
    <xf numFmtId="0" fontId="9" fillId="0" borderId="14" xfId="0" applyFont="1" applyBorder="1"/>
    <xf numFmtId="14" fontId="9" fillId="0" borderId="14" xfId="0" applyNumberFormat="1" applyFont="1" applyBorder="1"/>
    <xf numFmtId="14" fontId="9" fillId="0" borderId="0" xfId="0" applyNumberFormat="1" applyFont="1"/>
    <xf numFmtId="0" fontId="10" fillId="0" borderId="2" xfId="0" applyFont="1" applyBorder="1" applyAlignment="1">
      <alignment horizontal="left" vertical="top"/>
    </xf>
    <xf numFmtId="164" fontId="9" fillId="0" borderId="2" xfId="0" applyNumberFormat="1" applyFont="1" applyBorder="1" applyAlignment="1">
      <alignment vertical="center"/>
    </xf>
    <xf numFmtId="0" fontId="8" fillId="13" borderId="0" xfId="0" applyFont="1" applyFill="1" applyAlignment="1">
      <alignment horizontal="center" vertical="center" wrapText="1"/>
    </xf>
    <xf numFmtId="164" fontId="9" fillId="13" borderId="0" xfId="0" applyNumberFormat="1" applyFont="1" applyFill="1" applyAlignment="1">
      <alignment vertical="center"/>
    </xf>
    <xf numFmtId="0" fontId="0" fillId="13" borderId="0" xfId="0" applyFill="1"/>
    <xf numFmtId="0" fontId="8" fillId="14" borderId="0" xfId="0" applyFont="1" applyFill="1" applyAlignment="1">
      <alignment horizontal="center" vertical="center" wrapText="1"/>
    </xf>
    <xf numFmtId="164" fontId="9" fillId="14" borderId="0" xfId="0" applyNumberFormat="1" applyFont="1" applyFill="1" applyAlignment="1">
      <alignment vertical="center"/>
    </xf>
    <xf numFmtId="0" fontId="0" fillId="14" borderId="0" xfId="0" applyFill="1"/>
    <xf numFmtId="0" fontId="8" fillId="15" borderId="0" xfId="0" applyFont="1" applyFill="1" applyAlignment="1">
      <alignment horizontal="center" vertical="center" wrapText="1"/>
    </xf>
    <xf numFmtId="8" fontId="9" fillId="15" borderId="0" xfId="0" applyNumberFormat="1" applyFont="1" applyFill="1" applyAlignment="1">
      <alignment vertical="center"/>
    </xf>
    <xf numFmtId="0" fontId="0" fillId="15" borderId="0" xfId="0" applyFill="1"/>
    <xf numFmtId="0" fontId="8" fillId="16" borderId="0" xfId="0" applyFont="1" applyFill="1" applyAlignment="1">
      <alignment horizontal="center" vertical="center" wrapText="1"/>
    </xf>
    <xf numFmtId="8" fontId="9" fillId="16" borderId="0" xfId="0" applyNumberFormat="1" applyFont="1" applyFill="1" applyAlignment="1">
      <alignment vertical="center"/>
    </xf>
    <xf numFmtId="0" fontId="0" fillId="16" borderId="0" xfId="0" applyFill="1"/>
    <xf numFmtId="0" fontId="9" fillId="12" borderId="2" xfId="0" applyFont="1" applyFill="1" applyBorder="1"/>
    <xf numFmtId="6" fontId="9" fillId="16" borderId="0" xfId="0" applyNumberFormat="1" applyFont="1" applyFill="1" applyAlignment="1">
      <alignment vertical="center"/>
    </xf>
    <xf numFmtId="6" fontId="8" fillId="16" borderId="0" xfId="0" applyNumberFormat="1" applyFont="1" applyFill="1" applyAlignment="1">
      <alignment horizontal="center" vertical="center" wrapText="1"/>
    </xf>
    <xf numFmtId="2" fontId="9" fillId="0" borderId="0" xfId="0" applyNumberFormat="1" applyFont="1"/>
    <xf numFmtId="0" fontId="9" fillId="6" borderId="2" xfId="0" applyFont="1" applyFill="1" applyBorder="1" applyAlignment="1">
      <alignment horizontal="center" vertical="center"/>
    </xf>
    <xf numFmtId="0" fontId="10" fillId="0" borderId="2" xfId="0" applyFont="1" applyBorder="1" applyAlignment="1">
      <alignment horizontal="left" vertical="center"/>
    </xf>
    <xf numFmtId="0" fontId="11" fillId="0" borderId="0" xfId="0" applyFont="1"/>
    <xf numFmtId="9" fontId="9" fillId="0" borderId="2" xfId="0" applyNumberFormat="1" applyFont="1" applyBorder="1" applyAlignment="1">
      <alignment vertical="center"/>
    </xf>
    <xf numFmtId="0" fontId="11" fillId="0" borderId="0" xfId="0" applyFont="1" applyAlignment="1">
      <alignment vertical="center"/>
    </xf>
    <xf numFmtId="0" fontId="8" fillId="0" borderId="2" xfId="0" applyFont="1" applyBorder="1"/>
    <xf numFmtId="0" fontId="8" fillId="0" borderId="2" xfId="0" applyFont="1" applyBorder="1" applyAlignment="1">
      <alignment vertical="center"/>
    </xf>
    <xf numFmtId="0" fontId="11" fillId="4" borderId="22" xfId="0" applyFont="1" applyFill="1" applyBorder="1" applyAlignment="1">
      <alignment horizontal="center" vertical="center" wrapText="1"/>
    </xf>
    <xf numFmtId="0" fontId="11" fillId="4" borderId="24" xfId="0" applyFont="1" applyFill="1" applyBorder="1" applyAlignment="1">
      <alignment horizontal="center" vertical="center" wrapText="1"/>
    </xf>
    <xf numFmtId="164" fontId="9" fillId="0" borderId="0" xfId="0" applyNumberFormat="1" applyFont="1"/>
    <xf numFmtId="0" fontId="9" fillId="6" borderId="22" xfId="0" applyFont="1" applyFill="1" applyBorder="1" applyAlignment="1">
      <alignment horizontal="center" vertical="center"/>
    </xf>
    <xf numFmtId="0" fontId="9" fillId="0" borderId="22" xfId="0" applyFont="1" applyBorder="1"/>
    <xf numFmtId="0" fontId="11" fillId="4" borderId="22" xfId="0" quotePrefix="1" applyFont="1" applyFill="1" applyBorder="1" applyAlignment="1">
      <alignment horizontal="center" vertical="center" wrapText="1"/>
    </xf>
    <xf numFmtId="2" fontId="9" fillId="0" borderId="2" xfId="0" applyNumberFormat="1" applyFont="1" applyBorder="1" applyAlignment="1">
      <alignment vertical="center"/>
    </xf>
    <xf numFmtId="0" fontId="13" fillId="4" borderId="21" xfId="0" applyFont="1" applyFill="1" applyBorder="1" applyAlignment="1">
      <alignment horizontal="center" vertical="center" wrapText="1"/>
    </xf>
    <xf numFmtId="0" fontId="13" fillId="4" borderId="22" xfId="0" applyFont="1" applyFill="1" applyBorder="1" applyAlignment="1">
      <alignment horizontal="center" vertical="center" wrapText="1"/>
    </xf>
    <xf numFmtId="0" fontId="9" fillId="17" borderId="2" xfId="0" applyFont="1" applyFill="1" applyBorder="1"/>
    <xf numFmtId="0" fontId="8" fillId="0" borderId="22" xfId="0" applyFont="1" applyBorder="1" applyAlignment="1">
      <alignment horizontal="center" vertical="center" wrapText="1"/>
    </xf>
    <xf numFmtId="0" fontId="9" fillId="0" borderId="22" xfId="0" applyFont="1" applyBorder="1" applyAlignment="1">
      <alignment vertical="center"/>
    </xf>
    <xf numFmtId="9" fontId="9" fillId="0" borderId="0" xfId="1" applyFont="1" applyBorder="1" applyAlignment="1">
      <alignment vertical="center"/>
    </xf>
    <xf numFmtId="9" fontId="9" fillId="6" borderId="2" xfId="1" applyFont="1" applyFill="1" applyBorder="1" applyAlignment="1">
      <alignment horizontal="center" vertical="center"/>
    </xf>
    <xf numFmtId="9" fontId="0" fillId="0" borderId="0" xfId="0" applyNumberFormat="1"/>
    <xf numFmtId="9" fontId="9" fillId="0" borderId="2" xfId="0" applyNumberFormat="1" applyFont="1" applyBorder="1"/>
    <xf numFmtId="0" fontId="8" fillId="19" borderId="2" xfId="0" applyFont="1" applyFill="1" applyBorder="1" applyAlignment="1">
      <alignment vertical="center"/>
    </xf>
    <xf numFmtId="0" fontId="8" fillId="0" borderId="0" xfId="0" applyFont="1" applyAlignment="1">
      <alignment horizontal="center"/>
    </xf>
    <xf numFmtId="0" fontId="8" fillId="0" borderId="2" xfId="0" applyFont="1" applyBorder="1" applyAlignment="1">
      <alignment horizontal="center"/>
    </xf>
    <xf numFmtId="0" fontId="19" fillId="0" borderId="2" xfId="0" applyFont="1" applyBorder="1" applyAlignment="1">
      <alignment horizontal="right"/>
    </xf>
    <xf numFmtId="9" fontId="19" fillId="0" borderId="2" xfId="0" applyNumberFormat="1" applyFont="1" applyBorder="1" applyAlignment="1">
      <alignment horizontal="center"/>
    </xf>
    <xf numFmtId="0" fontId="9" fillId="5" borderId="2" xfId="0" applyFont="1" applyFill="1" applyBorder="1"/>
    <xf numFmtId="0" fontId="5" fillId="0" borderId="0" xfId="2"/>
    <xf numFmtId="0" fontId="9" fillId="0" borderId="43" xfId="0" applyFont="1" applyBorder="1"/>
    <xf numFmtId="0" fontId="9" fillId="0" borderId="38" xfId="0" applyFont="1" applyBorder="1"/>
    <xf numFmtId="0" fontId="9" fillId="0" borderId="37" xfId="0" applyFont="1" applyBorder="1" applyAlignment="1">
      <alignment horizontal="center" vertical="center" wrapText="1"/>
    </xf>
    <xf numFmtId="0" fontId="9" fillId="0" borderId="42" xfId="0" applyFont="1" applyBorder="1" applyAlignment="1">
      <alignment horizontal="center" vertical="center" wrapText="1"/>
    </xf>
    <xf numFmtId="0" fontId="9" fillId="0" borderId="38" xfId="0" applyFont="1" applyBorder="1" applyAlignment="1">
      <alignment horizontal="center" vertical="center" wrapText="1"/>
    </xf>
    <xf numFmtId="0" fontId="20" fillId="0" borderId="2" xfId="0" applyFont="1" applyBorder="1"/>
    <xf numFmtId="0" fontId="21" fillId="0" borderId="0" xfId="0" applyFont="1" applyAlignment="1">
      <alignment horizontal="center"/>
    </xf>
    <xf numFmtId="0" fontId="18" fillId="19" borderId="37" xfId="0" applyFont="1" applyFill="1" applyBorder="1" applyAlignment="1">
      <alignment horizontal="center" vertical="center" wrapText="1"/>
    </xf>
    <xf numFmtId="0" fontId="18" fillId="19" borderId="42" xfId="0" applyFont="1" applyFill="1" applyBorder="1" applyAlignment="1">
      <alignment horizontal="center" vertical="center" wrapText="1"/>
    </xf>
    <xf numFmtId="0" fontId="18" fillId="19" borderId="38" xfId="0" applyFont="1" applyFill="1" applyBorder="1" applyAlignment="1">
      <alignment horizontal="center" vertical="center" wrapText="1"/>
    </xf>
    <xf numFmtId="0" fontId="9" fillId="0" borderId="0" xfId="0" applyFont="1" applyAlignment="1">
      <alignment wrapText="1"/>
    </xf>
    <xf numFmtId="0" fontId="18" fillId="19" borderId="42" xfId="0" quotePrefix="1" applyFont="1" applyFill="1" applyBorder="1" applyAlignment="1">
      <alignment horizontal="center" vertical="center" wrapText="1"/>
    </xf>
    <xf numFmtId="0" fontId="5" fillId="0" borderId="0" xfId="2" applyFill="1"/>
    <xf numFmtId="0" fontId="0" fillId="0" borderId="1" xfId="0" applyBorder="1" applyAlignment="1">
      <alignment wrapText="1"/>
    </xf>
    <xf numFmtId="0" fontId="0" fillId="0" borderId="44" xfId="0" applyBorder="1" applyAlignment="1">
      <alignment wrapText="1"/>
    </xf>
    <xf numFmtId="0" fontId="0" fillId="0" borderId="44" xfId="0" applyBorder="1" applyAlignment="1">
      <alignment vertical="center"/>
    </xf>
    <xf numFmtId="0" fontId="22" fillId="0" borderId="44" xfId="0" applyFont="1" applyBorder="1" applyAlignment="1">
      <alignment vertical="center"/>
    </xf>
    <xf numFmtId="0" fontId="2" fillId="0" borderId="45" xfId="0" applyFont="1" applyBorder="1" applyAlignment="1">
      <alignment horizontal="center" vertical="center" wrapText="1"/>
    </xf>
    <xf numFmtId="0" fontId="2" fillId="0" borderId="46" xfId="0" applyFont="1" applyBorder="1" applyAlignment="1">
      <alignment horizontal="center" vertical="center" wrapText="1"/>
    </xf>
    <xf numFmtId="0" fontId="0" fillId="0" borderId="47" xfId="0" applyBorder="1" applyAlignment="1">
      <alignment wrapText="1"/>
    </xf>
    <xf numFmtId="0" fontId="0" fillId="0" borderId="45" xfId="0" applyBorder="1" applyAlignment="1">
      <alignment vertical="center" wrapText="1"/>
    </xf>
    <xf numFmtId="0" fontId="0" fillId="0" borderId="46" xfId="0" applyBorder="1" applyAlignment="1">
      <alignment wrapText="1"/>
    </xf>
    <xf numFmtId="0" fontId="0" fillId="0" borderId="46" xfId="0" applyBorder="1" applyAlignment="1">
      <alignment horizontal="right" wrapText="1"/>
    </xf>
    <xf numFmtId="0" fontId="0" fillId="0" borderId="46" xfId="0" applyBorder="1" applyAlignment="1">
      <alignment vertical="center" wrapText="1"/>
    </xf>
    <xf numFmtId="0" fontId="0" fillId="0" borderId="46" xfId="0" applyBorder="1" applyAlignment="1">
      <alignment horizontal="right" vertical="center" wrapText="1"/>
    </xf>
    <xf numFmtId="0" fontId="0" fillId="0" borderId="46" xfId="0" applyBorder="1" applyAlignment="1">
      <alignment vertical="top" wrapText="1"/>
    </xf>
    <xf numFmtId="0" fontId="0" fillId="20" borderId="0" xfId="0" applyFill="1"/>
    <xf numFmtId="0" fontId="5" fillId="0" borderId="44" xfId="2" applyBorder="1" applyAlignment="1">
      <alignment vertical="center"/>
    </xf>
    <xf numFmtId="0" fontId="17" fillId="18" borderId="51" xfId="0" applyFont="1" applyFill="1" applyBorder="1"/>
    <xf numFmtId="0" fontId="17" fillId="18" borderId="41" xfId="0" applyFont="1" applyFill="1" applyBorder="1"/>
    <xf numFmtId="0" fontId="17" fillId="18" borderId="40" xfId="0" applyFont="1" applyFill="1" applyBorder="1"/>
    <xf numFmtId="0" fontId="9" fillId="0" borderId="0" xfId="0" applyFont="1" applyAlignment="1">
      <alignment horizontal="center" vertical="center"/>
    </xf>
    <xf numFmtId="0" fontId="18" fillId="0" borderId="0" xfId="0" applyFont="1"/>
    <xf numFmtId="0" fontId="23" fillId="0" borderId="2" xfId="0" applyFont="1" applyBorder="1" applyAlignment="1">
      <alignment vertical="center"/>
    </xf>
    <xf numFmtId="0" fontId="9" fillId="21" borderId="2" xfId="0" applyFont="1" applyFill="1" applyBorder="1" applyAlignment="1">
      <alignment vertical="center"/>
    </xf>
    <xf numFmtId="6" fontId="9" fillId="19" borderId="2" xfId="0" applyNumberFormat="1" applyFont="1" applyFill="1" applyBorder="1" applyAlignment="1">
      <alignment vertical="center"/>
    </xf>
    <xf numFmtId="166" fontId="9" fillId="19" borderId="2" xfId="4" applyNumberFormat="1" applyFont="1" applyFill="1" applyBorder="1" applyAlignment="1">
      <alignment vertical="center"/>
    </xf>
    <xf numFmtId="0" fontId="8" fillId="0" borderId="0" xfId="0" applyFont="1"/>
    <xf numFmtId="0" fontId="8" fillId="0" borderId="0" xfId="0" applyFont="1" applyAlignment="1">
      <alignment wrapText="1"/>
    </xf>
    <xf numFmtId="0" fontId="9" fillId="0" borderId="2" xfId="0" applyFont="1" applyBorder="1" applyAlignment="1">
      <alignment horizontal="center"/>
    </xf>
    <xf numFmtId="6" fontId="9" fillId="0" borderId="21" xfId="0" applyNumberFormat="1" applyFont="1" applyBorder="1" applyAlignment="1">
      <alignment vertical="center"/>
    </xf>
    <xf numFmtId="0" fontId="9" fillId="0" borderId="21" xfId="0" applyFont="1" applyBorder="1" applyAlignment="1">
      <alignment vertical="center"/>
    </xf>
    <xf numFmtId="0" fontId="8" fillId="0" borderId="26" xfId="0" applyFont="1" applyBorder="1" applyAlignment="1">
      <alignment horizontal="center" vertical="center" wrapText="1"/>
    </xf>
    <xf numFmtId="0" fontId="8" fillId="0" borderId="38" xfId="0" applyFont="1" applyBorder="1" applyAlignment="1">
      <alignment horizontal="center" vertical="center" wrapText="1"/>
    </xf>
    <xf numFmtId="0" fontId="8" fillId="0" borderId="25" xfId="0" applyFont="1" applyBorder="1" applyAlignment="1">
      <alignment horizontal="center" vertical="center" wrapText="1"/>
    </xf>
    <xf numFmtId="0" fontId="9" fillId="0" borderId="39" xfId="0" applyFont="1" applyBorder="1" applyAlignment="1">
      <alignment vertical="center"/>
    </xf>
    <xf numFmtId="0" fontId="23" fillId="0" borderId="37" xfId="0" applyFont="1" applyBorder="1" applyAlignment="1">
      <alignment vertical="center"/>
    </xf>
    <xf numFmtId="0" fontId="9" fillId="0" borderId="37" xfId="0" applyFont="1" applyBorder="1"/>
    <xf numFmtId="0" fontId="10" fillId="0" borderId="37" xfId="0" applyFont="1" applyBorder="1" applyAlignment="1">
      <alignment horizontal="left"/>
    </xf>
    <xf numFmtId="0" fontId="9" fillId="0" borderId="37" xfId="0" applyFont="1" applyBorder="1" applyAlignment="1">
      <alignment vertical="center"/>
    </xf>
    <xf numFmtId="6" fontId="9" fillId="0" borderId="37" xfId="0" applyNumberFormat="1" applyFont="1" applyBorder="1" applyAlignment="1">
      <alignment vertical="center"/>
    </xf>
    <xf numFmtId="6" fontId="9" fillId="0" borderId="34" xfId="0" applyNumberFormat="1" applyFont="1" applyBorder="1" applyAlignment="1">
      <alignment vertical="center"/>
    </xf>
    <xf numFmtId="0" fontId="9" fillId="0" borderId="2" xfId="3" applyNumberFormat="1" applyFont="1" applyBorder="1"/>
    <xf numFmtId="44" fontId="9" fillId="0" borderId="2" xfId="4" applyFont="1" applyBorder="1" applyAlignment="1">
      <alignment vertical="center"/>
    </xf>
    <xf numFmtId="166" fontId="9" fillId="0" borderId="2" xfId="4" applyNumberFormat="1" applyFont="1" applyBorder="1" applyAlignment="1">
      <alignment vertical="center"/>
    </xf>
    <xf numFmtId="0" fontId="8" fillId="24" borderId="42" xfId="0" applyFont="1" applyFill="1" applyBorder="1" applyAlignment="1">
      <alignment horizontal="center" vertical="center" wrapText="1"/>
    </xf>
    <xf numFmtId="166" fontId="9" fillId="0" borderId="21" xfId="4" applyNumberFormat="1" applyFont="1" applyBorder="1" applyAlignment="1">
      <alignment vertical="center"/>
    </xf>
    <xf numFmtId="0" fontId="8" fillId="5" borderId="38" xfId="0" applyFont="1" applyFill="1" applyBorder="1" applyAlignment="1">
      <alignment horizontal="center" vertical="center" wrapText="1"/>
    </xf>
    <xf numFmtId="0" fontId="8" fillId="24" borderId="38" xfId="0" applyFont="1" applyFill="1" applyBorder="1" applyAlignment="1">
      <alignment horizontal="center" vertical="center" wrapText="1"/>
    </xf>
    <xf numFmtId="0" fontId="8" fillId="24" borderId="25" xfId="0" applyFont="1" applyFill="1" applyBorder="1" applyAlignment="1">
      <alignment horizontal="center" vertical="center" wrapText="1"/>
    </xf>
    <xf numFmtId="0" fontId="9" fillId="0" borderId="37" xfId="0" applyFont="1" applyBorder="1" applyAlignment="1">
      <alignment horizontal="center"/>
    </xf>
    <xf numFmtId="0" fontId="9" fillId="0" borderId="37" xfId="3" applyNumberFormat="1" applyFont="1" applyBorder="1"/>
    <xf numFmtId="166" fontId="9" fillId="0" borderId="37" xfId="4" applyNumberFormat="1" applyFont="1" applyBorder="1" applyAlignment="1">
      <alignment vertical="center"/>
    </xf>
    <xf numFmtId="166" fontId="9" fillId="0" borderId="34" xfId="4" applyNumberFormat="1" applyFont="1" applyBorder="1" applyAlignment="1">
      <alignment vertical="center"/>
    </xf>
    <xf numFmtId="0" fontId="0" fillId="0" borderId="0" xfId="0" pivotButton="1"/>
    <xf numFmtId="0" fontId="0" fillId="0" borderId="0" xfId="0" applyAlignment="1">
      <alignment horizontal="left"/>
    </xf>
    <xf numFmtId="0" fontId="21" fillId="0" borderId="0" xfId="0" applyFont="1"/>
    <xf numFmtId="0" fontId="9" fillId="21" borderId="2" xfId="0" applyFont="1" applyFill="1" applyBorder="1"/>
    <xf numFmtId="0" fontId="9" fillId="7" borderId="0" xfId="0" applyFont="1" applyFill="1"/>
    <xf numFmtId="0" fontId="9" fillId="0" borderId="52" xfId="0" applyFont="1" applyBorder="1"/>
    <xf numFmtId="0" fontId="9" fillId="0" borderId="26" xfId="0" applyFont="1" applyBorder="1"/>
    <xf numFmtId="0" fontId="8" fillId="0" borderId="37" xfId="0" applyFont="1" applyBorder="1" applyAlignment="1">
      <alignment horizontal="center" vertical="center" wrapText="1"/>
    </xf>
    <xf numFmtId="44" fontId="9" fillId="21" borderId="2" xfId="4" applyFont="1" applyFill="1" applyBorder="1" applyAlignment="1">
      <alignment vertical="center"/>
    </xf>
    <xf numFmtId="0" fontId="12" fillId="0" borderId="0" xfId="0" applyFont="1" applyAlignment="1">
      <alignment horizontal="left"/>
    </xf>
    <xf numFmtId="0" fontId="15" fillId="25" borderId="0" xfId="0" applyFont="1" applyFill="1"/>
    <xf numFmtId="0" fontId="16" fillId="26" borderId="0" xfId="0" applyFont="1" applyFill="1"/>
    <xf numFmtId="0" fontId="24" fillId="27" borderId="0" xfId="0" applyFont="1" applyFill="1"/>
    <xf numFmtId="0" fontId="9" fillId="0" borderId="0" xfId="0" applyFont="1" applyAlignment="1">
      <alignment horizontal="center"/>
    </xf>
    <xf numFmtId="0" fontId="15" fillId="25" borderId="2" xfId="0" applyFont="1" applyFill="1" applyBorder="1"/>
    <xf numFmtId="0" fontId="24" fillId="27" borderId="2" xfId="0" applyFont="1" applyFill="1" applyBorder="1"/>
    <xf numFmtId="0" fontId="16" fillId="26" borderId="2" xfId="0" applyFont="1" applyFill="1" applyBorder="1"/>
    <xf numFmtId="0" fontId="9" fillId="21" borderId="0" xfId="0" applyFont="1" applyFill="1"/>
    <xf numFmtId="0" fontId="9" fillId="21" borderId="2" xfId="0" applyFont="1" applyFill="1" applyBorder="1" applyAlignment="1">
      <alignment horizontal="center"/>
    </xf>
    <xf numFmtId="0" fontId="9" fillId="28" borderId="2" xfId="0" applyFont="1" applyFill="1" applyBorder="1" applyAlignment="1">
      <alignment horizontal="center"/>
    </xf>
    <xf numFmtId="0" fontId="10" fillId="0" borderId="2" xfId="0" applyFont="1" applyBorder="1"/>
    <xf numFmtId="0" fontId="10" fillId="0" borderId="2" xfId="0" applyFont="1" applyBorder="1" applyAlignment="1">
      <alignment vertical="center"/>
    </xf>
    <xf numFmtId="164" fontId="10" fillId="0" borderId="2" xfId="0" applyNumberFormat="1" applyFont="1" applyBorder="1" applyAlignment="1">
      <alignment vertical="center"/>
    </xf>
    <xf numFmtId="9" fontId="0" fillId="0" borderId="0" xfId="1" applyFont="1"/>
    <xf numFmtId="44" fontId="0" fillId="0" borderId="0" xfId="4" applyFont="1"/>
    <xf numFmtId="10" fontId="0" fillId="0" borderId="0" xfId="1" applyNumberFormat="1" applyFont="1"/>
    <xf numFmtId="0" fontId="8" fillId="0" borderId="38" xfId="0" applyFont="1" applyBorder="1" applyAlignment="1">
      <alignment horizontal="center" vertical="center"/>
    </xf>
    <xf numFmtId="0" fontId="8" fillId="0" borderId="21" xfId="0" applyFont="1" applyBorder="1" applyAlignment="1">
      <alignment horizontal="center"/>
    </xf>
    <xf numFmtId="0" fontId="9" fillId="29" borderId="0" xfId="0" applyFont="1" applyFill="1"/>
    <xf numFmtId="0" fontId="25" fillId="0" borderId="0" xfId="0" applyFont="1"/>
    <xf numFmtId="0" fontId="8" fillId="29" borderId="2" xfId="0" applyFont="1" applyFill="1" applyBorder="1" applyAlignment="1">
      <alignment horizontal="center" vertical="center" wrapText="1"/>
    </xf>
    <xf numFmtId="0" fontId="8" fillId="0" borderId="53" xfId="0" applyFont="1" applyBorder="1" applyAlignment="1">
      <alignment horizontal="center"/>
    </xf>
    <xf numFmtId="0" fontId="8" fillId="0" borderId="54" xfId="0" applyFont="1" applyBorder="1" applyAlignment="1">
      <alignment horizontal="center"/>
    </xf>
    <xf numFmtId="0" fontId="8" fillId="0" borderId="55" xfId="0" applyFont="1" applyBorder="1" applyAlignment="1">
      <alignment horizontal="center"/>
    </xf>
    <xf numFmtId="6" fontId="9" fillId="0" borderId="21" xfId="0" applyNumberFormat="1" applyFont="1" applyBorder="1"/>
    <xf numFmtId="9" fontId="9" fillId="0" borderId="56" xfId="0" applyNumberFormat="1" applyFont="1" applyBorder="1"/>
    <xf numFmtId="9" fontId="9" fillId="0" borderId="24" xfId="0" applyNumberFormat="1" applyFont="1" applyBorder="1" applyAlignment="1">
      <alignment horizontal="center"/>
    </xf>
    <xf numFmtId="0" fontId="9" fillId="0" borderId="57" xfId="0" applyFont="1" applyBorder="1" applyAlignment="1">
      <alignment horizontal="center"/>
    </xf>
    <xf numFmtId="9" fontId="9" fillId="0" borderId="2" xfId="1" applyFont="1" applyBorder="1" applyAlignment="1">
      <alignment vertical="center"/>
    </xf>
    <xf numFmtId="0" fontId="9" fillId="0" borderId="2" xfId="0" applyFont="1" applyBorder="1" applyAlignment="1">
      <alignment horizontal="center" vertical="center"/>
    </xf>
    <xf numFmtId="164" fontId="0" fillId="0" borderId="0" xfId="0" applyNumberFormat="1"/>
    <xf numFmtId="44" fontId="0" fillId="0" borderId="0" xfId="0" applyNumberFormat="1"/>
    <xf numFmtId="14" fontId="0" fillId="0" borderId="0" xfId="0" applyNumberFormat="1"/>
    <xf numFmtId="0" fontId="0" fillId="0" borderId="0" xfId="0" applyAlignment="1">
      <alignment wrapText="1"/>
    </xf>
    <xf numFmtId="0" fontId="27" fillId="0" borderId="58" xfId="0" applyFont="1" applyBorder="1"/>
    <xf numFmtId="0" fontId="26" fillId="30" borderId="0" xfId="0" applyFont="1" applyFill="1"/>
    <xf numFmtId="0" fontId="27" fillId="0" borderId="0" xfId="0" applyFont="1"/>
    <xf numFmtId="0" fontId="27" fillId="0" borderId="59" xfId="0" applyFont="1" applyBorder="1"/>
    <xf numFmtId="0" fontId="27" fillId="0" borderId="60" xfId="0" applyFont="1" applyBorder="1"/>
    <xf numFmtId="0" fontId="26" fillId="30" borderId="61" xfId="0" applyFont="1" applyFill="1" applyBorder="1"/>
    <xf numFmtId="0" fontId="26" fillId="30" borderId="62" xfId="0" applyFont="1" applyFill="1" applyBorder="1"/>
    <xf numFmtId="0" fontId="26" fillId="30" borderId="63" xfId="0" applyFont="1" applyFill="1" applyBorder="1"/>
    <xf numFmtId="0" fontId="27" fillId="0" borderId="64" xfId="0" applyFont="1" applyBorder="1"/>
    <xf numFmtId="0" fontId="27" fillId="0" borderId="65" xfId="0" applyFont="1" applyBorder="1"/>
    <xf numFmtId="0" fontId="27" fillId="0" borderId="66" xfId="0" applyFont="1" applyBorder="1"/>
    <xf numFmtId="0" fontId="13" fillId="30" borderId="61" xfId="0" applyFont="1" applyFill="1" applyBorder="1"/>
    <xf numFmtId="14" fontId="9" fillId="0" borderId="2" xfId="0" applyNumberFormat="1" applyFont="1" applyBorder="1" applyAlignment="1">
      <alignment horizontal="center" vertical="center"/>
    </xf>
    <xf numFmtId="167" fontId="9" fillId="0" borderId="2" xfId="0" applyNumberFormat="1" applyFont="1" applyBorder="1" applyAlignment="1">
      <alignment horizontal="center" vertical="center"/>
    </xf>
    <xf numFmtId="0" fontId="9" fillId="0" borderId="22" xfId="0" applyFont="1" applyBorder="1" applyAlignment="1">
      <alignment horizontal="center" vertical="center"/>
    </xf>
    <xf numFmtId="0" fontId="9" fillId="0" borderId="21" xfId="0" applyFont="1" applyBorder="1"/>
    <xf numFmtId="0" fontId="8" fillId="0" borderId="26" xfId="0" applyFont="1" applyBorder="1" applyAlignment="1">
      <alignment horizontal="center" vertical="center"/>
    </xf>
    <xf numFmtId="0" fontId="13" fillId="31" borderId="38" xfId="0" applyFont="1" applyFill="1" applyBorder="1" applyAlignment="1">
      <alignment horizontal="center" vertical="center"/>
    </xf>
    <xf numFmtId="0" fontId="13" fillId="31" borderId="25" xfId="0" applyFont="1" applyFill="1" applyBorder="1" applyAlignment="1">
      <alignment horizontal="center" vertical="center"/>
    </xf>
    <xf numFmtId="0" fontId="9" fillId="0" borderId="39" xfId="0" applyFont="1" applyBorder="1" applyAlignment="1">
      <alignment horizontal="center" vertical="center"/>
    </xf>
    <xf numFmtId="14" fontId="9" fillId="0" borderId="37" xfId="0" applyNumberFormat="1" applyFont="1" applyBorder="1" applyAlignment="1">
      <alignment horizontal="center" vertical="center"/>
    </xf>
    <xf numFmtId="0" fontId="9" fillId="0" borderId="37" xfId="0" applyFont="1" applyBorder="1" applyAlignment="1">
      <alignment horizontal="center" vertical="center"/>
    </xf>
    <xf numFmtId="167" fontId="9" fillId="0" borderId="37" xfId="0" applyNumberFormat="1" applyFont="1" applyBorder="1" applyAlignment="1">
      <alignment horizontal="center" vertical="center"/>
    </xf>
    <xf numFmtId="0" fontId="9" fillId="0" borderId="34" xfId="0" applyFont="1" applyBorder="1"/>
    <xf numFmtId="0" fontId="8" fillId="0" borderId="0" xfId="0" applyFont="1" applyAlignment="1">
      <alignment horizontal="center" vertical="center"/>
    </xf>
    <xf numFmtId="14" fontId="9" fillId="0" borderId="0" xfId="0" applyNumberFormat="1" applyFont="1" applyAlignment="1">
      <alignment horizontal="center" vertical="center"/>
    </xf>
    <xf numFmtId="167" fontId="9" fillId="0" borderId="0" xfId="0" applyNumberFormat="1" applyFont="1" applyAlignment="1">
      <alignment horizontal="center" vertical="center"/>
    </xf>
    <xf numFmtId="167" fontId="2" fillId="0" borderId="0" xfId="0" applyNumberFormat="1" applyFont="1"/>
    <xf numFmtId="0" fontId="8" fillId="0" borderId="0" xfId="0" applyFont="1" applyAlignment="1">
      <alignment vertical="center"/>
    </xf>
    <xf numFmtId="0" fontId="13" fillId="31" borderId="2" xfId="0" applyFont="1" applyFill="1" applyBorder="1" applyAlignment="1">
      <alignment horizontal="center" vertical="center"/>
    </xf>
    <xf numFmtId="0" fontId="9" fillId="32" borderId="2" xfId="0" applyFont="1" applyFill="1" applyBorder="1"/>
    <xf numFmtId="0" fontId="8" fillId="32" borderId="2" xfId="0" applyFont="1" applyFill="1" applyBorder="1"/>
    <xf numFmtId="0" fontId="8" fillId="32" borderId="21" xfId="0" applyFont="1" applyFill="1" applyBorder="1"/>
    <xf numFmtId="0" fontId="9" fillId="0" borderId="0" xfId="0" quotePrefix="1" applyFont="1"/>
    <xf numFmtId="1" fontId="9" fillId="0" borderId="2" xfId="1" applyNumberFormat="1" applyFont="1" applyBorder="1"/>
    <xf numFmtId="1" fontId="8" fillId="32" borderId="2" xfId="1" applyNumberFormat="1" applyFont="1" applyFill="1" applyBorder="1"/>
    <xf numFmtId="0" fontId="11" fillId="4" borderId="21" xfId="0" applyFont="1" applyFill="1" applyBorder="1" applyAlignment="1">
      <alignment horizontal="center"/>
    </xf>
    <xf numFmtId="0" fontId="11" fillId="4" borderId="23" xfId="0" applyFont="1" applyFill="1" applyBorder="1" applyAlignment="1">
      <alignment horizontal="center"/>
    </xf>
    <xf numFmtId="0" fontId="9" fillId="7" borderId="25" xfId="0" applyFont="1" applyFill="1" applyBorder="1" applyAlignment="1">
      <alignment horizontal="center"/>
    </xf>
    <xf numFmtId="0" fontId="9" fillId="7" borderId="14" xfId="0" applyFont="1" applyFill="1" applyBorder="1" applyAlignment="1">
      <alignment horizontal="center"/>
    </xf>
    <xf numFmtId="0" fontId="9" fillId="7" borderId="26" xfId="0" applyFont="1" applyFill="1" applyBorder="1" applyAlignment="1">
      <alignment horizontal="center"/>
    </xf>
    <xf numFmtId="0" fontId="3" fillId="0" borderId="27" xfId="0" applyFont="1" applyBorder="1" applyAlignment="1">
      <alignment horizontal="center" wrapText="1"/>
    </xf>
    <xf numFmtId="0" fontId="3" fillId="0" borderId="28" xfId="0" applyFont="1" applyBorder="1" applyAlignment="1">
      <alignment horizontal="center" wrapText="1"/>
    </xf>
    <xf numFmtId="0" fontId="3" fillId="0" borderId="29" xfId="0" applyFont="1" applyBorder="1" applyAlignment="1">
      <alignment horizontal="center" wrapText="1"/>
    </xf>
    <xf numFmtId="0" fontId="3" fillId="0" borderId="30" xfId="0" applyFont="1" applyBorder="1" applyAlignment="1">
      <alignment horizontal="center" wrapText="1"/>
    </xf>
    <xf numFmtId="0" fontId="3" fillId="0" borderId="0" xfId="0" applyFont="1" applyAlignment="1">
      <alignment horizontal="center" wrapText="1"/>
    </xf>
    <xf numFmtId="0" fontId="3" fillId="0" borderId="31" xfId="0" applyFont="1" applyBorder="1" applyAlignment="1">
      <alignment horizontal="center" wrapText="1"/>
    </xf>
    <xf numFmtId="0" fontId="3" fillId="0" borderId="3" xfId="0" applyFont="1" applyBorder="1" applyAlignment="1">
      <alignment horizontal="center" wrapText="1"/>
    </xf>
    <xf numFmtId="0" fontId="3" fillId="0" borderId="32" xfId="0" applyFont="1" applyBorder="1" applyAlignment="1">
      <alignment horizontal="center" wrapText="1"/>
    </xf>
    <xf numFmtId="0" fontId="3" fillId="0" borderId="33" xfId="0" applyFont="1" applyBorder="1" applyAlignment="1">
      <alignment horizontal="center" wrapText="1"/>
    </xf>
    <xf numFmtId="0" fontId="0" fillId="0" borderId="0" xfId="0" applyAlignment="1">
      <alignment horizontal="center"/>
    </xf>
    <xf numFmtId="0" fontId="0" fillId="12" borderId="0" xfId="0" applyFill="1" applyAlignment="1">
      <alignment horizontal="center"/>
    </xf>
    <xf numFmtId="0" fontId="0" fillId="13" borderId="0" xfId="0" applyFill="1" applyAlignment="1">
      <alignment horizontal="center" wrapText="1"/>
    </xf>
    <xf numFmtId="0" fontId="0" fillId="0" borderId="0" xfId="0" applyAlignment="1">
      <alignment horizontal="center" wrapText="1"/>
    </xf>
    <xf numFmtId="0" fontId="9" fillId="0" borderId="0" xfId="0" applyFont="1"/>
    <xf numFmtId="0" fontId="9" fillId="0" borderId="35" xfId="0" applyFont="1" applyBorder="1"/>
    <xf numFmtId="0" fontId="12" fillId="0" borderId="34" xfId="0" applyFont="1" applyBorder="1" applyAlignment="1">
      <alignment horizontal="center"/>
    </xf>
    <xf numFmtId="0" fontId="12" fillId="0" borderId="35" xfId="0" applyFont="1" applyBorder="1" applyAlignment="1">
      <alignment horizontal="center"/>
    </xf>
    <xf numFmtId="0" fontId="9" fillId="0" borderId="36" xfId="0" applyFont="1" applyBorder="1"/>
    <xf numFmtId="0" fontId="9" fillId="0" borderId="14" xfId="0" applyFont="1" applyBorder="1"/>
    <xf numFmtId="0" fontId="9" fillId="0" borderId="24" xfId="0" applyFont="1" applyBorder="1"/>
    <xf numFmtId="0" fontId="8" fillId="0" borderId="37" xfId="0" applyFont="1" applyBorder="1" applyAlignment="1">
      <alignment horizontal="center" vertical="center"/>
    </xf>
    <xf numFmtId="0" fontId="8" fillId="0" borderId="38" xfId="0" applyFont="1" applyBorder="1" applyAlignment="1">
      <alignment horizontal="center" vertical="center"/>
    </xf>
    <xf numFmtId="0" fontId="9" fillId="0" borderId="34" xfId="0" applyFont="1" applyBorder="1" applyAlignment="1">
      <alignment horizontal="left" vertical="center" wrapText="1"/>
    </xf>
    <xf numFmtId="0" fontId="9" fillId="0" borderId="39" xfId="0" applyFont="1" applyBorder="1" applyAlignment="1">
      <alignment horizontal="left" vertical="center" wrapText="1"/>
    </xf>
    <xf numFmtId="0" fontId="9" fillId="0" borderId="25" xfId="0" applyFont="1" applyBorder="1" applyAlignment="1">
      <alignment horizontal="left" vertical="center" wrapText="1"/>
    </xf>
    <xf numFmtId="0" fontId="9" fillId="0" borderId="26" xfId="0" applyFont="1" applyBorder="1" applyAlignment="1">
      <alignment horizontal="left" vertical="center" wrapText="1"/>
    </xf>
    <xf numFmtId="0" fontId="11" fillId="4" borderId="21" xfId="0" applyFont="1" applyFill="1" applyBorder="1" applyAlignment="1">
      <alignment horizontal="center" vertical="center" wrapText="1"/>
    </xf>
    <xf numFmtId="0" fontId="11" fillId="4" borderId="22" xfId="0" applyFont="1" applyFill="1" applyBorder="1" applyAlignment="1">
      <alignment horizontal="center" vertical="center" wrapText="1"/>
    </xf>
    <xf numFmtId="0" fontId="8" fillId="0" borderId="0" xfId="0" applyFont="1" applyAlignment="1">
      <alignment horizontal="left" wrapText="1"/>
    </xf>
    <xf numFmtId="0" fontId="11" fillId="4" borderId="24" xfId="0" applyFont="1" applyFill="1" applyBorder="1" applyAlignment="1">
      <alignment horizontal="center" vertical="center" wrapText="1"/>
    </xf>
    <xf numFmtId="0" fontId="18" fillId="19" borderId="37" xfId="0" applyFont="1" applyFill="1" applyBorder="1" applyAlignment="1">
      <alignment horizontal="center" vertical="center" wrapText="1"/>
    </xf>
    <xf numFmtId="0" fontId="18" fillId="19" borderId="42" xfId="0" applyFont="1" applyFill="1" applyBorder="1" applyAlignment="1">
      <alignment horizontal="center" vertical="center" wrapText="1"/>
    </xf>
    <xf numFmtId="0" fontId="18" fillId="19" borderId="38" xfId="0" applyFont="1" applyFill="1" applyBorder="1" applyAlignment="1">
      <alignment horizontal="center" vertical="center" wrapText="1"/>
    </xf>
    <xf numFmtId="0" fontId="11" fillId="4" borderId="25" xfId="0" applyFont="1" applyFill="1" applyBorder="1" applyAlignment="1">
      <alignment horizontal="center" vertical="center" wrapText="1"/>
    </xf>
    <xf numFmtId="0" fontId="11" fillId="4" borderId="14" xfId="0" applyFont="1" applyFill="1" applyBorder="1" applyAlignment="1">
      <alignment horizontal="center" vertical="center" wrapText="1"/>
    </xf>
    <xf numFmtId="0" fontId="8" fillId="0" borderId="21" xfId="0" applyFont="1" applyBorder="1" applyAlignment="1">
      <alignment horizontal="center"/>
    </xf>
    <xf numFmtId="0" fontId="8" fillId="0" borderId="22" xfId="0" applyFont="1" applyBorder="1" applyAlignment="1">
      <alignment horizontal="center"/>
    </xf>
    <xf numFmtId="0" fontId="8" fillId="0" borderId="24" xfId="0" applyFont="1" applyBorder="1" applyAlignment="1">
      <alignment horizontal="center"/>
    </xf>
    <xf numFmtId="0" fontId="8" fillId="5" borderId="37" xfId="0" applyFont="1" applyFill="1" applyBorder="1" applyAlignment="1">
      <alignment horizontal="center" vertical="center"/>
    </xf>
    <xf numFmtId="0" fontId="8" fillId="5" borderId="38" xfId="0" applyFont="1" applyFill="1" applyBorder="1" applyAlignment="1">
      <alignment horizontal="center" vertical="center"/>
    </xf>
    <xf numFmtId="0" fontId="21" fillId="0" borderId="21" xfId="0" applyFont="1" applyBorder="1" applyAlignment="1">
      <alignment horizontal="center"/>
    </xf>
    <xf numFmtId="0" fontId="21" fillId="0" borderId="24" xfId="0" applyFont="1" applyBorder="1" applyAlignment="1">
      <alignment horizontal="center"/>
    </xf>
    <xf numFmtId="0" fontId="21" fillId="0" borderId="22" xfId="0" applyFont="1" applyBorder="1" applyAlignment="1">
      <alignment horizontal="center"/>
    </xf>
    <xf numFmtId="0" fontId="0" fillId="0" borderId="48" xfId="0" applyBorder="1" applyAlignment="1">
      <alignment horizontal="center" vertical="center" wrapText="1"/>
    </xf>
    <xf numFmtId="0" fontId="0" fillId="0" borderId="49" xfId="0" applyBorder="1" applyAlignment="1">
      <alignment horizontal="center" vertical="center" wrapText="1"/>
    </xf>
    <xf numFmtId="0" fontId="0" fillId="0" borderId="50" xfId="0" applyBorder="1" applyAlignment="1">
      <alignment horizontal="center" vertical="center" wrapText="1"/>
    </xf>
    <xf numFmtId="0" fontId="0" fillId="0" borderId="48" xfId="0" applyBorder="1" applyAlignment="1">
      <alignment wrapText="1"/>
    </xf>
    <xf numFmtId="0" fontId="0" fillId="0" borderId="49" xfId="0" applyBorder="1" applyAlignment="1">
      <alignment wrapText="1"/>
    </xf>
    <xf numFmtId="0" fontId="0" fillId="0" borderId="50" xfId="0" applyBorder="1" applyAlignment="1">
      <alignment wrapText="1"/>
    </xf>
    <xf numFmtId="0" fontId="0" fillId="20" borderId="32" xfId="0" applyFill="1" applyBorder="1" applyAlignment="1">
      <alignment horizontal="center"/>
    </xf>
    <xf numFmtId="0" fontId="21" fillId="0" borderId="21" xfId="0" applyFont="1" applyBorder="1" applyAlignment="1">
      <alignment horizontal="center" vertical="center"/>
    </xf>
    <xf numFmtId="0" fontId="21" fillId="0" borderId="22" xfId="0" applyFont="1" applyBorder="1" applyAlignment="1">
      <alignment horizontal="center" vertical="center"/>
    </xf>
    <xf numFmtId="0" fontId="9" fillId="22" borderId="21" xfId="0" applyFont="1" applyFill="1" applyBorder="1" applyAlignment="1">
      <alignment horizontal="center" vertical="center"/>
    </xf>
    <xf numFmtId="0" fontId="9" fillId="22" borderId="22" xfId="0" applyFont="1" applyFill="1" applyBorder="1" applyAlignment="1">
      <alignment horizontal="center" vertical="center"/>
    </xf>
    <xf numFmtId="0" fontId="9" fillId="23" borderId="21" xfId="0" applyFont="1" applyFill="1" applyBorder="1" applyAlignment="1">
      <alignment horizontal="center" vertical="center"/>
    </xf>
    <xf numFmtId="0" fontId="9" fillId="23" borderId="24" xfId="0" applyFont="1" applyFill="1" applyBorder="1" applyAlignment="1">
      <alignment horizontal="center" vertical="center"/>
    </xf>
    <xf numFmtId="0" fontId="9" fillId="23" borderId="22" xfId="0" applyFont="1" applyFill="1" applyBorder="1" applyAlignment="1">
      <alignment horizontal="center" vertical="center"/>
    </xf>
    <xf numFmtId="0" fontId="9" fillId="0" borderId="0" xfId="0" applyFont="1" applyAlignment="1">
      <alignment horizontal="center" vertical="center" wrapText="1"/>
    </xf>
    <xf numFmtId="0" fontId="9" fillId="21" borderId="37" xfId="0" applyFont="1" applyFill="1" applyBorder="1" applyAlignment="1">
      <alignment horizontal="center" vertical="center" wrapText="1"/>
    </xf>
    <xf numFmtId="0" fontId="9" fillId="21" borderId="42" xfId="0" applyFont="1" applyFill="1" applyBorder="1" applyAlignment="1">
      <alignment horizontal="center" vertical="center" wrapText="1"/>
    </xf>
    <xf numFmtId="0" fontId="9" fillId="21" borderId="38" xfId="0" applyFont="1" applyFill="1" applyBorder="1" applyAlignment="1">
      <alignment horizontal="center" vertical="center" wrapText="1"/>
    </xf>
    <xf numFmtId="0" fontId="9" fillId="0" borderId="37" xfId="0" applyFont="1" applyBorder="1" applyAlignment="1">
      <alignment horizontal="center" vertical="center" wrapText="1"/>
    </xf>
    <xf numFmtId="0" fontId="9" fillId="0" borderId="42" xfId="0" applyFont="1" applyBorder="1" applyAlignment="1">
      <alignment horizontal="center" vertical="center" wrapText="1"/>
    </xf>
    <xf numFmtId="0" fontId="9" fillId="0" borderId="38" xfId="0" applyFont="1" applyBorder="1" applyAlignment="1">
      <alignment horizontal="center" vertical="center" wrapText="1"/>
    </xf>
    <xf numFmtId="0" fontId="21" fillId="0" borderId="34" xfId="0" applyFont="1" applyBorder="1" applyAlignment="1">
      <alignment horizontal="center"/>
    </xf>
    <xf numFmtId="0" fontId="21" fillId="0" borderId="35" xfId="0" applyFont="1" applyBorder="1" applyAlignment="1">
      <alignment horizontal="center"/>
    </xf>
    <xf numFmtId="0" fontId="8" fillId="0" borderId="37" xfId="0" applyFont="1" applyBorder="1" applyAlignment="1">
      <alignment horizontal="center" vertical="center" wrapText="1"/>
    </xf>
    <xf numFmtId="0" fontId="8" fillId="0" borderId="38" xfId="0" applyFont="1" applyBorder="1" applyAlignment="1">
      <alignment horizontal="center" vertical="center" wrapText="1"/>
    </xf>
    <xf numFmtId="0" fontId="8" fillId="0" borderId="14" xfId="0" applyFont="1" applyBorder="1" applyAlignment="1">
      <alignment horizontal="center"/>
    </xf>
    <xf numFmtId="0" fontId="25" fillId="0" borderId="0" xfId="0" applyFont="1" applyAlignment="1">
      <alignment horizontal="center" vertical="center"/>
    </xf>
    <xf numFmtId="0" fontId="25" fillId="0" borderId="14" xfId="0" applyFont="1" applyBorder="1" applyAlignment="1">
      <alignment horizontal="center" vertical="center"/>
    </xf>
    <xf numFmtId="0" fontId="4" fillId="2" borderId="6" xfId="0" applyFont="1" applyFill="1" applyBorder="1" applyAlignment="1">
      <alignment horizontal="center" wrapText="1"/>
    </xf>
    <xf numFmtId="0" fontId="4" fillId="2" borderId="7" xfId="0" applyFont="1" applyFill="1" applyBorder="1" applyAlignment="1">
      <alignment horizontal="center" wrapText="1"/>
    </xf>
    <xf numFmtId="0" fontId="4" fillId="2" borderId="8" xfId="0" applyFont="1" applyFill="1" applyBorder="1" applyAlignment="1">
      <alignment horizontal="center" wrapText="1"/>
    </xf>
    <xf numFmtId="0" fontId="7" fillId="0" borderId="11" xfId="0" applyFont="1" applyBorder="1" applyAlignment="1">
      <alignment horizontal="center" wrapText="1"/>
    </xf>
    <xf numFmtId="0" fontId="7" fillId="0" borderId="12" xfId="0" applyFont="1" applyBorder="1" applyAlignment="1">
      <alignment horizontal="center" wrapText="1"/>
    </xf>
    <xf numFmtId="0" fontId="7" fillId="0" borderId="13" xfId="0" applyFont="1" applyBorder="1" applyAlignment="1">
      <alignment horizontal="center" wrapText="1"/>
    </xf>
    <xf numFmtId="0" fontId="7" fillId="0" borderId="14" xfId="0" applyFont="1" applyBorder="1" applyAlignment="1">
      <alignment horizontal="center" wrapText="1"/>
    </xf>
    <xf numFmtId="0" fontId="0" fillId="0" borderId="20" xfId="0" applyBorder="1" applyAlignment="1">
      <alignment horizontal="center" wrapText="1"/>
    </xf>
    <xf numFmtId="2" fontId="0" fillId="0" borderId="0" xfId="0" applyNumberFormat="1"/>
    <xf numFmtId="172" fontId="0" fillId="0" borderId="0" xfId="0" applyNumberFormat="1"/>
    <xf numFmtId="172" fontId="9" fillId="0" borderId="2" xfId="0" applyNumberFormat="1" applyFont="1" applyBorder="1" applyAlignment="1">
      <alignment horizontal="center" vertical="center"/>
    </xf>
    <xf numFmtId="0" fontId="28" fillId="0" borderId="0" xfId="0" applyFont="1" applyAlignment="1">
      <alignment horizontal="center"/>
    </xf>
    <xf numFmtId="172" fontId="9" fillId="0" borderId="21" xfId="0" applyNumberFormat="1" applyFont="1" applyBorder="1" applyAlignment="1">
      <alignment horizontal="center" vertical="center"/>
    </xf>
    <xf numFmtId="0" fontId="11" fillId="31" borderId="26" xfId="0" applyFont="1" applyFill="1" applyBorder="1"/>
    <xf numFmtId="0" fontId="11" fillId="31" borderId="38" xfId="0" applyFont="1" applyFill="1" applyBorder="1"/>
    <xf numFmtId="0" fontId="11" fillId="31" borderId="25" xfId="0" applyFont="1" applyFill="1" applyBorder="1"/>
    <xf numFmtId="172" fontId="9" fillId="0" borderId="37" xfId="0" applyNumberFormat="1" applyFont="1" applyBorder="1" applyAlignment="1">
      <alignment horizontal="center" vertical="center"/>
    </xf>
    <xf numFmtId="172" fontId="9" fillId="0" borderId="34" xfId="0" applyNumberFormat="1" applyFont="1" applyBorder="1" applyAlignment="1">
      <alignment horizontal="center" vertical="center"/>
    </xf>
    <xf numFmtId="177" fontId="0" fillId="0" borderId="0" xfId="0" applyNumberFormat="1"/>
    <xf numFmtId="0" fontId="29" fillId="0" borderId="0" xfId="0" applyFont="1" applyAlignment="1">
      <alignment horizontal="center"/>
    </xf>
    <xf numFmtId="0" fontId="30" fillId="0" borderId="0" xfId="0" applyFont="1" applyAlignment="1">
      <alignment horizontal="center"/>
    </xf>
  </cellXfs>
  <cellStyles count="5">
    <cellStyle name="Hipervínculo" xfId="2" builtinId="8"/>
    <cellStyle name="Millares" xfId="3" builtinId="3"/>
    <cellStyle name="Moneda" xfId="4" builtinId="4"/>
    <cellStyle name="Normal" xfId="0" builtinId="0"/>
    <cellStyle name="Porcentaje" xfId="1" builtinId="5"/>
  </cellStyles>
  <dxfs count="164">
    <dxf>
      <numFmt numFmtId="177" formatCode="[$€-2]\ #.##;[Red]\-[$€-2]\ #.##"/>
    </dxf>
    <dxf>
      <numFmt numFmtId="177" formatCode="[$€-2]\ #.##;[Red]\-[$€-2]\ #.##"/>
    </dxf>
    <dxf>
      <numFmt numFmtId="177" formatCode="[$€-2]\ #.##;[Red]\-[$€-2]\ #.##"/>
    </dxf>
    <dxf>
      <numFmt numFmtId="177" formatCode="[$€-2]\ #.##;[Red]\-[$€-2]\ #.##"/>
    </dxf>
    <dxf>
      <numFmt numFmtId="177" formatCode="[$€-2]\ #.##;[Red]\-[$€-2]\ #.##"/>
    </dxf>
    <dxf>
      <numFmt numFmtId="177" formatCode="[$€-2]\ #.##;[Red]\-[$€-2]\ #.##"/>
    </dxf>
    <dxf>
      <numFmt numFmtId="177" formatCode="[$€-2]\ #.##;[Red]\-[$€-2]\ #.##"/>
    </dxf>
    <dxf>
      <numFmt numFmtId="177" formatCode="[$€-2]\ #.##;[Red]\-[$€-2]\ #.##"/>
    </dxf>
    <dxf>
      <fill>
        <patternFill>
          <bgColor theme="5" tint="0.39994506668294322"/>
        </patternFill>
      </fill>
      <border diagonalUp="0" diagonalDown="0">
        <left/>
        <right/>
        <top/>
        <bottom/>
        <vertical/>
        <horizontal/>
      </border>
    </dxf>
    <dxf>
      <font>
        <b/>
        <sz val="11"/>
        <color theme="1"/>
      </font>
    </dxf>
    <dxf>
      <fill>
        <patternFill patternType="darkDown">
          <fgColor theme="0"/>
          <bgColor theme="5" tint="0.39994506668294322"/>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diagonalUp="0" diagonalDown="0">
        <left/>
        <right/>
        <top/>
        <bottom/>
        <vertical/>
        <horizontal/>
      </border>
    </dxf>
    <dxf>
      <font>
        <b val="0"/>
        <i val="0"/>
        <strike val="0"/>
        <condense val="0"/>
        <extend val="0"/>
        <outline val="0"/>
        <shadow val="0"/>
        <u val="none"/>
        <vertAlign val="baseline"/>
        <sz val="11"/>
        <color rgb="FFFFFFFF"/>
        <name val="Calibri"/>
        <family val="2"/>
        <scheme val="minor"/>
      </font>
      <fill>
        <patternFill patternType="solid">
          <fgColor rgb="FF000000"/>
          <bgColor rgb="FF203764"/>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72" formatCode="[$€-2]\ #.##000;[Red]\-[$€-2]\ #.##000"/>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numFmt numFmtId="172" formatCode="[$€-2]\ #.##000;[Red]\-[$€-2]\ #.##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numFmt numFmtId="172" formatCode="[$€-2]\ #.##000;[Red]\-[$€-2]\ #.##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numFmt numFmtId="172" formatCode="[$€-2]\ #.##000;[Red]\-[$€-2]\ #.##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color rgb="FF9C0006"/>
      </font>
      <fill>
        <patternFill>
          <bgColor rgb="FFFFC7CE"/>
        </patternFill>
      </fill>
    </dxf>
    <dxf>
      <font>
        <color theme="4" tint="-0.499984740745262"/>
      </font>
      <fill>
        <patternFill>
          <bgColor theme="8" tint="0.59996337778862885"/>
        </patternFill>
      </fill>
    </dxf>
    <dxf>
      <font>
        <color theme="1"/>
      </font>
      <fill>
        <patternFill>
          <bgColor theme="8" tint="-0.24994659260841701"/>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theme="3" tint="-0.24994659260841701"/>
      </font>
      <fill>
        <patternFill>
          <bgColor theme="2" tint="-0.24994659260841701"/>
        </patternFill>
      </fill>
    </dxf>
    <dxf>
      <font>
        <color rgb="FF9C0006"/>
      </font>
      <fill>
        <patternFill>
          <bgColor rgb="FFFFC7CE"/>
        </patternFill>
      </fill>
    </dxf>
    <dxf>
      <font>
        <color theme="7" tint="-0.24994659260841701"/>
      </font>
      <fill>
        <patternFill>
          <bgColor theme="7"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val="0"/>
        <i/>
        <color theme="0"/>
      </font>
      <fill>
        <patternFill>
          <bgColor theme="1" tint="0.24994659260841701"/>
        </patternFill>
      </fill>
    </dxf>
    <dxf>
      <font>
        <color rgb="FF9C0006"/>
      </font>
      <fill>
        <patternFill>
          <bgColor rgb="FFFFC7CE"/>
        </patternFill>
      </fill>
    </dxf>
    <dxf>
      <font>
        <color rgb="FF9C0006"/>
      </font>
      <fill>
        <patternFill>
          <bgColor rgb="FFFFC7CE"/>
        </patternFill>
      </fill>
    </dxf>
    <dxf>
      <numFmt numFmtId="19" formatCode="dd/mm/yyyy"/>
    </dxf>
    <dxf>
      <numFmt numFmtId="34" formatCode="_-&quot;$&quot;* #,##0.00_-;\-&quot;$&quot;* #,##0.00_-;_-&quot;$&quot;* &quot;-&quot;??_-;_-@_-"/>
    </dxf>
    <dxf>
      <numFmt numFmtId="164" formatCode="&quot;$&quot;#,##0.00"/>
    </dxf>
    <dxf>
      <numFmt numFmtId="34" formatCode="_-&quot;$&quot;* #,##0.00_-;\-&quot;$&quot;* #,##0.00_-;_-&quot;$&quot;* &quot;-&quot;??_-;_-@_-"/>
    </dxf>
    <dxf>
      <numFmt numFmtId="164" formatCode="&quot;$&quot;#,##0.00"/>
    </dxf>
    <dxf>
      <numFmt numFmtId="34" formatCode="_-&quot;$&quot;* #,##0.00_-;\-&quot;$&quot;* #,##0.00_-;_-&quot;$&quot;* &quot;-&quot;??_-;_-@_-"/>
    </dxf>
    <dxf>
      <numFmt numFmtId="34" formatCode="_-&quot;$&quot;* #,##0.00_-;\-&quot;$&quot;* #,##0.00_-;_-&quot;$&quot;* &quot;-&quot;??_-;_-@_-"/>
    </dxf>
    <dxf>
      <font>
        <b val="0"/>
        <i val="0"/>
        <strike val="0"/>
        <condense val="0"/>
        <extend val="0"/>
        <outline val="0"/>
        <shadow val="0"/>
        <u val="none"/>
        <vertAlign val="baseline"/>
        <sz val="11"/>
        <color theme="1"/>
        <name val="Calibri"/>
        <family val="2"/>
        <scheme val="minor"/>
      </font>
    </dxf>
    <dxf>
      <numFmt numFmtId="0" formatCode="General"/>
    </dxf>
    <dxf>
      <numFmt numFmtId="0" formatCode="General"/>
    </dxf>
    <dxf>
      <numFmt numFmtId="0" formatCode="General"/>
    </dxf>
    <dxf>
      <font>
        <b val="0"/>
        <i val="0"/>
        <strike val="0"/>
        <condense val="0"/>
        <extend val="0"/>
        <outline val="0"/>
        <shadow val="0"/>
        <u val="none"/>
        <vertAlign val="baseline"/>
        <sz val="11"/>
        <color rgb="FF000000"/>
        <name val="Calibri"/>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7" formatCode="#.##000\ [$€-1];[Red]\-#.##000\ [$€-1]"/>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7" formatCode="#.##000\ [$€-1];[Red]\-#.##000\ [$€-1]"/>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7" formatCode="#.##000\ [$€-1];[Red]\-#.##000\ [$€-1]"/>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dxf>
    <dxf>
      <numFmt numFmtId="0" formatCode="General"/>
    </dxf>
    <dxf>
      <numFmt numFmtId="0" formatCode="General"/>
    </dxf>
    <dxf>
      <font>
        <b val="0"/>
        <i val="0"/>
        <strike val="0"/>
        <condense val="0"/>
        <extend val="0"/>
        <outline val="0"/>
        <shadow val="0"/>
        <u val="none"/>
        <vertAlign val="baseline"/>
        <sz val="11"/>
        <color rgb="FF000000"/>
        <name val="Calibri"/>
        <family val="2"/>
        <scheme val="minor"/>
      </font>
      <numFmt numFmtId="0" formatCode="General"/>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numFmt numFmtId="167" formatCode="#.##000\ [$€-1];[Red]\-#.##000\ [$€-1]"/>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numFmt numFmtId="167" formatCode="#.##000\ [$€-1];[Red]\-#.##000\ [$€-1]"/>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numFmt numFmtId="167" formatCode="#.##000\ [$€-1];[Red]\-#.##000\ [$€-1]"/>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rgb="FFFFFFFF"/>
        <name val="Calibri"/>
        <family val="2"/>
        <scheme val="minor"/>
      </font>
      <fill>
        <patternFill patternType="solid">
          <fgColor rgb="FF000000"/>
          <bgColor rgb="FF203764"/>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rgb="FF000000"/>
        <name val="Calibri"/>
        <scheme val="minor"/>
      </font>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rgb="FF000000"/>
        <name val="Calibri"/>
        <scheme val="minor"/>
      </font>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rgb="FFFFFFFF"/>
        <name val="Calibri"/>
        <scheme val="minor"/>
      </font>
      <fill>
        <patternFill patternType="solid">
          <fgColor rgb="FF1F3864"/>
          <bgColor rgb="FF1F3864"/>
        </patternFill>
      </fill>
      <border diagonalUp="0" diagonalDown="0" outline="0">
        <left style="thin">
          <color rgb="FF000000"/>
        </left>
        <right style="thin">
          <color rgb="FF000000"/>
        </right>
        <top/>
        <bottom/>
      </border>
    </dxf>
    <dxf>
      <font>
        <b val="0"/>
        <i val="0"/>
        <strike val="0"/>
        <condense val="0"/>
        <extend val="0"/>
        <outline val="0"/>
        <shadow val="0"/>
        <u val="none"/>
        <vertAlign val="baseline"/>
        <sz val="11"/>
        <color rgb="FF000000"/>
        <name val="Calibri"/>
        <scheme val="minor"/>
      </font>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rgb="FF000000"/>
        <name val="Calibri"/>
        <scheme val="minor"/>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scheme val="minor"/>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scheme val="minor"/>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scheme val="minor"/>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scheme val="minor"/>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scheme val="minor"/>
      </font>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Calibri"/>
        <scheme val="minor"/>
      </font>
    </dxf>
    <dxf>
      <border outline="0">
        <bottom style="thin">
          <color rgb="FF000000"/>
        </bottom>
      </border>
    </dxf>
    <dxf>
      <font>
        <b/>
        <i val="0"/>
        <strike val="0"/>
        <condense val="0"/>
        <extend val="0"/>
        <outline val="0"/>
        <shadow val="0"/>
        <u val="none"/>
        <vertAlign val="baseline"/>
        <sz val="11"/>
        <color rgb="FFFFFFFF"/>
        <name val="Calibri"/>
        <scheme val="minor"/>
      </font>
      <fill>
        <patternFill patternType="solid">
          <fgColor rgb="FF1F3864"/>
          <bgColor rgb="FF1F3864"/>
        </patternFill>
      </fill>
      <border diagonalUp="0" diagonalDown="0" outline="0">
        <left style="thin">
          <color rgb="FF000000"/>
        </left>
        <right style="thin">
          <color rgb="FF000000"/>
        </right>
        <top/>
        <bottom/>
      </border>
    </dxf>
    <dxf>
      <font>
        <b val="0"/>
        <i val="0"/>
        <strike val="0"/>
        <condense val="0"/>
        <extend val="0"/>
        <outline val="0"/>
        <shadow val="0"/>
        <u val="none"/>
        <vertAlign val="baseline"/>
        <sz val="11"/>
        <color rgb="FF000000"/>
        <name val="Calibri"/>
        <family val="2"/>
        <scheme val="minor"/>
      </font>
      <numFmt numFmtId="10" formatCode="&quot;$&quot;#,##0;[Red]\-&quot;$&quot;#,##0"/>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numFmt numFmtId="10" formatCode="&quot;$&quot;#,##0;[Red]\-&quot;$&quot;#,##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numFmt numFmtId="10" formatCode="&quot;$&quot;#,##0;[Red]\-&quot;$&quot;#,##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FF"/>
        <name val="Calibri"/>
        <family val="2"/>
        <scheme val="minor"/>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rgb="FF000000"/>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000000"/>
        <name val="Calibri"/>
        <family val="2"/>
        <scheme val="minor"/>
      </font>
      <numFmt numFmtId="166" formatCode="_-&quot;$&quot;* #,##0_-;\-&quot;$&quot;* #,##0_-;_-&quot;$&quot;* &quot;-&quot;??_-;_-@_-"/>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numFmt numFmtId="166" formatCode="_-&quot;$&quot;* #,##0_-;\-&quot;$&quot;* #,##0_-;_-&quot;$&quot;* &quot;-&quot;??_-;_-@_-"/>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numFmt numFmtId="166" formatCode="_-&quot;$&quot;* #,##0_-;\-&quot;$&quot;* #,##0_-;_-&quot;$&quot;* &quot;-&quot;??_-;_-@_-"/>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numFmt numFmtId="166" formatCode="_-&quot;$&quot;* #,##0_-;\-&quot;$&quot;* #,##0_-;_-&quot;$&quot;* &quot;-&quot;??_-;_-@_-"/>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FF"/>
        <name val="Calibri"/>
        <family val="2"/>
        <scheme val="minor"/>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family val="2"/>
        <scheme val="minor"/>
      </font>
      <alignment horizontal="general"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rgb="FF000000"/>
        <name val="Calibri"/>
        <family val="2"/>
        <scheme val="minor"/>
      </font>
      <fill>
        <patternFill patternType="solid">
          <fgColor rgb="FF000000"/>
          <bgColor rgb="FFB4C6E7"/>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000000"/>
        <name val="Calibri"/>
        <family val="2"/>
        <scheme val="minor"/>
      </font>
      <numFmt numFmtId="13" formatCode="0%"/>
      <alignment horizontal="general"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0" formatCode="&quot;$&quot;#,##0;[Red]\-&quot;$&quot;#,##0"/>
      <alignment horizontal="general"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0" formatCode="&quot;$&quot;#,##0;[Red]\-&quot;$&quot;#,##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numFmt numFmtId="10" formatCode="&quot;$&quot;#,##0;[Red]\-&quot;$&quot;#,##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numFmt numFmtId="10" formatCode="&quot;$&quot;#,##0;[Red]\-&quot;$&quot;#,##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border>
    </dxf>
    <dxf>
      <font>
        <b/>
        <i val="0"/>
        <strike val="0"/>
        <condense val="0"/>
        <extend val="0"/>
        <outline val="0"/>
        <shadow val="0"/>
        <u val="none"/>
        <vertAlign val="baseline"/>
        <sz val="11"/>
        <color rgb="FF000000"/>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numFmt numFmtId="10" formatCode="&quot;$&quot;#,##0;[Red]\-&quot;$&quot;#,##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border diagonalUp="0" diagonalDown="0">
        <left/>
        <right style="thin">
          <color indexed="64"/>
        </right>
        <top style="thin">
          <color indexed="64"/>
        </top>
        <bottom style="thin">
          <color indexed="64"/>
        </bottom>
        <vertical/>
        <horizontal/>
      </border>
    </dxf>
    <dxf>
      <border outline="0">
        <left style="thin">
          <color indexed="64"/>
        </left>
      </border>
    </dxf>
  </dxfs>
  <tableStyles count="3" defaultTableStyle="TableStyleMedium2" defaultPivotStyle="PivotStyleLight16">
    <tableStyle name="Estilo de escala de tiempo 1" pivot="0" table="0" count="8" xr9:uid="{9B3E7071-DAF0-4E33-B165-3C2B81F19873}">
      <tableStyleElement type="wholeTable" dxfId="12"/>
      <tableStyleElement type="headerRow" dxfId="11"/>
    </tableStyle>
    <tableStyle name="Estilo de escala de tiempo 2" pivot="0" table="0" count="8" xr9:uid="{319FCE2E-C5EC-40DB-B8EE-E5EDF5230487}">
      <tableStyleElement type="wholeTable" dxfId="10"/>
      <tableStyleElement type="headerRow" dxfId="9"/>
    </tableStyle>
    <tableStyle name="Estilo de segmentación de datos 1" pivot="0" table="0" count="1" xr9:uid="{DB93CD81-0E0B-4C32-83CB-4BD59D99B662}">
      <tableStyleElement type="wholeTable" dxfId="8"/>
    </tableStyle>
  </tableStyles>
  <extLst>
    <ext xmlns:x14="http://schemas.microsoft.com/office/spreadsheetml/2009/9/main" uri="{EB79DEF2-80B8-43e5-95BD-54CBDDF9020C}">
      <x14:slicerStyles defaultSlicerStyle="SlicerStyleLight1">
        <x14:slicerStyle name="Estilo de segmentación de datos 1"/>
      </x14:slicerStyles>
    </ext>
    <ext xmlns:x15="http://schemas.microsoft.com/office/spreadsheetml/2010/11/main" uri="{A0A4C193-F2C1-4fcb-8827-314CF55A85BB}">
      <x15:dxfs count="12">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x15:dxfs>
    </ext>
    <ext xmlns:x15="http://schemas.microsoft.com/office/spreadsheetml/2010/11/main" uri="{9260A510-F301-46a8-8635-F512D64BE5F5}">
      <x15:timelineStyles defaultTimelineStyle="TimeSlicerStyleLight1">
        <x15:timelineStyle name="Estilo de escala de tiempo 1">
          <x15:timelineStyleElements>
            <x15:timelineStyleElement type="selectionLabel" dxfId="9"/>
            <x15:timelineStyleElement type="timeLevel" dxfId="8"/>
            <x15:timelineStyleElement type="periodLabel1" dxfId="7"/>
            <x15:timelineStyleElement type="periodLabel2" dxfId="6"/>
            <x15:timelineStyleElement type="selectedTimeBlock" dxfId="11"/>
            <x15:timelineStyleElement type="unselectedTimeBlock" dxfId="10"/>
          </x15:timelineStyleElements>
        </x15:timelineStyle>
        <x15:timelineStyle name="Estilo de escala de tiempo 2">
          <x15:timelineStyleElements>
            <x15:timelineStyleElement type="selectionLabel" dxfId="3"/>
            <x15:timelineStyleElement type="timeLevel" dxfId="2"/>
            <x15:timelineStyleElement type="periodLabel1" dxfId="1"/>
            <x15:timelineStyleElement type="periodLabel2" dxfId="0"/>
            <x15:timelineStyleElement type="selectedTimeBlock" dxfId="5"/>
            <x15:timelineStyleElement type="unselectedTimeBlock" dxfId="4"/>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microsoft.com/office/2007/relationships/slicerCache" Target="slicerCaches/slicerCache4.xml"/><Relationship Id="rId42" Type="http://schemas.openxmlformats.org/officeDocument/2006/relationships/customXml" Target="../customXml/item1.xml"/><Relationship Id="rId47" Type="http://schemas.openxmlformats.org/officeDocument/2006/relationships/customXml" Target="../customXml/item6.xml"/><Relationship Id="rId50" Type="http://schemas.openxmlformats.org/officeDocument/2006/relationships/customXml" Target="../customXml/item9.xml"/><Relationship Id="rId55" Type="http://schemas.openxmlformats.org/officeDocument/2006/relationships/customXml" Target="../customXml/item1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07/relationships/slicerCache" Target="slicerCaches/slicerCache2.xml"/><Relationship Id="rId37" Type="http://schemas.openxmlformats.org/officeDocument/2006/relationships/connections" Target="connections.xml"/><Relationship Id="rId40" Type="http://schemas.openxmlformats.org/officeDocument/2006/relationships/powerPivotData" Target="model/item.data"/><Relationship Id="rId45" Type="http://schemas.openxmlformats.org/officeDocument/2006/relationships/customXml" Target="../customXml/item4.xml"/><Relationship Id="rId53" Type="http://schemas.openxmlformats.org/officeDocument/2006/relationships/customXml" Target="../customXml/item12.xml"/><Relationship Id="rId58" Type="http://schemas.openxmlformats.org/officeDocument/2006/relationships/customXml" Target="../customXml/item17.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1.xml"/><Relationship Id="rId30" Type="http://schemas.openxmlformats.org/officeDocument/2006/relationships/pivotCacheDefinition" Target="pivotCache/pivotCacheDefinition4.xml"/><Relationship Id="rId35" Type="http://schemas.microsoft.com/office/2011/relationships/timelineCache" Target="timelineCaches/timelineCache1.xml"/><Relationship Id="rId43" Type="http://schemas.openxmlformats.org/officeDocument/2006/relationships/customXml" Target="../customXml/item2.xml"/><Relationship Id="rId48" Type="http://schemas.openxmlformats.org/officeDocument/2006/relationships/customXml" Target="../customXml/item7.xml"/><Relationship Id="rId56" Type="http://schemas.openxmlformats.org/officeDocument/2006/relationships/customXml" Target="../customXml/item15.xml"/><Relationship Id="rId8" Type="http://schemas.openxmlformats.org/officeDocument/2006/relationships/worksheet" Target="worksheets/sheet8.xml"/><Relationship Id="rId51" Type="http://schemas.openxmlformats.org/officeDocument/2006/relationships/customXml" Target="../customXml/item1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07/relationships/slicerCache" Target="slicerCaches/slicerCache3.xml"/><Relationship Id="rId38" Type="http://schemas.openxmlformats.org/officeDocument/2006/relationships/styles" Target="styles.xml"/><Relationship Id="rId46" Type="http://schemas.openxmlformats.org/officeDocument/2006/relationships/customXml" Target="../customXml/item5.xml"/><Relationship Id="rId20" Type="http://schemas.openxmlformats.org/officeDocument/2006/relationships/worksheet" Target="worksheets/sheet20.xml"/><Relationship Id="rId41" Type="http://schemas.openxmlformats.org/officeDocument/2006/relationships/calcChain" Target="calcChain.xml"/><Relationship Id="rId54"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2.xml"/><Relationship Id="rId36" Type="http://schemas.openxmlformats.org/officeDocument/2006/relationships/theme" Target="theme/theme1.xml"/><Relationship Id="rId49" Type="http://schemas.openxmlformats.org/officeDocument/2006/relationships/customXml" Target="../customXml/item8.xml"/><Relationship Id="rId57" Type="http://schemas.openxmlformats.org/officeDocument/2006/relationships/customXml" Target="../customXml/item16.xml"/><Relationship Id="rId10" Type="http://schemas.openxmlformats.org/officeDocument/2006/relationships/worksheet" Target="worksheets/sheet10.xml"/><Relationship Id="rId31" Type="http://schemas.microsoft.com/office/2007/relationships/slicerCache" Target="slicerCaches/slicerCache1.xml"/><Relationship Id="rId44" Type="http://schemas.openxmlformats.org/officeDocument/2006/relationships/customXml" Target="../customXml/item3.xml"/><Relationship Id="rId52" Type="http://schemas.openxmlformats.org/officeDocument/2006/relationships/customXml" Target="../customXml/item1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[analisis de datos.xlsx]limpieza y dashboard!TOTALES AÑOS</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034341355449287E-2"/>
          <c:y val="4.4893362357304505E-2"/>
          <c:w val="0.83947374016381604"/>
          <c:h val="0.84647247754094668"/>
        </c:manualLayout>
      </c:layout>
      <c:lineChart>
        <c:grouping val="standard"/>
        <c:varyColors val="0"/>
        <c:ser>
          <c:idx val="0"/>
          <c:order val="0"/>
          <c:tx>
            <c:strRef>
              <c:f>'limpieza y dashboard'!$P$177:$P$178</c:f>
              <c:strCache>
                <c:ptCount val="1"/>
                <c:pt idx="0">
                  <c:v>2020</c:v>
                </c:pt>
              </c:strCache>
            </c:strRef>
          </c:tx>
          <c:spPr>
            <a:ln w="28575" cap="rnd">
              <a:solidFill>
                <a:schemeClr val="accent1"/>
              </a:solidFill>
              <a:round/>
            </a:ln>
            <a:effectLst/>
          </c:spPr>
          <c:marker>
            <c:symbol val="none"/>
          </c:marker>
          <c:cat>
            <c:strRef>
              <c:f>'limpieza y dashboard'!$O$179:$O$191</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'limpieza y dashboard'!$P$179:$P$191</c:f>
              <c:numCache>
                <c:formatCode>[$€-2]\ #.##000;[Red]\-[$€-2]\ #.##000</c:formatCode>
                <c:ptCount val="12"/>
                <c:pt idx="0">
                  <c:v>4274.33</c:v>
                </c:pt>
                <c:pt idx="1">
                  <c:v>4049.77</c:v>
                </c:pt>
                <c:pt idx="2">
                  <c:v>3003.86</c:v>
                </c:pt>
                <c:pt idx="3">
                  <c:v>3720.05</c:v>
                </c:pt>
                <c:pt idx="4">
                  <c:v>3962.6899999999996</c:v>
                </c:pt>
                <c:pt idx="5">
                  <c:v>2858.67</c:v>
                </c:pt>
                <c:pt idx="6">
                  <c:v>6393.8600000000006</c:v>
                </c:pt>
                <c:pt idx="7">
                  <c:v>3401.67</c:v>
                </c:pt>
                <c:pt idx="8">
                  <c:v>5089</c:v>
                </c:pt>
                <c:pt idx="9">
                  <c:v>4572.68</c:v>
                </c:pt>
                <c:pt idx="10">
                  <c:v>3051.5</c:v>
                </c:pt>
                <c:pt idx="11">
                  <c:v>3427.67</c:v>
                </c:pt>
              </c:numCache>
            </c:numRef>
          </c:val>
          <c:smooth val="0"/>
          <c:extLst>
            <c:ext xmlns:c16="http://schemas.microsoft.com/office/drawing/2014/chart" uri="{C3380CC4-5D6E-409C-BE32-E72D297353CC}">
              <c16:uniqueId val="{00000000-8F36-4C68-82E3-A97651E2963A}"/>
            </c:ext>
          </c:extLst>
        </c:ser>
        <c:ser>
          <c:idx val="1"/>
          <c:order val="1"/>
          <c:tx>
            <c:strRef>
              <c:f>'limpieza y dashboard'!$Q$177:$Q$178</c:f>
              <c:strCache>
                <c:ptCount val="1"/>
                <c:pt idx="0">
                  <c:v>2021</c:v>
                </c:pt>
              </c:strCache>
            </c:strRef>
          </c:tx>
          <c:spPr>
            <a:ln w="28575" cap="rnd">
              <a:solidFill>
                <a:schemeClr val="accent2"/>
              </a:solidFill>
              <a:round/>
            </a:ln>
            <a:effectLst/>
          </c:spPr>
          <c:marker>
            <c:symbol val="none"/>
          </c:marker>
          <c:cat>
            <c:strRef>
              <c:f>'limpieza y dashboard'!$O$179:$O$191</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'limpieza y dashboard'!$Q$179:$Q$191</c:f>
              <c:numCache>
                <c:formatCode>[$€-2]\ #.##000;[Red]\-[$€-2]\ #.##000</c:formatCode>
                <c:ptCount val="12"/>
                <c:pt idx="0">
                  <c:v>5024.3999999999996</c:v>
                </c:pt>
                <c:pt idx="1">
                  <c:v>4085.84</c:v>
                </c:pt>
                <c:pt idx="2">
                  <c:v>6944.51</c:v>
                </c:pt>
                <c:pt idx="3">
                  <c:v>4437.33</c:v>
                </c:pt>
                <c:pt idx="4">
                  <c:v>6420.03</c:v>
                </c:pt>
                <c:pt idx="5">
                  <c:v>6788.25</c:v>
                </c:pt>
                <c:pt idx="6">
                  <c:v>10524.279999999999</c:v>
                </c:pt>
                <c:pt idx="7">
                  <c:v>12650</c:v>
                </c:pt>
                <c:pt idx="8">
                  <c:v>7197.5</c:v>
                </c:pt>
                <c:pt idx="9">
                  <c:v>3345.5</c:v>
                </c:pt>
                <c:pt idx="10">
                  <c:v>3447.5</c:v>
                </c:pt>
                <c:pt idx="11">
                  <c:v>3195</c:v>
                </c:pt>
              </c:numCache>
            </c:numRef>
          </c:val>
          <c:smooth val="0"/>
          <c:extLst>
            <c:ext xmlns:c16="http://schemas.microsoft.com/office/drawing/2014/chart" uri="{C3380CC4-5D6E-409C-BE32-E72D297353CC}">
              <c16:uniqueId val="{00000001-8F36-4C68-82E3-A97651E2963A}"/>
            </c:ext>
          </c:extLst>
        </c:ser>
        <c:dLbls>
          <c:showLegendKey val="0"/>
          <c:showVal val="0"/>
          <c:showCatName val="0"/>
          <c:showSerName val="0"/>
          <c:showPercent val="0"/>
          <c:showBubbleSize val="0"/>
        </c:dLbls>
        <c:smooth val="0"/>
        <c:axId val="1330573135"/>
        <c:axId val="1330577935"/>
      </c:lineChart>
      <c:catAx>
        <c:axId val="1330573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330577935"/>
        <c:crosses val="autoZero"/>
        <c:auto val="1"/>
        <c:lblAlgn val="ctr"/>
        <c:lblOffset val="100"/>
        <c:noMultiLvlLbl val="0"/>
      </c:catAx>
      <c:valAx>
        <c:axId val="1330577935"/>
        <c:scaling>
          <c:orientation val="minMax"/>
        </c:scaling>
        <c:delete val="0"/>
        <c:axPos val="l"/>
        <c:majorGridlines>
          <c:spPr>
            <a:ln w="9525" cap="flat" cmpd="sng" algn="ctr">
              <a:noFill/>
              <a:round/>
            </a:ln>
            <a:effectLst/>
          </c:spPr>
        </c:majorGridlines>
        <c:numFmt formatCode="[$€-2]\ #.##000;[Red]\-[$€-2]\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330573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[analisis de datos.xlsx]limpieza y dashboard!comercial</c:name>
    <c:fmtId val="2"/>
  </c:pivotSource>
  <c:chart>
    <c:autoTitleDeleted val="1"/>
    <c:pivotFmts>
      <c:pivotFmt>
        <c:idx val="0"/>
        <c:spPr>
          <a:noFill/>
          <a:ln w="25400" cap="flat" cmpd="sng" algn="ctr">
            <a:solidFill>
              <a:schemeClr val="accent1"/>
            </a:solidFill>
            <a:miter lim="800000"/>
          </a:ln>
          <a:effectLst/>
        </c:spPr>
        <c:marker>
          <c:symbol val="circle"/>
          <c:size val="6"/>
          <c:spPr>
            <a:noFill/>
            <a:ln w="19050" cap="rnd">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s-MX"/>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'limpieza y dashboard'!$P$193</c:f>
              <c:strCache>
                <c:ptCount val="1"/>
                <c:pt idx="0">
                  <c:v>Total</c:v>
                </c:pt>
              </c:strCache>
            </c:strRef>
          </c:tx>
          <c:spPr>
            <a:noFill/>
            <a:ln w="25400" cap="flat" cmpd="sng" algn="ctr">
              <a:solidFill>
                <a:schemeClr val="accent1"/>
              </a:solidFill>
              <a:miter lim="800000"/>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s-MX"/>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'limpieza y dashboard'!$O$194:$O$197</c:f>
              <c:strCache>
                <c:ptCount val="3"/>
                <c:pt idx="0">
                  <c:v>Luis Valle</c:v>
                </c:pt>
                <c:pt idx="1">
                  <c:v>Ana Fernandez</c:v>
                </c:pt>
                <c:pt idx="2">
                  <c:v>Maria Garcia</c:v>
                </c:pt>
              </c:strCache>
            </c:strRef>
          </c:cat>
          <c:val>
            <c:numRef>
              <c:f>'limpieza y dashboard'!$P$194:$P$197</c:f>
              <c:numCache>
                <c:formatCode>[$€-2]\ #.##;[Red]\-[$€-2]\ #.##</c:formatCode>
                <c:ptCount val="3"/>
                <c:pt idx="0">
                  <c:v>8226.99</c:v>
                </c:pt>
                <c:pt idx="1">
                  <c:v>10772.33</c:v>
                </c:pt>
                <c:pt idx="2">
                  <c:v>12449</c:v>
                </c:pt>
              </c:numCache>
            </c:numRef>
          </c:val>
          <c:extLst>
            <c:ext xmlns:c16="http://schemas.microsoft.com/office/drawing/2014/chart" uri="{C3380CC4-5D6E-409C-BE32-E72D297353CC}">
              <c16:uniqueId val="{00000000-6E9C-4B0D-8B45-9D135CC101C4}"/>
            </c:ext>
          </c:extLst>
        </c:ser>
        <c:dLbls>
          <c:dLblPos val="ctr"/>
          <c:showLegendKey val="0"/>
          <c:showVal val="1"/>
          <c:showCatName val="0"/>
          <c:showSerName val="0"/>
          <c:showPercent val="0"/>
          <c:showBubbleSize val="0"/>
        </c:dLbls>
        <c:gapWidth val="227"/>
        <c:overlap val="-48"/>
        <c:axId val="1092631375"/>
        <c:axId val="1092608335"/>
      </c:barChart>
      <c:catAx>
        <c:axId val="109263137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MX"/>
          </a:p>
        </c:txPr>
        <c:crossAx val="1092608335"/>
        <c:crosses val="autoZero"/>
        <c:auto val="1"/>
        <c:lblAlgn val="ctr"/>
        <c:lblOffset val="100"/>
        <c:noMultiLvlLbl val="0"/>
      </c:catAx>
      <c:valAx>
        <c:axId val="1092608335"/>
        <c:scaling>
          <c:orientation val="minMax"/>
        </c:scaling>
        <c:delete val="1"/>
        <c:axPos val="b"/>
        <c:numFmt formatCode="[$€-2]\ #.##;[Red]\-[$€-2]\ #.##" sourceLinked="1"/>
        <c:majorTickMark val="none"/>
        <c:minorTickMark val="none"/>
        <c:tickLblPos val="nextTo"/>
        <c:crossAx val="1092631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4"/>
    </mc:Choice>
    <mc:Fallback>
      <c:style val="4"/>
    </mc:Fallback>
  </mc:AlternateContent>
  <c:pivotSource>
    <c:name>[analisis de datos.xlsx]limpieza y dashboard!marca</c:name>
    <c:fmtId val="0"/>
  </c:pivotSource>
  <c:chart>
    <c:autoTitleDeleted val="1"/>
    <c:pivotFmts>
      <c:pivotFmt>
        <c:idx val="0"/>
        <c:spPr>
          <a:solidFill>
            <a:schemeClr val="accent2"/>
          </a:solidFill>
          <a:ln>
            <a:noFill/>
          </a:ln>
          <a:effectLst/>
        </c:spPr>
        <c:marker>
          <c:symbol val="diamond"/>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s-MX"/>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s-MX"/>
            </a:p>
          </c:txPr>
          <c:dLblPos val="ctr"/>
          <c:showLegendKey val="0"/>
          <c:showVal val="1"/>
          <c:showCatName val="0"/>
          <c:showSerName val="0"/>
          <c:showPercent val="0"/>
          <c:showBubbleSize val="0"/>
          <c:extLst>
            <c:ext xmlns:c15="http://schemas.microsoft.com/office/drawing/2012/chart" uri="{CE6537A1-D6FC-4f65-9D91-7224C49458BB}">
              <c15:layout>
                <c:manualLayout>
                  <c:w val="0.29105305152632616"/>
                  <c:h val="0.15064856711915536"/>
                </c:manualLayout>
              </c15:layout>
            </c:ext>
          </c:extLst>
        </c:dLbl>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s-MX"/>
            </a:p>
          </c:txPr>
          <c:dLblPos val="ctr"/>
          <c:showLegendKey val="0"/>
          <c:showVal val="1"/>
          <c:showCatName val="0"/>
          <c:showSerName val="0"/>
          <c:showPercent val="0"/>
          <c:showBubbleSize val="0"/>
          <c:extLst>
            <c:ext xmlns:c15="http://schemas.microsoft.com/office/drawing/2012/chart" uri="{CE6537A1-D6FC-4f65-9D91-7224C49458BB}">
              <c15:layout>
                <c:manualLayout>
                  <c:w val="0.26411076105900494"/>
                  <c:h val="0.21692331444994714"/>
                </c:manualLayout>
              </c15:layout>
            </c:ext>
          </c:extLst>
        </c:dLbl>
      </c:pivotFmt>
      <c:pivotFmt>
        <c:idx val="3"/>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s-MX"/>
            </a:p>
          </c:txPr>
          <c:dLblPos val="ctr"/>
          <c:showLegendKey val="0"/>
          <c:showVal val="1"/>
          <c:showCatName val="0"/>
          <c:showSerName val="0"/>
          <c:showPercent val="0"/>
          <c:showBubbleSize val="0"/>
          <c:extLst>
            <c:ext xmlns:c15="http://schemas.microsoft.com/office/drawing/2012/chart" uri="{CE6537A1-D6FC-4f65-9D91-7224C49458BB}">
              <c15:layout>
                <c:manualLayout>
                  <c:w val="0.26411076105900494"/>
                  <c:h val="0.21692331444994714"/>
                </c:manualLayout>
              </c15:layout>
            </c:ext>
          </c:extLst>
        </c:dLbl>
      </c:pivotFmt>
      <c:pivotFmt>
        <c:idx val="4"/>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s-MX"/>
            </a:p>
          </c:txPr>
          <c:dLblPos val="ctr"/>
          <c:showLegendKey val="0"/>
          <c:showVal val="1"/>
          <c:showCatName val="0"/>
          <c:showSerName val="0"/>
          <c:showPercent val="0"/>
          <c:showBubbleSize val="0"/>
          <c:extLst>
            <c:ext xmlns:c15="http://schemas.microsoft.com/office/drawing/2012/chart" uri="{CE6537A1-D6FC-4f65-9D91-7224C49458BB}">
              <c15:layout>
                <c:manualLayout>
                  <c:w val="0.2444917771740692"/>
                  <c:h val="0.21692331444994714"/>
                </c:manualLayout>
              </c15:layout>
            </c:ext>
          </c:extLst>
        </c:dLbl>
      </c:pivotFmt>
      <c:pivotFmt>
        <c:idx val="5"/>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s-MX"/>
            </a:p>
          </c:txPr>
          <c:dLblPos val="ctr"/>
          <c:showLegendKey val="0"/>
          <c:showVal val="1"/>
          <c:showCatName val="0"/>
          <c:showSerName val="0"/>
          <c:showPercent val="0"/>
          <c:showBubbleSize val="0"/>
          <c:extLst>
            <c:ext xmlns:c15="http://schemas.microsoft.com/office/drawing/2012/chart" uri="{CE6537A1-D6FC-4f65-9D91-7224C49458BB}">
              <c15:layout>
                <c:manualLayout>
                  <c:w val="0.29550113527490218"/>
                  <c:h val="0.21692331444994714"/>
                </c:manualLayout>
              </c15:layout>
            </c:ext>
          </c:extLst>
        </c:dLbl>
      </c:pivotFmt>
    </c:pivotFmts>
    <c:plotArea>
      <c:layout/>
      <c:barChart>
        <c:barDir val="bar"/>
        <c:grouping val="stacked"/>
        <c:varyColors val="0"/>
        <c:ser>
          <c:idx val="0"/>
          <c:order val="0"/>
          <c:tx>
            <c:strRef>
              <c:f>'limpieza y dashboard'!$P$201</c:f>
              <c:strCache>
                <c:ptCount val="1"/>
                <c:pt idx="0">
                  <c:v>Total</c:v>
                </c:pt>
              </c:strCache>
            </c:strRef>
          </c:tx>
          <c:spPr>
            <a:solidFill>
              <a:schemeClr val="accent2"/>
            </a:solidFill>
            <a:ln>
              <a:noFill/>
            </a:ln>
            <a:effectLst/>
          </c:spPr>
          <c:invertIfNegative val="0"/>
          <c:dLbls>
            <c:dLbl>
              <c:idx val="0"/>
              <c:dLblPos val="ctr"/>
              <c:showLegendKey val="0"/>
              <c:showVal val="1"/>
              <c:showCatName val="0"/>
              <c:showSerName val="0"/>
              <c:showPercent val="0"/>
              <c:showBubbleSize val="0"/>
              <c:extLst>
                <c:ext xmlns:c15="http://schemas.microsoft.com/office/drawing/2012/chart" uri="{CE6537A1-D6FC-4f65-9D91-7224C49458BB}">
                  <c15:layout>
                    <c:manualLayout>
                      <c:w val="0.2444917771740692"/>
                      <c:h val="0.21692331444994714"/>
                    </c:manualLayout>
                  </c15:layout>
                </c:ext>
                <c:ext xmlns:c16="http://schemas.microsoft.com/office/drawing/2014/chart" uri="{C3380CC4-5D6E-409C-BE32-E72D297353CC}">
                  <c16:uniqueId val="{00000006-E1BE-4353-B80A-08DB7781D58A}"/>
                </c:ext>
              </c:extLst>
            </c:dLbl>
            <c:dLbl>
              <c:idx val="1"/>
              <c:dLblPos val="ctr"/>
              <c:showLegendKey val="0"/>
              <c:showVal val="1"/>
              <c:showCatName val="0"/>
              <c:showSerName val="0"/>
              <c:showPercent val="0"/>
              <c:showBubbleSize val="0"/>
              <c:extLst>
                <c:ext xmlns:c15="http://schemas.microsoft.com/office/drawing/2012/chart" uri="{CE6537A1-D6FC-4f65-9D91-7224C49458BB}">
                  <c15:layout>
                    <c:manualLayout>
                      <c:w val="0.29550113527490218"/>
                      <c:h val="0.21692331444994714"/>
                    </c:manualLayout>
                  </c15:layout>
                </c:ext>
                <c:ext xmlns:c16="http://schemas.microsoft.com/office/drawing/2014/chart" uri="{C3380CC4-5D6E-409C-BE32-E72D297353CC}">
                  <c16:uniqueId val="{00000005-E1BE-4353-B80A-08DB7781D58A}"/>
                </c:ext>
              </c:extLst>
            </c:dLbl>
            <c:dLbl>
              <c:idx val="2"/>
              <c:dLblPos val="ctr"/>
              <c:showLegendKey val="0"/>
              <c:showVal val="1"/>
              <c:showCatName val="0"/>
              <c:showSerName val="0"/>
              <c:showPercent val="0"/>
              <c:showBubbleSize val="0"/>
              <c:extLst>
                <c:ext xmlns:c15="http://schemas.microsoft.com/office/drawing/2012/chart" uri="{CE6537A1-D6FC-4f65-9D91-7224C49458BB}">
                  <c15:layout>
                    <c:manualLayout>
                      <c:w val="0.26411076105900494"/>
                      <c:h val="0.21692331444994714"/>
                    </c:manualLayout>
                  </c15:layout>
                </c:ext>
                <c:ext xmlns:c16="http://schemas.microsoft.com/office/drawing/2014/chart" uri="{C3380CC4-5D6E-409C-BE32-E72D297353CC}">
                  <c16:uniqueId val="{00000004-E1BE-4353-B80A-08DB7781D58A}"/>
                </c:ext>
              </c:extLst>
            </c:dLbl>
            <c:dLbl>
              <c:idx val="3"/>
              <c:dLblPos val="ctr"/>
              <c:showLegendKey val="0"/>
              <c:showVal val="1"/>
              <c:showCatName val="0"/>
              <c:showSerName val="0"/>
              <c:showPercent val="0"/>
              <c:showBubbleSize val="0"/>
              <c:extLst>
                <c:ext xmlns:c15="http://schemas.microsoft.com/office/drawing/2012/chart" uri="{CE6537A1-D6FC-4f65-9D91-7224C49458BB}">
                  <c15:layout>
                    <c:manualLayout>
                      <c:w val="0.29105305152632616"/>
                      <c:h val="0.15064856711915536"/>
                    </c:manualLayout>
                  </c15:layout>
                </c:ext>
                <c:ext xmlns:c16="http://schemas.microsoft.com/office/drawing/2014/chart" uri="{C3380CC4-5D6E-409C-BE32-E72D297353CC}">
                  <c16:uniqueId val="{00000002-E1BE-4353-B80A-08DB7781D58A}"/>
                </c:ext>
              </c:extLst>
            </c:dLbl>
            <c:dLbl>
              <c:idx val="4"/>
              <c:dLblPos val="ctr"/>
              <c:showLegendKey val="0"/>
              <c:showVal val="1"/>
              <c:showCatName val="0"/>
              <c:showSerName val="0"/>
              <c:showPercent val="0"/>
              <c:showBubbleSize val="0"/>
              <c:extLst>
                <c:ext xmlns:c15="http://schemas.microsoft.com/office/drawing/2012/chart" uri="{CE6537A1-D6FC-4f65-9D91-7224C49458BB}">
                  <c15:layout>
                    <c:manualLayout>
                      <c:w val="0.26411076105900494"/>
                      <c:h val="0.21692331444994714"/>
                    </c:manualLayout>
                  </c15:layout>
                </c:ext>
                <c:ext xmlns:c16="http://schemas.microsoft.com/office/drawing/2014/chart" uri="{C3380CC4-5D6E-409C-BE32-E72D297353CC}">
                  <c16:uniqueId val="{00000003-E1BE-4353-B80A-08DB7781D58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s-MX"/>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'limpieza y dashboard'!$O$202:$O$207</c:f>
              <c:strCache>
                <c:ptCount val="5"/>
                <c:pt idx="0">
                  <c:v>One Plus</c:v>
                </c:pt>
                <c:pt idx="1">
                  <c:v>PocoPhone</c:v>
                </c:pt>
                <c:pt idx="2">
                  <c:v>Xiaomi</c:v>
                </c:pt>
                <c:pt idx="3">
                  <c:v>Samsung</c:v>
                </c:pt>
                <c:pt idx="4">
                  <c:v>Apple</c:v>
                </c:pt>
              </c:strCache>
            </c:strRef>
          </c:cat>
          <c:val>
            <c:numRef>
              <c:f>'limpieza y dashboard'!$P$202:$P$207</c:f>
              <c:numCache>
                <c:formatCode>[$€-2]\ #.##000;[Red]\-[$€-2]\ #.##000</c:formatCode>
                <c:ptCount val="5"/>
                <c:pt idx="0">
                  <c:v>7668.33</c:v>
                </c:pt>
                <c:pt idx="1">
                  <c:v>8263.67</c:v>
                </c:pt>
                <c:pt idx="2">
                  <c:v>9201.83</c:v>
                </c:pt>
                <c:pt idx="3">
                  <c:v>13684.83</c:v>
                </c:pt>
                <c:pt idx="4">
                  <c:v>14749.400000000001</c:v>
                </c:pt>
              </c:numCache>
            </c:numRef>
          </c:val>
          <c:extLst>
            <c:ext xmlns:c16="http://schemas.microsoft.com/office/drawing/2014/chart" uri="{C3380CC4-5D6E-409C-BE32-E72D297353CC}">
              <c16:uniqueId val="{00000000-E1BE-4353-B80A-08DB7781D58A}"/>
            </c:ext>
          </c:extLst>
        </c:ser>
        <c:dLbls>
          <c:dLblPos val="ctr"/>
          <c:showLegendKey val="0"/>
          <c:showVal val="1"/>
          <c:showCatName val="0"/>
          <c:showSerName val="0"/>
          <c:showPercent val="0"/>
          <c:showBubbleSize val="0"/>
        </c:dLbls>
        <c:gapWidth val="79"/>
        <c:overlap val="100"/>
        <c:axId val="1330605775"/>
        <c:axId val="1330600015"/>
      </c:barChart>
      <c:catAx>
        <c:axId val="1330605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s-MX"/>
          </a:p>
        </c:txPr>
        <c:crossAx val="1330600015"/>
        <c:crosses val="autoZero"/>
        <c:auto val="1"/>
        <c:lblAlgn val="ctr"/>
        <c:lblOffset val="100"/>
        <c:noMultiLvlLbl val="0"/>
      </c:catAx>
      <c:valAx>
        <c:axId val="1330600015"/>
        <c:scaling>
          <c:orientation val="minMax"/>
        </c:scaling>
        <c:delete val="1"/>
        <c:axPos val="b"/>
        <c:numFmt formatCode="[$€-2]\ #.##000;[Red]\-[$€-2]\ #.##000" sourceLinked="1"/>
        <c:majorTickMark val="none"/>
        <c:minorTickMark val="none"/>
        <c:tickLblPos val="nextTo"/>
        <c:crossAx val="1330605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3"/>
    </mc:Choice>
    <mc:Fallback>
      <c:style val="3"/>
    </mc:Fallback>
  </mc:AlternateContent>
  <c:pivotSource>
    <c:name>[analisis de datos.xlsx]limpieza y dashboard!marca y comercial</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'limpieza y dashboard'!$P$219:$P$220</c:f>
              <c:strCache>
                <c:ptCount val="1"/>
                <c:pt idx="0">
                  <c:v>Ana Fernandez</c:v>
                </c:pt>
              </c:strCache>
            </c:strRef>
          </c:tx>
          <c:dPt>
            <c:idx val="0"/>
            <c:bubble3D val="0"/>
            <c:spPr>
              <a:solidFill>
                <a:schemeClr val="accent1">
                  <a:shade val="65000"/>
                </a:schemeClr>
              </a:solidFill>
              <a:ln w="19050">
                <a:solidFill>
                  <a:schemeClr val="lt1"/>
                </a:solidFill>
              </a:ln>
              <a:effectLst/>
            </c:spPr>
          </c:dPt>
          <c:dPt>
            <c:idx val="1"/>
            <c:bubble3D val="0"/>
            <c:spPr>
              <a:solidFill>
                <a:schemeClr val="accent1"/>
              </a:solidFill>
              <a:ln w="19050">
                <a:solidFill>
                  <a:schemeClr val="lt1"/>
                </a:solidFill>
              </a:ln>
              <a:effectLst/>
            </c:spPr>
          </c:dPt>
          <c:dPt>
            <c:idx val="2"/>
            <c:bubble3D val="0"/>
            <c:spPr>
              <a:solidFill>
                <a:schemeClr val="accent1">
                  <a:tint val="65000"/>
                </a:schemeClr>
              </a:solidFill>
              <a:ln w="19050">
                <a:solidFill>
                  <a:schemeClr val="lt1"/>
                </a:solidFill>
              </a:ln>
              <a:effectLst/>
            </c:spPr>
          </c:dPt>
          <c:cat>
            <c:strRef>
              <c:f>'limpieza y dashboard'!$O$221:$O$224</c:f>
              <c:strCache>
                <c:ptCount val="3"/>
                <c:pt idx="0">
                  <c:v>Apple</c:v>
                </c:pt>
                <c:pt idx="1">
                  <c:v>One Plus</c:v>
                </c:pt>
                <c:pt idx="2">
                  <c:v>PocoPhone</c:v>
                </c:pt>
              </c:strCache>
            </c:strRef>
          </c:cat>
          <c:val>
            <c:numRef>
              <c:f>'limpieza y dashboard'!$P$221:$P$224</c:f>
              <c:numCache>
                <c:formatCode>[$€-2]\ #.##000;[Red]\-[$€-2]\ #.##000</c:formatCode>
                <c:ptCount val="3"/>
                <c:pt idx="0">
                  <c:v>1663.16</c:v>
                </c:pt>
                <c:pt idx="1">
                  <c:v>649.17000000000007</c:v>
                </c:pt>
                <c:pt idx="2">
                  <c:v>7458.17</c:v>
                </c:pt>
              </c:numCache>
            </c:numRef>
          </c:val>
          <c:extLst>
            <c:ext xmlns:c16="http://schemas.microsoft.com/office/drawing/2014/chart" uri="{C3380CC4-5D6E-409C-BE32-E72D297353CC}">
              <c16:uniqueId val="{00000000-9E99-4694-83C3-62E03E42DE5B}"/>
            </c:ext>
          </c:extLst>
        </c:ser>
        <c:ser>
          <c:idx val="1"/>
          <c:order val="1"/>
          <c:tx>
            <c:strRef>
              <c:f>'limpieza y dashboard'!$Q$219:$Q$220</c:f>
              <c:strCache>
                <c:ptCount val="1"/>
                <c:pt idx="0">
                  <c:v>Luis Valle</c:v>
                </c:pt>
              </c:strCache>
            </c:strRef>
          </c:tx>
          <c:dPt>
            <c:idx val="0"/>
            <c:bubble3D val="0"/>
            <c:spPr>
              <a:solidFill>
                <a:schemeClr val="accent1">
                  <a:shade val="65000"/>
                </a:schemeClr>
              </a:solidFill>
              <a:ln w="19050">
                <a:solidFill>
                  <a:schemeClr val="lt1"/>
                </a:solidFill>
              </a:ln>
              <a:effectLst/>
            </c:spPr>
          </c:dPt>
          <c:dPt>
            <c:idx val="1"/>
            <c:bubble3D val="0"/>
            <c:spPr>
              <a:solidFill>
                <a:schemeClr val="accent1"/>
              </a:solidFill>
              <a:ln w="19050">
                <a:solidFill>
                  <a:schemeClr val="lt1"/>
                </a:solidFill>
              </a:ln>
              <a:effectLst/>
            </c:spPr>
          </c:dPt>
          <c:dPt>
            <c:idx val="2"/>
            <c:bubble3D val="0"/>
            <c:spPr>
              <a:solidFill>
                <a:schemeClr val="accent1">
                  <a:tint val="65000"/>
                </a:schemeClr>
              </a:solidFill>
              <a:ln w="19050">
                <a:solidFill>
                  <a:schemeClr val="lt1"/>
                </a:solidFill>
              </a:ln>
              <a:effectLst/>
            </c:spPr>
          </c:dPt>
          <c:cat>
            <c:strRef>
              <c:f>'limpieza y dashboard'!$O$221:$O$224</c:f>
              <c:strCache>
                <c:ptCount val="3"/>
                <c:pt idx="0">
                  <c:v>Apple</c:v>
                </c:pt>
                <c:pt idx="1">
                  <c:v>One Plus</c:v>
                </c:pt>
                <c:pt idx="2">
                  <c:v>PocoPhone</c:v>
                </c:pt>
              </c:strCache>
            </c:strRef>
          </c:cat>
          <c:val>
            <c:numRef>
              <c:f>'limpieza y dashboard'!$Q$221:$Q$224</c:f>
              <c:numCache>
                <c:formatCode>[$€-2]\ #.##000;[Red]\-[$€-2]\ #.##000</c:formatCode>
                <c:ptCount val="3"/>
                <c:pt idx="0">
                  <c:v>812.5</c:v>
                </c:pt>
                <c:pt idx="1">
                  <c:v>5290.83</c:v>
                </c:pt>
                <c:pt idx="2">
                  <c:v>79.83</c:v>
                </c:pt>
              </c:numCache>
            </c:numRef>
          </c:val>
          <c:extLst>
            <c:ext xmlns:c16="http://schemas.microsoft.com/office/drawing/2014/chart" uri="{C3380CC4-5D6E-409C-BE32-E72D297353CC}">
              <c16:uniqueId val="{00000016-9E99-4694-83C3-62E03E42DE5B}"/>
            </c:ext>
          </c:extLst>
        </c:ser>
        <c:ser>
          <c:idx val="2"/>
          <c:order val="2"/>
          <c:tx>
            <c:strRef>
              <c:f>'limpieza y dashboard'!$R$219:$R$220</c:f>
              <c:strCache>
                <c:ptCount val="1"/>
                <c:pt idx="0">
                  <c:v>Maria Garcia</c:v>
                </c:pt>
              </c:strCache>
            </c:strRef>
          </c:tx>
          <c:dPt>
            <c:idx val="0"/>
            <c:bubble3D val="0"/>
            <c:spPr>
              <a:solidFill>
                <a:schemeClr val="accent1">
                  <a:shade val="65000"/>
                </a:schemeClr>
              </a:solidFill>
              <a:ln w="19050">
                <a:solidFill>
                  <a:schemeClr val="lt1"/>
                </a:solidFill>
              </a:ln>
              <a:effectLst/>
            </c:spPr>
          </c:dPt>
          <c:dPt>
            <c:idx val="1"/>
            <c:bubble3D val="0"/>
            <c:spPr>
              <a:solidFill>
                <a:schemeClr val="accent1"/>
              </a:solidFill>
              <a:ln w="19050">
                <a:solidFill>
                  <a:schemeClr val="lt1"/>
                </a:solidFill>
              </a:ln>
              <a:effectLst/>
            </c:spPr>
          </c:dPt>
          <c:dPt>
            <c:idx val="2"/>
            <c:bubble3D val="0"/>
            <c:spPr>
              <a:solidFill>
                <a:schemeClr val="accent1">
                  <a:tint val="65000"/>
                </a:schemeClr>
              </a:solidFill>
              <a:ln w="19050">
                <a:solidFill>
                  <a:schemeClr val="lt1"/>
                </a:solidFill>
              </a:ln>
              <a:effectLst/>
            </c:spPr>
          </c:dPt>
          <c:cat>
            <c:strRef>
              <c:f>'limpieza y dashboard'!$O$221:$O$224</c:f>
              <c:strCache>
                <c:ptCount val="3"/>
                <c:pt idx="0">
                  <c:v>Apple</c:v>
                </c:pt>
                <c:pt idx="1">
                  <c:v>One Plus</c:v>
                </c:pt>
                <c:pt idx="2">
                  <c:v>PocoPhone</c:v>
                </c:pt>
              </c:strCache>
            </c:strRef>
          </c:cat>
          <c:val>
            <c:numRef>
              <c:f>'limpieza y dashboard'!$R$221:$R$224</c:f>
              <c:numCache>
                <c:formatCode>[$€-2]\ #.##000;[Red]\-[$€-2]\ #.##000</c:formatCode>
                <c:ptCount val="3"/>
                <c:pt idx="0">
                  <c:v>729.5</c:v>
                </c:pt>
                <c:pt idx="1">
                  <c:v>423.83</c:v>
                </c:pt>
                <c:pt idx="2">
                  <c:v>274.5</c:v>
                </c:pt>
              </c:numCache>
            </c:numRef>
          </c:val>
          <c:extLst>
            <c:ext xmlns:c16="http://schemas.microsoft.com/office/drawing/2014/chart" uri="{C3380CC4-5D6E-409C-BE32-E72D297353CC}">
              <c16:uniqueId val="{00000017-9E99-4694-83C3-62E03E42DE5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4"/>
    </mc:Choice>
    <mc:Fallback>
      <c:style val="4"/>
    </mc:Fallback>
  </mc:AlternateContent>
  <c:pivotSource>
    <c:name>[analisis de datos.xlsx]limpieza y dashboard!articulos y comercial</c:name>
    <c:fmtId val="8"/>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'limpieza y dashboard'!$P$210:$P$211</c:f>
              <c:strCache>
                <c:ptCount val="1"/>
                <c:pt idx="0">
                  <c:v>Ana Fernandez</c:v>
                </c:pt>
              </c:strCache>
            </c:strRef>
          </c:tx>
          <c:spPr>
            <a:solidFill>
              <a:schemeClr val="accent2">
                <a:shade val="65000"/>
              </a:schemeClr>
            </a:solidFill>
            <a:ln>
              <a:noFill/>
            </a:ln>
            <a:effectLst/>
          </c:spPr>
          <c:invertIfNegative val="0"/>
          <c:cat>
            <c:strRef>
              <c:f>'limpieza y dashboard'!$O$212:$O$217</c:f>
              <c:strCache>
                <c:ptCount val="5"/>
                <c:pt idx="0">
                  <c:v>Auriculares</c:v>
                </c:pt>
                <c:pt idx="1">
                  <c:v>Cargador</c:v>
                </c:pt>
                <c:pt idx="2">
                  <c:v>Funda movil</c:v>
                </c:pt>
                <c:pt idx="3">
                  <c:v>Movil</c:v>
                </c:pt>
                <c:pt idx="4">
                  <c:v>Protector pantalla</c:v>
                </c:pt>
              </c:strCache>
            </c:strRef>
          </c:cat>
          <c:val>
            <c:numRef>
              <c:f>'limpieza y dashboard'!$P$212:$P$217</c:f>
              <c:numCache>
                <c:formatCode>[$€-2]\ #.##000;[Red]\-[$€-2]\ #.##000</c:formatCode>
                <c:ptCount val="5"/>
                <c:pt idx="0">
                  <c:v>3849</c:v>
                </c:pt>
                <c:pt idx="1">
                  <c:v>1303.5</c:v>
                </c:pt>
                <c:pt idx="2">
                  <c:v>1996</c:v>
                </c:pt>
                <c:pt idx="3">
                  <c:v>3098.83</c:v>
                </c:pt>
                <c:pt idx="4">
                  <c:v>525</c:v>
                </c:pt>
              </c:numCache>
            </c:numRef>
          </c:val>
          <c:extLst>
            <c:ext xmlns:c16="http://schemas.microsoft.com/office/drawing/2014/chart" uri="{C3380CC4-5D6E-409C-BE32-E72D297353CC}">
              <c16:uniqueId val="{00000000-1B77-4F53-BD71-53CAF99645A6}"/>
            </c:ext>
          </c:extLst>
        </c:ser>
        <c:ser>
          <c:idx val="1"/>
          <c:order val="1"/>
          <c:tx>
            <c:strRef>
              <c:f>'limpieza y dashboard'!$Q$210:$Q$211</c:f>
              <c:strCache>
                <c:ptCount val="1"/>
                <c:pt idx="0">
                  <c:v>Luis Valle</c:v>
                </c:pt>
              </c:strCache>
            </c:strRef>
          </c:tx>
          <c:spPr>
            <a:solidFill>
              <a:schemeClr val="accent2"/>
            </a:solidFill>
            <a:ln>
              <a:noFill/>
            </a:ln>
            <a:effectLst/>
          </c:spPr>
          <c:invertIfNegative val="0"/>
          <c:cat>
            <c:strRef>
              <c:f>'limpieza y dashboard'!$O$212:$O$217</c:f>
              <c:strCache>
                <c:ptCount val="5"/>
                <c:pt idx="0">
                  <c:v>Auriculares</c:v>
                </c:pt>
                <c:pt idx="1">
                  <c:v>Cargador</c:v>
                </c:pt>
                <c:pt idx="2">
                  <c:v>Funda movil</c:v>
                </c:pt>
                <c:pt idx="3">
                  <c:v>Movil</c:v>
                </c:pt>
                <c:pt idx="4">
                  <c:v>Protector pantalla</c:v>
                </c:pt>
              </c:strCache>
            </c:strRef>
          </c:cat>
          <c:val>
            <c:numRef>
              <c:f>'limpieza y dashboard'!$Q$212:$Q$217</c:f>
              <c:numCache>
                <c:formatCode>[$€-2]\ #.##000;[Red]\-[$€-2]\ #.##000</c:formatCode>
                <c:ptCount val="5"/>
                <c:pt idx="0">
                  <c:v>2224</c:v>
                </c:pt>
                <c:pt idx="1">
                  <c:v>726</c:v>
                </c:pt>
                <c:pt idx="2">
                  <c:v>2749</c:v>
                </c:pt>
                <c:pt idx="3">
                  <c:v>2163.9899999999998</c:v>
                </c:pt>
                <c:pt idx="4">
                  <c:v>364</c:v>
                </c:pt>
              </c:numCache>
            </c:numRef>
          </c:val>
          <c:extLst>
            <c:ext xmlns:c16="http://schemas.microsoft.com/office/drawing/2014/chart" uri="{C3380CC4-5D6E-409C-BE32-E72D297353CC}">
              <c16:uniqueId val="{0000000E-1B77-4F53-BD71-53CAF99645A6}"/>
            </c:ext>
          </c:extLst>
        </c:ser>
        <c:ser>
          <c:idx val="2"/>
          <c:order val="2"/>
          <c:tx>
            <c:strRef>
              <c:f>'limpieza y dashboard'!$R$210:$R$211</c:f>
              <c:strCache>
                <c:ptCount val="1"/>
                <c:pt idx="0">
                  <c:v>Maria Garcia</c:v>
                </c:pt>
              </c:strCache>
            </c:strRef>
          </c:tx>
          <c:spPr>
            <a:solidFill>
              <a:schemeClr val="accent2">
                <a:tint val="65000"/>
              </a:schemeClr>
            </a:solidFill>
            <a:ln>
              <a:noFill/>
            </a:ln>
            <a:effectLst/>
          </c:spPr>
          <c:invertIfNegative val="0"/>
          <c:cat>
            <c:strRef>
              <c:f>'limpieza y dashboard'!$O$212:$O$217</c:f>
              <c:strCache>
                <c:ptCount val="5"/>
                <c:pt idx="0">
                  <c:v>Auriculares</c:v>
                </c:pt>
                <c:pt idx="1">
                  <c:v>Cargador</c:v>
                </c:pt>
                <c:pt idx="2">
                  <c:v>Funda movil</c:v>
                </c:pt>
                <c:pt idx="3">
                  <c:v>Movil</c:v>
                </c:pt>
                <c:pt idx="4">
                  <c:v>Protector pantalla</c:v>
                </c:pt>
              </c:strCache>
            </c:strRef>
          </c:cat>
          <c:val>
            <c:numRef>
              <c:f>'limpieza y dashboard'!$R$212:$R$217</c:f>
              <c:numCache>
                <c:formatCode>[$€-2]\ #.##000;[Red]\-[$€-2]\ #.##000</c:formatCode>
                <c:ptCount val="5"/>
                <c:pt idx="0">
                  <c:v>3362</c:v>
                </c:pt>
                <c:pt idx="1">
                  <c:v>1679</c:v>
                </c:pt>
                <c:pt idx="2">
                  <c:v>2209</c:v>
                </c:pt>
                <c:pt idx="3">
                  <c:v>4987.5</c:v>
                </c:pt>
                <c:pt idx="4">
                  <c:v>211.5</c:v>
                </c:pt>
              </c:numCache>
            </c:numRef>
          </c:val>
          <c:extLst>
            <c:ext xmlns:c16="http://schemas.microsoft.com/office/drawing/2014/chart" uri="{C3380CC4-5D6E-409C-BE32-E72D297353CC}">
              <c16:uniqueId val="{0000000F-1B77-4F53-BD71-53CAF99645A6}"/>
            </c:ext>
          </c:extLst>
        </c:ser>
        <c:dLbls>
          <c:showLegendKey val="0"/>
          <c:showVal val="0"/>
          <c:showCatName val="0"/>
          <c:showSerName val="0"/>
          <c:showPercent val="0"/>
          <c:showBubbleSize val="0"/>
        </c:dLbls>
        <c:gapWidth val="219"/>
        <c:overlap val="-27"/>
        <c:axId val="1401213647"/>
        <c:axId val="1401222767"/>
      </c:barChart>
      <c:catAx>
        <c:axId val="1401213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401222767"/>
        <c:crosses val="autoZero"/>
        <c:auto val="1"/>
        <c:lblAlgn val="ctr"/>
        <c:lblOffset val="100"/>
        <c:noMultiLvlLbl val="0"/>
      </c:catAx>
      <c:valAx>
        <c:axId val="1401222767"/>
        <c:scaling>
          <c:orientation val="minMax"/>
        </c:scaling>
        <c:delete val="0"/>
        <c:axPos val="l"/>
        <c:numFmt formatCode="[$€-2]\ #.##000;[Red]\-[$€-2]\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401213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Hoja1!$B$1</c:f>
              <c:strCache>
                <c:ptCount val="1"/>
                <c:pt idx="0">
                  <c:v>Valores</c:v>
                </c:pt>
              </c:strCache>
            </c:strRef>
          </c:tx>
          <c:spPr>
            <a:ln w="28575" cap="rnd">
              <a:solidFill>
                <a:schemeClr val="accent1"/>
              </a:solidFill>
              <a:round/>
            </a:ln>
            <a:effectLst/>
          </c:spPr>
          <c:marker>
            <c:symbol val="none"/>
          </c:marker>
          <c:val>
            <c:numRef>
              <c:f>Hoja1!$B$2:$B$14</c:f>
              <c:numCache>
                <c:formatCode>General</c:formatCode>
                <c:ptCount val="13"/>
                <c:pt idx="0">
                  <c:v>538.25000000000011</c:v>
                </c:pt>
                <c:pt idx="1">
                  <c:v>536.65000000000009</c:v>
                </c:pt>
                <c:pt idx="2">
                  <c:v>275.96000000000004</c:v>
                </c:pt>
                <c:pt idx="3">
                  <c:v>458.81</c:v>
                </c:pt>
                <c:pt idx="4">
                  <c:v>462.63</c:v>
                </c:pt>
                <c:pt idx="5">
                  <c:v>398.03</c:v>
                </c:pt>
                <c:pt idx="6">
                  <c:v>376.33</c:v>
                </c:pt>
                <c:pt idx="7">
                  <c:v>284.19</c:v>
                </c:pt>
                <c:pt idx="8">
                  <c:v>326.52</c:v>
                </c:pt>
                <c:pt idx="9">
                  <c:v>605.21</c:v>
                </c:pt>
                <c:pt idx="10">
                  <c:v>475.56</c:v>
                </c:pt>
                <c:pt idx="11">
                  <c:v>446.1</c:v>
                </c:pt>
              </c:numCache>
            </c:numRef>
          </c:val>
          <c:smooth val="0"/>
          <c:extLst>
            <c:ext xmlns:c16="http://schemas.microsoft.com/office/drawing/2014/chart" uri="{C3380CC4-5D6E-409C-BE32-E72D297353CC}">
              <c16:uniqueId val="{00000000-2A6F-46CF-A6B7-A1FEE33DB3C6}"/>
            </c:ext>
          </c:extLst>
        </c:ser>
        <c:ser>
          <c:idx val="1"/>
          <c:order val="1"/>
          <c:tx>
            <c:strRef>
              <c:f>Hoja1!$C$1</c:f>
              <c:strCache>
                <c:ptCount val="1"/>
                <c:pt idx="0">
                  <c:v>Previsión</c:v>
                </c:pt>
              </c:strCache>
            </c:strRef>
          </c:tx>
          <c:spPr>
            <a:ln w="25400" cap="rnd">
              <a:solidFill>
                <a:schemeClr val="accent2"/>
              </a:solidFill>
              <a:round/>
            </a:ln>
            <a:effectLst/>
          </c:spPr>
          <c:marker>
            <c:symbol val="none"/>
          </c:marker>
          <c:cat>
            <c:numRef>
              <c:f>Hoja1!$A$2:$A$14</c:f>
              <c:numCache>
                <c:formatCode>m/d/yyyy</c:formatCode>
                <c:ptCount val="13"/>
                <c:pt idx="0">
                  <c:v>45658</c:v>
                </c:pt>
                <c:pt idx="1">
                  <c:v>45689</c:v>
                </c:pt>
                <c:pt idx="2">
                  <c:v>45717</c:v>
                </c:pt>
                <c:pt idx="3">
                  <c:v>45748</c:v>
                </c:pt>
                <c:pt idx="4">
                  <c:v>45778</c:v>
                </c:pt>
                <c:pt idx="5">
                  <c:v>45809</c:v>
                </c:pt>
                <c:pt idx="6">
                  <c:v>45839</c:v>
                </c:pt>
                <c:pt idx="7">
                  <c:v>45870</c:v>
                </c:pt>
                <c:pt idx="8">
                  <c:v>45901</c:v>
                </c:pt>
                <c:pt idx="9">
                  <c:v>45931</c:v>
                </c:pt>
                <c:pt idx="10">
                  <c:v>45962</c:v>
                </c:pt>
                <c:pt idx="11">
                  <c:v>45992</c:v>
                </c:pt>
                <c:pt idx="12">
                  <c:v>46022</c:v>
                </c:pt>
              </c:numCache>
            </c:numRef>
          </c:cat>
          <c:val>
            <c:numRef>
              <c:f>Hoja1!$C$2:$C$14</c:f>
              <c:numCache>
                <c:formatCode>General</c:formatCode>
                <c:ptCount val="13"/>
                <c:pt idx="11">
                  <c:v>446.1</c:v>
                </c:pt>
                <c:pt idx="12">
                  <c:v>437.32876694714469</c:v>
                </c:pt>
              </c:numCache>
            </c:numRef>
          </c:val>
          <c:smooth val="0"/>
          <c:extLst>
            <c:ext xmlns:c16="http://schemas.microsoft.com/office/drawing/2014/chart" uri="{C3380CC4-5D6E-409C-BE32-E72D297353CC}">
              <c16:uniqueId val="{00000001-2A6F-46CF-A6B7-A1FEE33DB3C6}"/>
            </c:ext>
          </c:extLst>
        </c:ser>
        <c:ser>
          <c:idx val="2"/>
          <c:order val="2"/>
          <c:tx>
            <c:strRef>
              <c:f>Hoja1!$D$1</c:f>
              <c:strCache>
                <c:ptCount val="1"/>
                <c:pt idx="0">
                  <c:v>Límite de confianza inferior</c:v>
                </c:pt>
              </c:strCache>
            </c:strRef>
          </c:tx>
          <c:spPr>
            <a:ln w="12700" cap="rnd">
              <a:solidFill>
                <a:srgbClr val="ED7D31"/>
              </a:solidFill>
              <a:prstDash val="solid"/>
              <a:round/>
            </a:ln>
            <a:effectLst/>
          </c:spPr>
          <c:marker>
            <c:symbol val="none"/>
          </c:marker>
          <c:cat>
            <c:numRef>
              <c:f>Hoja1!$A$2:$A$14</c:f>
              <c:numCache>
                <c:formatCode>m/d/yyyy</c:formatCode>
                <c:ptCount val="13"/>
                <c:pt idx="0">
                  <c:v>45658</c:v>
                </c:pt>
                <c:pt idx="1">
                  <c:v>45689</c:v>
                </c:pt>
                <c:pt idx="2">
                  <c:v>45717</c:v>
                </c:pt>
                <c:pt idx="3">
                  <c:v>45748</c:v>
                </c:pt>
                <c:pt idx="4">
                  <c:v>45778</c:v>
                </c:pt>
                <c:pt idx="5">
                  <c:v>45809</c:v>
                </c:pt>
                <c:pt idx="6">
                  <c:v>45839</c:v>
                </c:pt>
                <c:pt idx="7">
                  <c:v>45870</c:v>
                </c:pt>
                <c:pt idx="8">
                  <c:v>45901</c:v>
                </c:pt>
                <c:pt idx="9">
                  <c:v>45931</c:v>
                </c:pt>
                <c:pt idx="10">
                  <c:v>45962</c:v>
                </c:pt>
                <c:pt idx="11">
                  <c:v>45992</c:v>
                </c:pt>
                <c:pt idx="12">
                  <c:v>46022</c:v>
                </c:pt>
              </c:numCache>
            </c:numRef>
          </c:cat>
          <c:val>
            <c:numRef>
              <c:f>Hoja1!$D$2:$D$14</c:f>
              <c:numCache>
                <c:formatCode>General</c:formatCode>
                <c:ptCount val="13"/>
                <c:pt idx="11" formatCode="0.00">
                  <c:v>446.1</c:v>
                </c:pt>
                <c:pt idx="12" formatCode="0.00">
                  <c:v>216.74322833239495</c:v>
                </c:pt>
              </c:numCache>
            </c:numRef>
          </c:val>
          <c:smooth val="0"/>
          <c:extLst>
            <c:ext xmlns:c16="http://schemas.microsoft.com/office/drawing/2014/chart" uri="{C3380CC4-5D6E-409C-BE32-E72D297353CC}">
              <c16:uniqueId val="{00000002-2A6F-46CF-A6B7-A1FEE33DB3C6}"/>
            </c:ext>
          </c:extLst>
        </c:ser>
        <c:ser>
          <c:idx val="3"/>
          <c:order val="3"/>
          <c:tx>
            <c:strRef>
              <c:f>Hoja1!$E$1</c:f>
              <c:strCache>
                <c:ptCount val="1"/>
                <c:pt idx="0">
                  <c:v>Límite de confianza superior</c:v>
                </c:pt>
              </c:strCache>
            </c:strRef>
          </c:tx>
          <c:spPr>
            <a:ln w="12700" cap="rnd">
              <a:solidFill>
                <a:srgbClr val="ED7D31"/>
              </a:solidFill>
              <a:prstDash val="solid"/>
              <a:round/>
            </a:ln>
            <a:effectLst/>
          </c:spPr>
          <c:marker>
            <c:symbol val="none"/>
          </c:marker>
          <c:cat>
            <c:numRef>
              <c:f>Hoja1!$A$2:$A$14</c:f>
              <c:numCache>
                <c:formatCode>m/d/yyyy</c:formatCode>
                <c:ptCount val="13"/>
                <c:pt idx="0">
                  <c:v>45658</c:v>
                </c:pt>
                <c:pt idx="1">
                  <c:v>45689</c:v>
                </c:pt>
                <c:pt idx="2">
                  <c:v>45717</c:v>
                </c:pt>
                <c:pt idx="3">
                  <c:v>45748</c:v>
                </c:pt>
                <c:pt idx="4">
                  <c:v>45778</c:v>
                </c:pt>
                <c:pt idx="5">
                  <c:v>45809</c:v>
                </c:pt>
                <c:pt idx="6">
                  <c:v>45839</c:v>
                </c:pt>
                <c:pt idx="7">
                  <c:v>45870</c:v>
                </c:pt>
                <c:pt idx="8">
                  <c:v>45901</c:v>
                </c:pt>
                <c:pt idx="9">
                  <c:v>45931</c:v>
                </c:pt>
                <c:pt idx="10">
                  <c:v>45962</c:v>
                </c:pt>
                <c:pt idx="11">
                  <c:v>45992</c:v>
                </c:pt>
                <c:pt idx="12">
                  <c:v>46022</c:v>
                </c:pt>
              </c:numCache>
            </c:numRef>
          </c:cat>
          <c:val>
            <c:numRef>
              <c:f>Hoja1!$E$2:$E$14</c:f>
              <c:numCache>
                <c:formatCode>General</c:formatCode>
                <c:ptCount val="13"/>
                <c:pt idx="11" formatCode="0.00">
                  <c:v>446.1</c:v>
                </c:pt>
                <c:pt idx="12" formatCode="0.00">
                  <c:v>657.91430556189448</c:v>
                </c:pt>
              </c:numCache>
            </c:numRef>
          </c:val>
          <c:smooth val="0"/>
          <c:extLst>
            <c:ext xmlns:c16="http://schemas.microsoft.com/office/drawing/2014/chart" uri="{C3380CC4-5D6E-409C-BE32-E72D297353CC}">
              <c16:uniqueId val="{00000003-2A6F-46CF-A6B7-A1FEE33DB3C6}"/>
            </c:ext>
          </c:extLst>
        </c:ser>
        <c:dLbls>
          <c:showLegendKey val="0"/>
          <c:showVal val="0"/>
          <c:showCatName val="0"/>
          <c:showSerName val="0"/>
          <c:showPercent val="0"/>
          <c:showBubbleSize val="0"/>
        </c:dLbls>
        <c:smooth val="0"/>
        <c:axId val="1330572175"/>
        <c:axId val="1330571695"/>
      </c:lineChart>
      <c:catAx>
        <c:axId val="1330572175"/>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330571695"/>
        <c:crosses val="autoZero"/>
        <c:auto val="1"/>
        <c:lblAlgn val="ctr"/>
        <c:lblOffset val="100"/>
        <c:noMultiLvlLbl val="0"/>
      </c:catAx>
      <c:valAx>
        <c:axId val="1330571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3305721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_xlchart.v5.4</cx:f>
        <cx:nf>_xlchart.v5.3</cx:nf>
      </cx:numDim>
    </cx:data>
  </cx:chartData>
  <cx:chart>
    <cx:title pos="t" align="ctr" overlay="0">
      <cx:tx>
        <cx:txData>
          <cx:v>beneficio</cx:v>
        </cx:txData>
      </cx:tx>
      <cx:txPr>
        <a:bodyPr spcFirstLastPara="1" vertOverflow="ellipsis" horzOverflow="overflow" wrap="square" lIns="0" tIns="0" rIns="0" bIns="0" anchor="ctr" anchorCtr="1"/>
        <a:lstStyle/>
        <a:p>
          <a:pPr algn="ctr" rtl="0">
            <a:defRPr/>
          </a:pPr>
          <a:r>
            <a:rPr lang="es-ES" sz="1400" b="0" i="0" u="none" strike="noStrike" baseline="0">
              <a:solidFill>
                <a:sysClr val="window" lastClr="FFFFFF">
                  <a:lumMod val="95000"/>
                </a:sysClr>
              </a:solidFill>
              <a:latin typeface="Calibri" panose="020F0502020204030204"/>
            </a:rPr>
            <a:t>beneficio</a:t>
          </a:r>
        </a:p>
      </cx:txPr>
    </cx:title>
    <cx:plotArea>
      <cx:plotAreaRegion>
        <cx:series layoutId="regionMap" uniqueId="{0DEAEDC0-1F6F-4244-830E-F7EFDFFDD737}">
          <cx:tx>
            <cx:txData>
              <cx:f>_xlchart.v5.3</cx:f>
              <cx:v>Beneficio</cx:v>
            </cx:txData>
          </cx:tx>
          <cx:dataLabels>
            <cx:visibility seriesName="0" categoryName="0" value="1"/>
          </cx:dataLabels>
          <cx:dataId val="0"/>
          <cx:layoutPr>
            <cx:geography cultureLanguage="es-ES" cultureRegion="MX" attribution="Con tecnología de Bing">
              <cx:geoCache provider="{E9337A44-BEBE-4D9F-B70C-5C5E7DAFC167}">
                <cx:binary>1Hvpctw41uWrOOr3UAWAAAl0dHdEg8xNi7V5k/8w0pZMgDsBAlze6fsxMY/QLzY3bdmWVXK1K9oT
Mc6uiGolSSSIg3vvOeei/v5++tv76m5vnk111di/vZ/+8Zsahu5vv/9u36u7em+Pav3etLb9MBy9
b+vf2w8f9Pu732/NftRN/jtBmP7+Xu3NcDf99s+/w2j5XXvavt8Pum0u3Z2Zr+6sqwb7J9eevPRs
f1vrJtV2MPr9gP/x2+n+2ZVui/1vz+6aQQ/zi7m7+8dv39z127PfH4/1h999VsHUBncLz1JyRGLK
wzDivz2r2ia//z4gRwzHKESCoU8f/PlHn+9rePBHpvJxIvvbW3NnLbzLx38/fPKbiT+88L51zXBY
thxW8B+/rWy3//f/hrfWtk0+XUraw+xX1x9f9/dvl/yff3/0BSzAo28eoPJ4tf7TpT+AkuybYf/O
6J+JSniERRyGiEbi4yf+Fhx6hELCCSL402URfQvOv9zQNm397//ZP7u9e/ZDE3waq+8O9Ai67973
qyG5Bxzt58X878OL8CMiECMhCz9FEfkWSBwdMRZFWET0ySgD6P7jjJ5G7uuTj6D6euGXwubsrtJV
9RNjLGQADeYxwp+D6FtoyJGgSCASP0p8PzCRpxH58uAjQL58/0vhkeztcAAkgEJwtm+g/P28qAnF
EeNIUIogrz0sSuERQjSmWKD7vCc+/+inovTXJvU0TE+N8Qixp275JcF7Nj87vfv3/2k+r+J/n/Ao
PooZJiK+Zw0IouchgvQo5jxCSJD7G+jn3/4WwR+Z2Z/j93WE76D39YZfDLthX7mPdOinkUAATcD/
wui+Sn0LGj5ihEMBE4Dbx8+jjJjsf2BG3wPry6N/QOnLlV8Knp2t9vaZ3B/0xN1PZBKQEyMchjTC
X0F4EFhQrVjE6dfE+Cgz/vi0ngbq8fOP0Hp8+ZeC7Pne7435ifULRFUUcRTj+F48hd8mQXwUAbEn
FH1mHo/AStraNfp2f/ts3Zp9deDwPzDHp4H7s7Eegfhnt/5SgP7L7POfXdUYFiQWlH+Kvkc0Hh1F
TAgaC3EfnOhRWfuBGT0N35cHH2H15ftfCpjkzg0/Mc6AwnPOw4jwe1gexRk7AgWNQ44BmI8f8Dg+
1cx7svGfpvM0Jvdv8QiR+29/KTwOBgsEyiHBnDnz/mdaGCEHrk5QFMb0y9o/qFcBPqKcCTAw7qE7
EMWH2PylqT2N0xNDPMLsiTt+Kfwu9v/+H/vs1d6+bz+v3k+g8KCyaIgRIZDTDp8/OIMROIMo/ELh
IRk+RO7BpJ79/mzlbLm/1Z9veWp6T6P3nWEeIfidu34pFL/W3VdAGxsIw+ZnJklxFB5sDMDzE5xA
Nh4GIjpiB7QjcW81CgFm40M8n5oeAPvp62E/wP77kVk/jfJfGvwR9n/p2V9qR/yruQWN9x78289Q
PBU3f83pD+MjGoWYxdF9Qn60D+gRXAL6Qh4IjIfb4Mfm9DTKD599BOLDS78URpt9pX9qxQTVELMo
jnn8iF3GRwdZFxIc3gfwI7f/fiYQk4f/t/zpnnkanz+O8AilP97wS2H1Lzu4n2vs0xDcYxIizu/D
5RFm7AgQCwVk3vvPI3pzYTQk+m5/2x7I14/M72nkvjfOI/y+d9svheJqGgx0Y2/dz9Tq4KtggUMS
4a8dmIflMTrCDHHwM++tMQQa42Fa/MFJPY3eNw8/guyba78UTl/r8kFX7G+Nvv28Zv99GaPoiArK
KMb3fOUROw2PYhzhKALt8enziJ3+xck9jduTgzzC78l7/r/G8XuT+7TdP0H3zT1/9awBOjBRoJqf
ba8/QMeAikI39DsM5MsxgO9P6Gm4vjz4zez/n58r+P6Zgy8nMlKwzlcfj3I8OHbw51c/viIcMHn0
6H1SejLAPq3X7vYfv8HKgpVPgfp9OSVyGOebjPbkxn1qiDtoAf7jtwDkIgPqKEAPhlRggqHUjXcf
Lx045eEIA485+J0RAWXRtGZQcO4EH+EIHooFAj5KMYWHbOsOlyAjc87AsqEoFowLTr8cqrloqzlv
my8LdP/3s8bVF61uBgtvCAN1n247vDA016FMMwLzYNC/YAzBu3fv91dwcOdw9//SRkSzwrSUnLj8
RjjenNQ6E6uoc2MyhwPekDmyW6cnb6XtI58waockHIdJPljGJ6bCYtjgj+YCeQuEFoN3O/A5qCUP
5+Jy1aisCLWsSR7PSREQfVJN/GqcVXGi8/I2Is30oQ2jJol6X/KkGzu1NYxjidASydjUPLGlD6yc
snJIiUf5rutzIfO+8Ek9zcEsjWBM1r1QqZ6Uk0sVyGrMrBRq2fVVLpJgym9Mr7okn8M+RUXVSN3a
k5aOXnb0aunVulJDLwPb7klXd0nP2UVQYZeQkXfruHEmCagSa9E1ZYKnestU+UZk80WDayWLzj0v
u5kk2HEr2x4N6Uxrk2Ssu+O6ukTLvA1o0aRFTY+brpMhH7odUnWThjGuVjhy89pgNr0Imukcz1Of
dvUUyWAJGpnTLjGEfQjy5qz0USi7RvUnGpHjxrcXvCuKXZDDIEXO8eWS2Vb2WXPjBKrSIg6HlRir
HcY2kmHbkTSaRZUYVKE3I+yjUhoNM244aWuJm2lIOjXVJwxl5kK39bUL9CazAU0nUm+jMns/8R4W
YbbTCs3hGvU+XqG6bOQ45sWOIxLJvLB2TabCyt64aNVOrV1Tk4mk7a051ZljCcmbfp2p4d3Im0L2
c9us23nurpGqosRE9KQ3pZNEZUlUo+5M+5alrjDFFokapX1b1bBryxc5MnY99xGrJVOuSntD6Amc
d1Oneal0EjGNNzkbzotsrlfe12lZdLfaI5S6Sd/RXHfS+cytuIdph6QbpG3b8pQJZ45Jp4aVsotN
VN8wSepFXRnW87NhUesWL241NNlwEtasWaGBDSuucv9yrNtCtjx/PXPfJqEtK6n74ooEjJxUbXFj
cxMcm7II5FyqVmZxzxOITrMiwmnYljVMIYMXG9GHuVz4yZx36SyoeVcq/yb3mT1u63bTD1NxLsq6
kV0x3SHV6FUUsDxBMzyfIXedF3pOStL3W0fy2z5ShaxIPcO1qkk0jcc0LnEme4b6zVjSPFmgU5oG
FVfntED1BQqxl1TR8Jgghna1KqOdDmdxjWKyyFKJ8DjvCvGcVPmryFavIx/FkohlM834w8LJ2xx+
8iQaaXk89cW0yXq01qUZV8x5c2VNLdZBXr7QrNaSV9G8yWMzbm3plCRF7aQtOpiYGi+R9nRVNr7f
6pKJ68gV0cYJ2DzhRNt1hdya07iH9yprabgK1xTZ53XEYjnTGMleQa6YluXDPFq7CmZ0shQ93i3G
j2lnRbcN8nFINV34tuw6v6UFqbZkNuYkom1+XhQakk7JoZO21Inx7TFtYpXSKRQpqUMMkd6xHpYR
bus1qWVPsmDXsyFOZw2Z1jd5nRSZ3pYYLVLjYjnr4XU385zrdVvlw46U8Ws0O5f2Y6TiZCb1u7Kp
b8fOFZs+pHabBai8HH3G1ygYI4m5secx79qVXeI6yZyq1xHqvJJc02MbonHllqm507QymSRLYzdE
DOzSisxt2FJK0eMiiTQmJ7jtlm0vwuXYKIZXiLMuidtpXkOuPpnrOEvnebgmVTbCoi37uCuXjTfB
qxBXvk66EkKmmwwAYCuUcj5Xq6medDpPyEg2dsG5q0Oe6pLwtC2X8aUVtb0YK43WNONXEc3mMxV2
RVIqpVea+vosn0IAjtL8dtJ0MzvqE0erUuaeimR0qpFkLLJVjhu+Ubjoj0sVh0kVuCL1HU0Em5dU
2bJeG7/kWdpBCXxhIlRdhdbykzroWTJWdSEj2gVJXkPmCfkcnLQmVp1sFsJkM+FWLvXAk9Ln0W4c
zStEqN/EPMCy57mBlFZGK1DBLMl8PJz1EO9JOdReDnqeJawFlUtQvpiLaV6RWavUuedTy9Zt3J00
S9cltrFYRrpIw66dIMY4f65nE28ng20i9FBedkaPazz63VjBD9axeTcO3iYDinja90W9hvCbtmO7
hCnNVbmeA/NuEJWTeGRIWsjs6cgm+oIPfbca69EmFPsy6aE+SziBdNZr605zB/hF42H7dE21rucC
nUVlGL0cRe5uSgrvAXVBp+VYw2JnWbSeSup3yBSVJNQwOVfcwPaf0zLObsIR03SZOtxJnYXZBg2u
T/OBO1mrGc/whLaXDkGqzSJY3MiEQEMidrfw8eVMumOdx28bqJrJwGd1Bqcy+EplDU+m0RarqeB7
xPtgzcDok2FlptOc5sWbXBTRjfF+W1WjgjwAqTqkeSfjoRp2eqh52mUkTvrorAniQmJM7+Z4CJN2
FiiW0zCGb6BbTWTGWX1GoZSmZYcvsy58EeQ8TJDCkbQeVbtqUecC9yztoz5/DTyu3wQefRjrIl9X
XIfSVqVYD2GXr3BtIOJcOJwHbTmtA1JczoEPEsPm4qwjermkaIayXpD2bVXi8qWbIr9jJfE7oY2W
JCpNUnn7rsr9da6NO0G6gHjCXp8uS5RBnIflpVrKHXg/0U3RQJnrsZpX8Ex3HEX9OQFaCpugnxKN
UfYqqiqbVCUMjTucbVTeu1OkyldW02BNSBespyG226J0/ZZn2kgEEX+5cEtXRRYUqbDTcM6y1q17
VGbnjtX0PPcRlW0YX8UlabdqElMyhI16rrBaElyzd14vrweXfwimuFqPFZBKEUOQEi8GqZoqWg94
MVtTdbuo8/RlpUS5qcfypOJA/3ooComd+XNKRQOxOlwUpF7rOGLSLvzt4uMZ1m9WF4g2u7EoDkMG
Y4qNLjejI9dLCyW4nOstrSacwPV21fX8VUnoyzkU8EbtAoVBA39sCL/gRV6mh/LkxaQTILL1NZ+h
uk0c4F7sHvPpJKdxIFUAGZFndjzFWE/w6vj44Tnte6r8icW/h7gwOlf3p+O//PnPF20N/3w8uP31
y8Ph+q9/nX0+lf+nd23u2kO71z6+6SDPvowFk7mXawc99M0ff9Bn31Fgnw75f+fiN/LsGxn62Ro5
qBWCQSF9X5l90bFf1djHJz4JMXoEkgKDXuIIeDISIaiPex2G+RG07KDVStkXifZZiIFhEocUg9aK
AdKHQozERxGikErBlsYoZDj6S0LsILQeCrE4imkIXhoc7ORxDIbat+Jn5M7kqteNZFA0jWzyYFy2
cdBEYeK6OtoseWlRIsYZGxn7YHIp5IPFpXk5Z2Y1uKwysphq+IZkTJgVrercrlytuVlppmIK2cxk
XdqiuO5SUY+KXz1Y7ScEHFgVjxUcLFWIY0pjTCB7IPLoJboZWV1W/oNjmPtL+FEPZUyMA0qnQdhR
xvWClYzmeVnhIFxOM82WDR8JvcsEMMSbrMlcuIlMHbqk5ctcvs7jfsGpJU2t0nJeQFD5MHR7J6hw
0vQ4KhMTzm2UsC42U+Ir5qI11gsx112QCVnQKmwvgjjH4WaqdeRXbqLMbhafVZmclh55SKU9qpJm
qaM6EVUQs1UR1T7V9cJ7yI1dfxEQJXiiSDDjFPWF8VKhYhrkUmSOpn3WBS9VNPcNcAWdmc3AWfMh
bKwKBxmRon+use5vOCkjfDJMs9hkykw2icZG1Ici1FaJz4pOSec0yAVtY1KlXRsgsoJBTjOTU7Kq
mnG+GlFXZzKcuvkmIC3K08l6F1wvfd6W64J5ER3P0zhCli8L/ULjqFvlUaXHjWpAzoLeMLCOJigb
ldph6qe38HSgpesmP75Qoo2CS9FPnVubjCENla1FV0XdY3bmdV7P63CwY5n6RQS57G3W3wxQF10S
eNtkUs3e3Pa1yuJr1TRhLcFwAObIHfJTUozTeMMaODS9VnzGedJNuVouXIj7cg01uxwl63Gey0Vj
oRM6YHXMRj846Zo4fp6jsA+v4qX3Os0KDW8xFKS7aV2vxK4cM3I5Ys7gv4+BXHrcDcuSr6j3alrP
YjY06XM/9c8HoJGdzEZL55Tnoq9XIfOo31VR1LYyRPVyHJMeynSNKv7GWUpE6j3NqjRkTr1WTZzF
sqJdSVcsGxsLYtpOo/RFU/c3o66LD22nqly2Dc3xbcvMdBEPaikS59tggprd0D3uOYDECRuzdWaB
exyYjJ5X1rqiTw3ElFqhluXqZcfK8R1pC0dkS9AAkVQtaAGenHVDwrLMkfPFgJ8CJQjDYBRcihlL
M4O1s+p1YEAd9fBisLoe+MBJO/WQQHo6crxuhJguGtEjnPbx6IPrig6c7oC7QrANmC9etnUNg7oZ
Vwoq5jRdTASVM00+heIwGK/BzCg8DNGxxk5vpzZjdKuCeSlA2KpwanMo9q2qb2kZVssoB+GmwMig
1Ie62zElxKtJtdFEUx1N8MOLmLobbsuBnFdl7bP1p+26kD5jbxx2AHodlJAaPm06A5xUrHnnkU+J
XZrmVJVjCNERVeWQFJbvY5p7llId9LDpfc7eEMPbaNfQsSAyn0ESdKywl7AmYDppNdObYMhA1Vfx
cB7hMehlVSj6bgpGOsgma2+LskJbEpLiROWQdb0lbOdsC6HcdEOV5pz4LciFD7mbTLo0JMrXUVCX
z+OKxEVCS6TVumiNm6XPhtDKBbFx1RQZej157CD1l2RVLMV8M3U8ft7GqHkpPC8P5SBv344VEifV
rHWYzEGjxsSVjiSuyerUtG31CmWdAE05tmfMzfMoa1DeF+DUdS6ZCx5uc4w40Nk5Vi+riV1zBUoC
kNI6Tyjyw3DJyQgCU8AIkTR5XBBYHwtOnGucxmCSBLDQbSXy1GZAUJNS5JrImfVgQeF4vipbE6iU
zJ5dRLhuTzHvAIMwcC/cJPrEZpYdz/FUJNxw18puGFmaM6Ov5k6VE6whn8+XxvWn+diWK87wDOl4
eFnGQ/F8JvMHVIzmNcdty1YLA8qZRJBng52v2+z1VBbXbjH5buidOYW3r1LPnbuZwNKS2utsV4qx
TLrKtZuuhK3rhy60aayL5nihENDaq2GUwcRx0naiCxM4mwWRW2Dfj6ulVBVks0p9cO1cX0PGrnPZ
ZSJqwM+z/QaJvIQv4lqdj6IX5Wrse7Nmua0F5Ito6RMFNYEkRV8Xp4sAMZZwZd17ripdyCXWXZCK
3mf7dhHhFtcNeetq0ypJg7h/p3UQoVWWofm6H/tog3Teg2vJiCjTeB5AJgmwI1ZtHkXPl6oqd8iC
FINM4k6BK8dJY2l+TCjvt1UTL2/93AwJqDpXr8HmBJMwR0X7DkojyIeyH/S2aIthW7edSfNF4UoO
vKHkWAN9ibegioNWegeIgTAq/W3QTvQuUv5DhhZzlldtng7Apl7OVGQ3HJXx24BPo06p7d4Nzdh0
sph1BrZixmuZxx6nGvYF/FQp4pOiAK/oBFW+v6J0BhYNpFqnRozd3YwG+4EXtr+ADN/3IKAJe87C
aHiP8RBfO+VdakYcVLLNlvjUNXTpUlORKgkzwi87Msf72sz9ZRFE+goSZr2yOl9el6CFTwauMGSb
LjvjVbm8t2jBrx0wrjWxdrgE91wk3TyADkBzm9ZRl/ubIdMN5I9YGLCRiFpeLHUXFuB28AMdswY8
ojJkTNy0QCpzSaqgUKuixE0psTagiFHhwddos+imLBcIdrJ4IZeQNeMqoJiYBOR19YEPI6WyGDv7
ipsIaj+kA14lWi8L1JNsaaXSA1k3qvZgQA8UinExwiaSTdSE8XrUxTStoRqUr8to8KCnysWfUNb4
OO2QqDZ2sFwlfexZA65rO6DLueV2Oww1uwPV2h4vCpK7ZGE4RUmFo2oBQyXGKlnAs6gP/oajTk6A
AX/pBZ6t5NCOQOAixi2kubxg/A3pYdLJhFjB0ppNEd1mhOZVGliv7ApIUJm2FIIrxbjpRNpmTXBH
YqfQeuS5ztK8mgX0HQLSp6C9hvU4ZfmSqM5rAeWug9yNg1h4iRypQbBZ4U471oJLWmbGutT2JAqu
xlhjm7ZexPmKQ920so5whd+2muK3Lozn6cKJGSX1TGm3YRqoENQA5JFsRt+rlVl85y4iYEr6FGcT
LiH+ZzIc58yJCZAYwvJUFMK+0TPtLqEic39M9dh6mR3MKxlUGirXbLru1s0DqzaojQXZlBN17Tqe
QigfFXTit2Ex1vmm8AMCy0fEXeIXThWY5iwKJNh2wFppVkT4supphaUW3l+wMa57MFtxt3FhKU7q
zoEvQoDg2dQ1I9rOB90ByURHJ3PWMZTociq2YZaD4ewmqKu0o+wDkKPnUV1g8Ckt6eNjHNopk3G0
NF6KDvQ9bEkd1Osgm4qTsWzDk9ryjm6Qy1yZVLkt6UlbT7D/A8Q9OIjBCG6CAp5xE3d5xiVdxv55
CTWUJX5qL2mm6iJFDgklww4B6Zh8OA1pFgAVk01A5zDh5QzBXoF0W4GeAbK+AA3YmyYfrqtigbK8
WFOeGeyiuxzH4PEHaoZeCrAtcIOi4HlZ1d1bgXMB6khV8HzWuwhLQbuxlnrwRQkOQOOgtwVKHBye
RUezVJbBJm2a1nk5eh1yyeqxKdc1Wvp+Q+KchNItLDhFTcH7dHEswMcgfIYo6UKnXwlfWJbkouFv
xtrkqWZ0NnJUmr/qQ2jlwKQh9yRDJLpd4RV45x3nXSLqGMLXRA1MU4UteQUNm+ZUNBOsP7TiWJmA
NxKfRv6g73Lk6MtwKNsbWnV+Uw6ieEt1CGQeV+10SwbcX/K+LcHK71VGdy6Iwl1DQjvuwPeDzhRz
Dr3NbF5ZOX4UAarCEzmdy/JVkYc8Wxmx9MvaL2PLtwMfuxA2EFUBSJVsZHLE2YeQjRpsJzTtoP7z
HZw1H06FbcDo7IPKdWmtQrAenQhQc2B/0CBZSLi8VtgsrxwG2/bQzVquY29iu1KiDk8qVupbEmbt
IPtp4hcjhx0mm4riBB2SBcMmJElLvd0akptroN9eBhD+ks+j3nbZQRCqNi8kLHx5Jghvd1YFZtXF
sdqpTt2yaOgkWvS0g6AbcVLx3MvSoBpAHoJoq3RWrgPeqUuqWXFnaE0/OM+Cqxpst7diUuI6n7N8
BSdKw5TEQR0krFl4IZFp4osIwvcuG6dAyQ4kyxvwtpouadWiwrTRY9VvejPHN9i0oU8ji8CgOugv
PuII/m55P597IlRCVDuseRk3VIqqNbKafFAmYRP6rSe0OZ4HPW2gWI5yBk3JqzgekizMg05GaLpA
wDw2hTCvdRznL3FAohNiKCQLaLtul3raAnubz2nQkzcMeqgL9ENHBTa/XcIVkBOziWbSXJAgNEbC
bi/zzUQnt5vmyq7BpfUvpwrHmzgHAt+jcN3WzJ/bgUBPJrOhOF2q+LadcAD9n0whCFGx1Ce80cV2
8AvESJa7sgAHm/Bj3U5kB9XnTo15fhsFvd+CFx+uOCTVBgy4IDpFRWzCVMSRbpOBFQIn4NqqK8iS
1VnNXb0aOy0gRXSwO6HWiyaXIRwVXI9zEb1ptcgTZ/ODiY6B2qKQJzUIvwQawuai1rpZqXD0Z+NS
3bEBnvLzEOxMFFYnFPrPW59FiYaCRlc9Duo7XnThSse2PxeVjRZgeK1h68LUnm1U2QzPaWvtZZNl
5SbuMPTvgjyvVtBSAWbpYhVLUCGISQN+ey4rsYTrKqiBX2e2UknB2+IYDZm/JLbZL3k3HQO9GLbl
HJnTykGTioecnpPaVq98rXy/mrjRUJuh0L8eoY2wUSyzQC/IMCSGC+gNhJWGvQT7c5dBryDcTs0o
3tFGt1eNRQOAH2bQ1DaqGk7wWGWBHHWPxGoghf9QmR6ECwZWA3lSlEqa7uCbBtH8Lh5pdW67rnPH
LGL+wsYBBJEiC6T7YCnMLZqUAcJcDguQ2SF8bQbQhNQ43GzKOJ7eZWUDTfsCWAdEL5xpCGQdgECB
bbwAJzc0R3KctLumvA52QMZtkSjEsgSM8xaaZSCbVh34yHRlofWz7jNyQ/senzRFq5O6wcOa9WMB
jYggeIsmFG+Ij5sEF8V0orIA+nygP2Q5BN0KOArUVlMMXnLoc+76WYE2wEMzb00c4pdgeesqgbzA
yhX0I7Cc4HzO645DQzcZDnY29qK8yKe2f8vyJqpAndv2xTxlL4zNh/NqimKzG00AgROX1BUvTONr
JmPh0JC4qBgvoJ8VZOcz+7/UnUmX3Li1rX8R7yJANOTkDdhEl30qM5XShCvVsQMI9gT46++mSnZJ
sl1eHrz77hvYlquUkREkAJ6z97dPLGGyDEv00vpqyJARXo9uLJrtYIuVCXQrvkt7W6tH1IMbPJ+A
9rEkHHYvb4e3uSkGKGb98tmuUzOkc7BlrvLUcdGKHVF5emEcRiu72AVOz6gX7xYPwP7TTLzmvuRF
nwz5YtCCbSu9gb8P59iDWghfSa1ngybpQS/LQUoVbqksnPq0VVPnEjx6ozMp9VUDeywmQ16eCNM4
KOatPEkDDWVFsT4nrZjDr8PquzEBKgO9fJIO3v4ivGE6Wl9sD3Jb5teeO3cyMx2nezc07mDK6SMe
x/pdHbY2Cxut7rUrzzM+7XH2Zmz0UDTzV7aKlV+2etr8SyHDcc16bb2PGzz411BPtx1cgcxAv01s
IKvXqmj9x2GodQKXk0JA86sPUTPuDu8MvVB670zObFxDKnMn1MyRg4zhodpGn2xiWKv6eplhq6Cd
bI/BkIuPnq5I2hRBeVPjLk1mEXU6iXyxcbnx9gytZ0rXkbrzXDLvcazxJELNw7EVgkci5/kC0a9I
SjymDoPnsZucTe7aVNIrM7pNbR9HYyCbeAuJQwnA5+rWHyLyIZ9R2a2jGfJsbjxzFZnFQpvr2o+y
DFDDKfeNaLseeqqqF6qCGYVVXqVTxOuLjcrhpik2cUulet48VP/t0n6RJvSf+DhiB416bO9UtMZs
tePLxOAfXXthO72MjHuXvg2nD2Hr5xVag8bQ+xp1hP3Y8rCACCtnACVTPtdzin5IQO5aq4JscacZ
PiOkvra/rzYNMVUqPHnS0u/HJ6kFKsBgQPsSu10JylkF6KAMFgiXfVCgSo0m43txpTz/2fUMVvhS
diouyoVdea2Pv4DGXtw7tuonPHGH5SDaCrWUWU3BY7jokAcWNCM6Jd3Qd1fTZPIyNSWKqrgMm7XK
uCW2u0ZlAvennwYcM5ZJNF24pyHEp1I3y7+hnv6ZYs4Zx5gThmwBTIBfZf/esHylQfQ1FNJdQj37
/OQ2VjaJM8WUMDPnBoL+4G5l43Wvfy3Y/4PlgLFGwL8Ej4jwZQgD4xfeKhTL2BOzvYVmbG+qKJiP
hSN1ukF0TSvSzycTqPnRyxsGNmH2/MNf/3ryD78f4FuAd8CC/cEl2G+fvZS89KyAkrz5pCwz7bcS
AmJUVe5zrhlfnrqQER8nf4RbYD3f/1TXNRsPg4S6ma3DDH0GNX9fp45Xtjnns+fU1WyKnB55SbWX
smbs7b3ZCJxO4urAu/43HwHB1V9dG9QdTHK4ShHH/7DfDA+vFARiNoPTTfJGHMuhhA7utS31k2WB
OpdNDSEKpVIDT6dsQ5gxhSK7VePZ9YUBQdDHbfDskpLvro3Xe0Ld/+dvMsRQEI6qB2sM7/PX+xwE
OGxl3qtYdEO9HPPAE+ZKLwXeFx7cD1O5Vl+jZoJXUzcbLvJ3FykyERo52hdUZGVdVJB75FA6yId8
i/7NJth9vF8uY0gCYJdgL0NCQUSG+2X+iUKEsF12ed9U8TSraHn8Y9ONdAQQRDpoVLc4N/h4EBX0
+lSawYlzYcdN3UZtaa0CFzYRdMe2Qfmg+hbLZbRgYg55b4kD0NgHaxFP6yTCm7++tsF+7X627fCG
cdcxwkhQ7jNQ1b++867mm4rKvgG4oLB6gwa0w0dV9N0CiAgb+033uN/p6pWsuSkoLUiM47Ksbwsn
THnFZVBwYAldDh+LlpU6wAIbC2AZI9tiPpQ4NOvdDYISUAJKmRx94TwXQxwNSnRQweqGHXrUzTbV
Gq0Gauk+PHoh4C+8oPa+oWOqHwM/gNZa9fBMEruF3ltXruH6sI6leIrA0qg4mKbO/JvdQfcD5NeL
wyQ2AAYFIRsO2/23Db7BmNASpk684DaVt14VorWZp2rLkwo1k8lablhwMw4TGqqhqqi72iJRNBfu
t/gzQ9N2B/V/rI5RC4s2aQln3QmHaFNf+cKF7KABtXpgVRgd076ZYd2EusCPUhuaChVS60drGg4z
wJBO6GY7Q3WpXyHw++7pr1fCr4eZRJaXQo0UbF8MiFXvEfefl3C5EudYk9exDtd2r6CLpKmsOmtf
A7eoBugBvhGoJdhEM+cBcfo3m4j+ehbhHeAiC7C8yJ4KjsDi/qj5aRNtpeWurUfoySUmxR1EQRiK
SDB2MEy+Wzq4zJKdo5yVr5VnwFqocthPVlLQz7zkXZuojlcspRBn84QqaJUHHazzx7bGQxDdZ56f
vWXN+2yP+x/53KgOOJpFA9vyzQPapEG1ZZxBqDz+9dWlv19eOOwBQZyIcBGASwnorx+Ol6LwQQR9
QWfS30BpaVVCZ4V3D4UgukEXOefA5mRwyWVTvnV+CzlRyqHJM4SU8iBbo3YisUHQ885BGU0XV9fv
qLWTg6dE+LtodsAQ5xZnip/ztk7g3rRD6vsrualsKBNIwpDNQXzUTdq17dxBy+NjpqNueGQ5mqHk
rz/xb2S2RNAwAKoAKpzhzxzYwq+fWHlGKm7UlynYfbUArgd6CDPu2hmohDYJIT0tB6wxc6OWwlZH
bqC7oiZHWzP1QWmzv35Dv5n7+xsKacQRBoK9L2ggfysXNGMVigi3H6R4nJ/N3Hnv6jpqZVzMJO9T
Gwj3vPQLgZM7qbzKVu7C/DqK2qqC2jSNc7zCqAZfVfDoW1uG9ZTV2he3MmgCcpi7Rn8bKg6rkne9
vpmXtlfv/DW06K92gxMHTfeBdiN/4jP0+tj5PtS77//UW3gHsd5fPJCRxVItaeGFjTqMuYclYqa+
iP1lRPvGR9MEMe80ikWnydglK2zsIsm3oKqO2tgRK3ppodYhSjiXeMmVuUTjFJleI8wUzGP13YGk
mgXFqZVgoQLByCGE7Y9GkudznpkQHS1sztzYLKhVb9JW6oidW1fvVrtHm2unOgLM0UER5ga9T9zU
g1TxoqMb5XeCJC0lKsqCSaN85UoJuGW4umCByQy76fuN/QHs3P9xIP9fxIn+35FCv2SKfiWF9kL6
X6NC/yrw9zM5tL/CjwwHghq+RPkEn4egVket/Hd2SAIdYgieSoibEbAdjoDFn+zQ99I6RIHLsHd2
pOdHiANhVkzm2AOrIsBxhpTHf8IOYSviLPj5QSsED1GAoJ4IfM4Qnfj1rDCdbsE3yBG9UT6etmWz
cVD7x0o7cd17vjxRhY6s27lOGpj+UHfKS7kbSUz9sfgGHrY/a6zDi51Qs/a+MInmiidhAd4N5j14
EjT/SVktYewVXXUSqhWAEcEDVhvqL3QL/TWF2v80rcDGtZoOhSmPUz8Y0D5SXYU+WFzswWADsV1G
sex7CUwaZHnUgVPosL/umBDB0ZN4LoUm+szM4idFWK3ZKIr3RQ3XedbdC5ekucwUrmDoO6DitlvS
2uv61NRAIB0dzovn7nut78Uon4jbX7wIfeCDQx/7ZV4lkRzpexOVTYrO9LFfmzEm+cTjgOA3lzvR
LWEm3QCg2W5mWptjOBXiXVcvy4UqeK2qRpVhW0KywABKHpTSxzqvhzOQ48jFejU6Ff54s2LuShKi
f/vYSq86D+VUxqM39uArSvO2bbZJjCkkPN7eex37+dkNIXAhsW04QUoN8AQ+X22ZOoLBCdjwYff/
jmut4Ky0ovJPfgBCuV2Q1gihP+i8WbOiIlNaogbFkbM8WFH2Mavw8JJ27i8Ay5ZL4bXFoeEoQMcA
AgXw8e7Wmc3hUF8dkE78fKgheopB2JMbS5r2fjh+gqJCM+ScWOxP1KZk8gKTRCH9EoVqQ3ucz88q
NwK40jbhudvppJEOl25s+MmUABigm0wX+HskFdyASKvwX03YmvPCWnrjR1N4hCjnXFK0JDjnMHq/
q46XCiZlImyXZ9s0qmvPBeFFuRWvUCzD1VRW5oQl0GTSmD4VxfBqmtLeqQAIEzj7/uzg0d3NSyGR
M9lUasS4nOBuuWyYgXMuHQ0uFaSkK07121Cuz0YhkKOLIrgCD7IlZsrB37lyfglnVqeNMIgvyMDm
qUfqKu22tkjsAuRHEGwr53p9O4uVZr7EM8+n1YTsi/FPozafN8gQp2qdqyvZ58WpWNy58UN3Ajq1
3Y+BKNKBYIkEMzEfm9VX0MDp8hA5bD5agF6NbS/yt9GIMgvBrp2M82067pxHscFJMXL1Yjg2MGw9
dZhN9aWAp3pSC+CyVZUQxYvoo+eVd1Xr+syrw5NWZovJForD0DVNFlifHv2mPuvcfPDL3k/Hsb7T
G64f1qTbfUDzrC35lnfiMSDteNjRZkiYW7KE3ZIMBfev4Q1PyQjOMWnUIJBDkeoEO4tfM1Xv7vZw
0aH3jU5BBrrwPfzma3hR4m4k2xQD8AKo5ZHi3SQjm0oMyIGBsKQzVR0kgprEKtegrXLSJYEKptex
YDrLl6E7kNnph2qdAHIvhuKcEvyZmv5oFXfoXsUIB3G15za3JuVNK5FPiorj0OkATbkILl2LogXg
2csAV/tsuyFIAt0ViD/wMJ5E99BtgTjhCHzP+unQkUoka4CiQra8iMuizGRfiMQnX6Gv0vsBhNiN
Kbp3fA2Wl7KsQ7w28h26aOB49LaJ8wjGPR9wJDVlo5OpwyIf6WyQpsD9nCdfYWeWGUIG2H8gsOAh
o7pe8SDCn2TxWM/zlAV+1SVeM+aIPUCOJksJf7mk5AnpgTzGuqfJUo006W0bZisglAPWwnrwKgRz
Bt6RGjJb+VaDu8+4g401tusa19PcxDA03iaBCylqvPAKAzsWHMYsA602NFRevNJAbDPapVZ3+RGS
w5rlXnu/DFoCliYEzQ69Z/14hHX/qRrH4WRHgm4tN5cB/MkRNMprO0xBqvh0z9rEg39t7foGOxA5
vsjDeyimewLdId6apovHSTUn+KxA3ifbxjDyPrgCjLgYq2890BIcvs0tjPcQGZfxBrYXcmkiT3Lg
gLGzy5D4I+Riu2PxfuCwDbGuMJr4VJnlw7hVPGkMMecix5HVhuYkKeyLbRvqBFNjEDsjUBdoXjUP
AZDMms131TB9jyB8AmzA4rZW11vR3w7Fchw0cggb/zrQoY0BJF01xn8rtnBB6ILotHAUKw1qdAJs
6f3UQOQjnb5dOvUkbPuyyPxEkACDXnhtAvqZFe2bJeqE4YbvSlY+FLWfOPDISSUk9kO0obfruI1Z
sKV5MEEyaKqXwhjkCCIkBlsb4gm1Qd8kak26vp3jiCy3m199WUctMhS3faz5BvQMdNG1dH2AcBaW
ga8alMOuDeK1b1yGEh4RjtZ9rJkmtzTEErb76ismS+OuCg/NEF6vDdBkrjYQYA0QAJz8Qel/th6e
Ax4LEBdc1TfdoE/rG/CgYx6OmdndpahaHuHdXbNy9fGLccdauFa14vc1LDWAguaeG6zWZhPZogSL
O7e9fF/jOQc3M0g8ttE6xqUVrxLP5HhCqiC2FOBO2X4s635JGxa+eTp6dFp9GzTBZZ4fhxHvqTQb
ODmj2mz2kAS1HQDF/eVpz15psMYCqRZYhwUO2ZkdUNCdfLtg83McczocNRKGfpuweQlij8KgQl9S
xG4brgMs0XhV9bc21FlV9/2p7bj7gK0EPTeqv4UFVrz2uuUGwvOOUgUAFZE/TfIJhRYsu+hYBCvI
uMmkYQ2zCOzwgK3YIk40zLcRV8/SdD2ghiA42/0haWucYYOscQeBtsUzE7ffX7ojNH/HQIwA+kaa
Ja9xLhDZekk5eyFCj3OY1qZ5K328mj+v5vz9tptdGQhGZzM+zDCUIk+fYcC8w0M4UdCboMrOj03j
mph15GVV2N18z/hAHtCZrjgFn1aD9QJLCPYb92OpBDzxsfs817CUtP7abjj+tBeZTMh1TU24rHFn
ihUs4or9DsTI49sbCHE0cz4oW22jKREzByuNajOmHZyrHF0m4oEe/nn9raYIssFvb2O5VYdqKIBq
aWYTv8+PqBr92JM42zTo4aMBjBwHJYj0ue+aFN7hLRsJ/WwLCsplhg0Pe1ouZ/iy3QRSevCuctrX
QJmBkec+7lCzrs8QvLCquVPwyXiUkAlZJQTA9Q3slPswyNeUtdbDLVpeJ90XGRyI6DB2AolCR+lB
aj4i4ammOHIeeEJ/P5j9XFXZIhtzKBT+YiMQz6RwwJH1IuGVXkHK+Su8wnoCHpd7Ep9xDF/47lpr
D5+n5+0HgyBN3BLDEBSwfqZWRnHk4OpJanmCI6G/9NsWPCIWCp5mjb5EsClx4Jb81PWoHW0efF1m
eE3rhuoHMOIdXSp0oGrd+Wqg1n2BHFQBOSCtpoA8gtTE7a5QbFoIisdpLQsk2HISb9TiwpneS0C5
TGmb9zpeHZ5JcUUHmtFlQHsCpuU4hgP8N9a16YQAZToubL1rOgTIzIS0oNQwDk2gl9PWe3mqWB0e
dejoAT1WlFSD/gAJ3j8guovHE4/Wu7rgT8KvrvCxjiAVaerWpr+EW8divZcytlL6sKiyPE3FCpwL
/uhHFOoE19EhDsU3hBULfBfEmUeqOkxL+cUrRPdetY7iCqFgWjSua1i5d3guT+n/bDv+c27n//zv
S/f8y54dc0kYdGICnetfN+5/nwb/Z6f+08/9aNcx7RfDSMHnCuih+zCUv3fr+DeYaI+JCxRtN7Qs
AQ3rR7eOaZkBvqoEqhuELgTGKBTGH936PgsfiirmaBKYE5Lip/6WY/pFXcHYiR///+eRC//QrGOQ
NOwiKAJRQKSEmvZrsx7MZgJ35t6afkgg/39AuKy8AMMpjrxAfWJkv8QjwWachXs7F0RUWVtGIqkZ
RcLfIkUO6zREl3U/E2DJopYwSTf/BLwBjN909dP1/Sdv9zcdkov97UaE0H1SBAYbfpedf5KVwVSI
SfnuzR7w3MvC+2eXdnGRqOThP1/3d93X9h3GGH2dbt66/z2JtH+5Zununv50Pf9hWsg/GaH558r9
8dM/Vi2m5EJwwBwldD4+pn/uJtiPgBr9r4B9n08YQEWCk7fbjH9btiHGomE5Qe7HZDRf/iQyYaRd
gOXFZCQkWHBMnf9Pli3uOtblzyITeBd83U0IAR6erUAo7td1uxSwCPGk/OTT+W5QACb8iUE7cfJz
AHj8RuTqPqpbcT2u7AvtZwgvemc+fXMvCB7Res/Y6HE1R+YXgFBs06R00vdO0is2oNBD7Li+NF3/
RBZUc9ilc+x/Z/2RRL2MbRSeDUyLMw3HewHoekOi+iGfh0NQMZFs4/KyDFHKy0UjAN90KTIu4QEs
uE06M3tALrsqlsja36CScycFKiQ2kQSYiCkf4xpF79ZIPpcdu9BSQgRuAZ35RfE+37r7SZHrkHnh
tWQ9Q8ERxMEy1+cmLNcvHQNxKAYU9OHi7VJMfUAj+ci9fE2QkupSIOptPMzRVz32X1u09zFioaj6
ZbWdiV9cl/NE0rIdhidmu6eq602sZtYkoYehEw1yZJV8gN9Uxna2B9yCd7TJ51gCW8Hjvf44Aqi6
RIW/ndCTeEgC4GOigiKxnol/kSJqj9ZWYDEn/At/kq9zH1KFgrOXsW87Az2OQICmBf8c9GgEUDwa
cLjis6UAu1fET67hanXZQHHpXD/RowHbFzPd0E8hPu25p/N2XiM7HIwZjhzZnHgrhlvLgOcoO1/m
tftGkLaGEcOPSjYK0cQCwzeo/Awo5joYbHMyHkVpFo3F/ABf4HVW7uxCxPZ2qbAk5Bq+9YbZEgFa
flJflEVF4ZPuCXYqfv/E7hcr0B6EVWwGkHuyx5KMsPa8sjFxjZUTL3Qw57yuxZWQpb1qwACl1QYp
kUXeMh58BnoF9ffWf/4uVA6gS7wD8Crvje2By3XWiWvc/An5O/8VAQ9odLrHZJpA8isfBtKba/vp
SUym+oqJGFgaW06v+wbcGu4ulgbxu2tTIDzUI1KB6w6wdlUvM9N5mbCx3151MIkjBb0ICUZvx6pF
eD2ZS6hkYVRP5z7CzABp85cBGNSIDocTSGwODsq4tu1bwzt/RTIRnUWM6en0tvC86ITwQn3KNeLo
FtjLqRPNJx1wfQu6mUJpUdoaCCyY9xKjcvLPa04gE6FXKW4gZfp3GFNSZaizGBbUIuDcNgOGSyBM
Bfh3cPUbIAz099SOe903hPHso2lq+Dy8Sg5pNui8x6XL7UOu1HwXDSzhqrP3zTaFN7PX0ffMZ/U3
5JrMhSB1hVE1Js8kqvNMYDLEM+iJ4LrcBcjdRM5yH3bXEVBMH2NGRHBZhQke9pYgDntNbzRyMRem
o+1bE9LD2C4XbPr7cqZbMk2TlzpAdpdGQlLOp/CpG70oRhIJjaFEYifYBgS7JQdl5HW3pFBgGXlO
EUV3j62eFAbTuGzB3K5kmxYYo5t+2EzbQoSy7tyPrHtQctD3gIA5epbwQzjb7dBC5bu1EAOfbe7E
IQRb/QDjkevjCCXuwLageCkGQt58BPtjsZLmQfAZpv882eDzjLwrWrVoFQnLJz8rEN9875N93sbI
l9ccYZwoJo3wYyENfY8EDzSUxuZXAKf0aZ3q6IJf1t8JpIDRQivg6MAYlvtaLOqD3aI6Y5gdgShu
VyFosonmYfBABspqDK6hcTQF9E3Cnld/obcNqdsYNVOY0tZ8CGt0KSWd5guotHcEUakYwLp6XEsM
YhGI2WRdSN9j7tCXTmJkTdHir9e5Qi8F/PHeWuvi3pgPs/COtVzd0+rjnlWOX2kj3TeLqFKCcS4j
2g67Z4XqaT3wpimuyFKbU9TmWAqEmLTqwilxuXVXFZVobX0AHihihq+D3L5tCtruVu8SvwpJZtre
Zi21/sFDJ53mjU+RjPa4BwevUnTHCMH3J54k77HleTYEG8s2UlWZcYI9avQ3JwkubTr6yBoGf9T7
f3zp2j8psH6HJCS+q4yDgMK5gAAVY7/ROWIMNql8+VYE/BXf7vOK1vAzvKRXmC3kD0Tgf8zp+/+2
tUDZKljwl5bg37616M/vvfmzUNvnwv3x8z9qNXwjzO7aYagbQY+BsQJoFn7UavK/YA9CCIIjh7tE
KG7nn34gKmiUansyfk/Ko8D6mx/o/5ePGXAY6SawFPAgjP6TUm1fMT8XaiLEy+P7aqKQ72Yg+w0E
IXPOS5ajY4csIzJGl/psyVhA60DI6Kdq9p8s3t9rwv1XMWBPQuD3YKjCb8ZjZ4C0eBEmj20D/BeH
JuYOURswp0FPjhEeFelooWBoO4XZX/9miXL4t08p0YxIhm/6k2CwfscR5mJiA2GVilFg6MM4OX6f
c0yua0oPu3uqmssI5BeQ7JfGC9ihQuwnHQvUmSy34mO1YQZL5ZMtrQX+U6p31vg9GKI8um+5za8F
VZCyUXydndi+wTfS59UV27HzPHtZ1XJRYV9nYumrHUPFDKoa5wXMjQ9wINT70eXRifeNhKA3evlj
x+v6UMqK3+Y6es5Z5G6QyhEH3wbN5ykMPsnaPoKAwsgh50uoMsaNb5jpgLyfW/W5CwCtlkOOTwB1
+FRVmKEWS1eKE3OhTrbZrfDfSJf6VYBxJjMNMhYOSyI3PqtYE/pc5iOLVduLrPN96OnUSAwzG6az
nlCaIeVZ3CIbN2VizCUmrE2vbRV9acIhukQRZiH89b0jGKvx+93bv9wADXDEKMc0nt/RMF5YPXcM
9K5F7ODgldy/8fNyTKyH6WzMb7dvXT90HyERhXERNYuJCbfdTTvK5qxtO3+R87CHjUrKExbiuGd+
zp62bVmAymH0Uwl0+bKNU8ETf/aK1AmKS5j3K0dSiPIDJkSkdCH+Pcqt4oTADCImrrNH0E1+VnL3
NSR1dwksJm91Vk0P5YCUUy0Chdk3nc5CF3Z3+QLzQSBzP3b0cw257npB/uRhcrsS5lAcYRyVyrYC
ZHOyCZs1Q/lx2DwvRtAGjVE5+0ktuw/S84Yb2lF6QivXJBpfQ4oRH/uEJRAj/k2D+WHPHOU2xgD5
FLEWf0zkPrCpGPGJMWnKT0uS1wd8ZebXdVoRyViGW+oPBgP7Gu8dBjx+zmdUrpiKF0M6PBPPrOBV
MD6K8MB7RG6mh76AoRRNrVxiNpBMM0YAx8E+k6pSdnsyGAW11pj85fnEPHYFx+S9fbhVj2lBWJ9o
pEB1LkclqvfbFAXnpXAQ4gJm0KUIgNfLhE6G7QO0ciBaMdTG9+08O0TywbWgSA2v+n32Fqln8rS0
W5njO18xmyvfp3QV29ZmTeAFGMQB3ZKUSOwQE/HTsk/5KvooAlGHyV/ephdo0vmx8DXsnqDh/AL2
hhyqfXJYJcx2s1beowmNf7B6idIWMxbCGMPw4H+EYaoW38MkJmrPEIEQ2eHwPwfpLRd8Igwxq0mX
J15dkwxaP8a3uYZeDHYS6rhiOsmOfmlrVKXzIm8Xr1+vEA5YssGNOgnzkB7pyvnDzObxKDCPJY8x
eNB8DQMBPcVHJr4QGMvWdL53oQg8BcECTRwA83lCO34cK9c1ceBJehdUiBBRxCrTaiWVTEKBcS8E
g+HqBpzQMIj5Pp/qMhnBqp0CPean1Vvww3kP/jJeGn62GEJzXQuYt33P3lspP3UI4sV1I2i8lAgg
u8nqFEKDvbbR/Dw16qIb37+LlnYEFCABitsx6K9o4C5QKpDYgt8gpS4QZluiK8zH6BJMouleXd/w
B5ghVaqbaT54kaJHubTNeIAIEmLDK/AosiYvoGTzPK57SOWQxbs6lX3QHVBjI1APRAEB+6DYQJAC
Iz1i/BxL8jwazs3kM4whaET0ya+cuscIjQ7IVUg+wQVCymSr3MFuOcwC5gr/SkUQ70UPNlt7DGsT
2fkCdoDz4cXI9igWS/EWuzAbczg5AAVubQebYLXl9gLrNyNQpet42BDxaNDtpbyXX6Ji5RgjUIXF
XYAMbzxR2j55vre+WMzLwyzIIXhvQW4hfuMCjMjCrlnKLbxRiKtfSgwfjaBx9HUifQwhUy0asCXC
rkYcYQMJFjCG8Pk8XBnnjVXSugVsxMhhzyMsXjybhtV3OZQkGF2qzBGCKOACDgpvEBMOMfnQB5oz
LshK4tHZHwox57fDOg4HTEYx31Qo3tCFYFan0t61EAVWB6rcAbatwPhBB+3/I0DZ7R04lPDEesew
U9Sob8Uajc8+Zp7dIcpR2JRvC/qr6KbEZKWLKL32NLASeKuu7pcVzo6C7fBcoZw/cg8TGUS+8WeD
8F6wLPR6aLDeGlXWZ39ErNbAKrrCyApkuruJH1hZs5QU9c3akvAj8T199LamwNCHSPJb0xn3DkOM
5OeCohOzjJSHgtDmasrhoUUhxlv065atcOlf5mmf+1ohoxeXogYaY1meMuS83lCMu0dKMNMPbWiR
jF6AGCc4xwOmuWLJjc572njPj6Qe+JkvjTlGpRyue/RPYF21mO4g59nrxfOmKhZT4z77gGQfqK6i
b6jrv4S9F5y6QbVHqeBGt7LuTm3d3a7IXGaoC3DITlCVMLUASNbI3omuDK9H6qENBzs5fAjEf7N3
ZsmRa9mVnZAgQ998lsMd3pF09gzyB0YGg+jbi4sLYFo1hJpYLTBTmaH3lCWlyUxf9ZeWfBFBOtGc
e/bea3fYyEnQ7Gwiugfh++wO/FWInwVHoLxT91laL3estYGp+oIn0boRJozPETbDl73psXsxIPms
ukZ7043J3VjYaDqARMPOh4NXBVa5kwa3qF13Y1hUeQPuNtvNlgXkpvcwPPagSKYi6V41Sxui3J8x
Jmae+7PyOYIVXus8dzFQTe6fG6Ood6bMuM3YK2zzjEloKnjCGbpobmNlidtA4hiFXBpkp3gcvINy
Cp+zWJ8c7LbjRaS6Xy2slOssnth6LOIyOlAw+/jBJKuyxxcy3s1A804xR15AAIseqrzwo3W7hxND
K4ZbVDXe8Uwvfts3d3h9sBIV5oxul/caVKnM+EGIT98FZE7uO0g9L0nD42EzOdM7LAs9tCfYqEHm
6le2srstupC+k7Yy283YjsiTMdATYijmtvJQ9S0BIKNP8vNswK+slpE4i4d2Zia8lcSs5L5lRXdp
Eqt5NscU7CLW6YlxOeTizl99u+ZNbtokGK0ZmEzrL7c61sHtjOS0Psn9eish9LCCmTBkaWA6VcDD
t7J6ictIIZZZqL1JJvWISLp1X5q5+Rg49mvTWZ+2V7vneBHlY5d4w8H2/UML75NQZneGfVUTKFcy
EnAYsKT4GlxNTHQANzE6OxqEmFlZxwrmAJKg1gUbQhZAgpJWvupdS7wXYAa85FEADNWy7pqhNIhI
95dX0jQNXmGE9SbRoCPPqrxyHAxmhoYlfnFdnHGLXhBZ7rUPXcXWpaiD/oedpfZX1wnn2ubaObLF
jC8OzqwbA+TEJsHxf20arblLWs3d+UNsfChV8XuPk4AITsUSKrT8xrsn2tJuzA6rciGG9qaHfr0f
mQOimlcwUElHH0/DjOUibrjwrXxmu2rpSXynpTz1+5I0Xrm03FzjiDVrHBXWEpc4PknbiDVV8tjC
+NsktSUsXkwuBDB9SHelXc1XgV4loZfm6SYYV4wVod4z80l+r0P3vs+Iqx6YNMoslKY/fBQsnuUm
npCaVayJE6ZA/dWC9yU3PoCog1l7/da0ho7Lrjecc2Gb1h4JKMZG2UBwzZdG3BaIFLB4+rg8SETj
IwNBCTMOoLKfBsZ7Impz3HQdFjpnfQ3KdpRXi0DuDTFMO3s91uQBJGkeDb3bP/jwISNIuT6JDJXL
n5p04rd5ZHdkxrP8xBFa3qfGkBwcNTUXe0Zljok+mqdgzopdYs/Bxl+05qaofF4qnbRgn0ymeQsP
A2dHAjv2GlyXHyXZ4n6IjEdQXCrjtoP6FdrOsNp5bOs+UcV0hZuuP9uyjHsSHpr2JQdzuPFHfCJw
RaSN0cMtimNew1LYEZesDJ6LPngyVTtOGmZIgEebvt06FLrmR51MYd1Ag4thsqX2ZxyXBjaCuoR0
YEDJ6kwNlblqOBtWRvnCZ1NyOzf6RZbsm3p+kSAyXTKVIu5P3P7N+8AGzcOf0qltnlRm2OsdQILc
2RhujwCPl64PHTd9Ud3QHwp/mkN9kvVxalLnMuVsJdnldtCmJtfZOd2iPo2ySO51h9gFRTg1LxuW
YXZX6Hhk6sk8qElv7pRyrYuX+y1DH28qgfdr26Z9spvJah3RbZYX0S56FUrQKxd9QTToSk4lZsXE
pVVD9iZci1Mzb//yACQ4eGb1oUIwh7ze9co7efGKliGG4xjAobr6ZM6N92ppQnsuoQVd2x3SJC5N
/wjMLwlBk1mnOXOKO9IUjN+QAV8VHDF8IcVw9Bue95tiBIeu2yz5+tS1I7vom7M19Ry31wQHYO0e
M1mb7pfv1XfaoAykwrzh9WMdjHYR69BLKFD0qfVTJTzalWksnxbEY6BRILFF7Yt35H/m+w6/rCos
r94uRFc4rJSvaamh4MShrRlPhjPHr/wr84YE1BZUDUeitMYkkFQoIZVjPxowCq/TvADr2uqs/fky
85hZGCsndV64A2pdPWVj7BxtKDlH+EFgQ8u2FZscSiAeTPyzh4V04r5wZXAlZeBe4N3xGua/2UOX
CBuZ4g0j7lQ9JGQC97MOkFBN/mdXZxrGSc28g0DUH7O6mvdlUNYnIrMrit5esjDTUtzUTnWeSU9v
C6OBmOBINvkZr3rYOUYMnNZFZFl9pGJ1lHLvEChbXabl6jdNMZ76qwPVBbF81ldXatt2UwSD6gj5
Pwn7RqtC0vZpWJmdubObwTkQsuS3vBpdHWbQFaCM12m1wVpVN2EA7uI+kqM+PDeWY4XkqtH7MvNG
dmN/q3rPx92o6Qz0q+m2M1vMVc2Yl8B23JMoG8YzeGfFYZjaYidXT6/rl/0ZL2S/awLQYaZYB4tM
H46CG+2GF0h+U3npSXnCOopv3/A3flitZuLC1mpQ/hke4bIDiu707TaZsB83oC02Qvk2oAFMaeCp
q9DkEBvZ81RuRS5ZiGMlz3fkkW1rY6xO5zIFv5RluFVmdxAfbsyyuZP8PZzFzXMxAgWX/fThu2oM
x9VMrYAy/Sh4Au1g4OunMShxXq8e7Hl1YzfeeJet/mzljqshBs+2kZo/sICDj4YS1KzGbmL+eLyN
lYQ2FJW3R1WqIbbr0L5Wd7g74cNZVIxqUOawt7HCveMEaN6FWyNlrj7zZnWc+7Vq3oi69Dsp83X3
Mfozeg9OdbF61u3Vvd4YXXYd9w0w3dXgPs/wazYSSpVPlkuXe9vAFA/cyNlgeorAAwAzCfx8G68m
ekEIZk8HgPhInax+JKDMHd0UJDRXa75pAYXGpVichj4QB1DoyQWpLN9Krw8OLmfSFwuSE8dvfTjp
/rJsvG/tDeCUc2Mnyb4ZWLfBEK0fIeB3V+T2i6sSp+4X+VkUvaR6WabGPgQJGYW29+2QoFcTzgMJ
Bln046lLhLaDLdTxLg4agzc85iE8p+ycHCvfy4IH/JyuM6gnBM5Tcw0zcHZSq7knyQSbPbfkDncZ
+ppWGy9zqtDCNL+EppF1b2YvkJLcbl9ATo5GgoFhbUMFpwRAoqQkGUfVViFXFWjKSHsD5kbVOLh1
XWjXdT/tZ16cJa5m291O/HbggHTIoJmLyAXlTt8hwfrnvFDjSTPneesJ4kaSa2NnkKff22i297I2
7FsJ52xPYKzfzQnTPcfmhDVovoMBHj+JhvHfYy1wKNn55CUZU4sz7XY9kW0aI6B4IFGZhbwo5vrJ
4Tv6hBpb3pkjTxk0fJxlKNiy3o1N193Veq1gmy/G+CZFjcBiZy9F3jzi2jcOgY7X0it7dZ8vp4Bl
WwSAgH2LHvSsWPvshmP3vGnmun0WagG75mUVgrMUT0Y+uqc8cKZLraMwsiNK4lMMyWjjNSo+z015
Yq69qReYfdrYzHA6wZskmCi5TFqJURMK+7sklvKDG/OO6LIZMdWVHXNWcO7SJXli5VCcZ0YGfg+8
KrZMuDjph9LfOabdvuX0b8gseBR6MN/nqYuzkVKIX3MxdVtNH/i1Zu5ytjoY2NveySGEJ+a0KVx/
hlmd/QllA6zMO6Qw/nZ5XVh7IjRmtmGJ5oXfUJu2XOwrd3L0ZysYs6NesShAT1T8wBNx/+PfETe+
mu7y2TGiXie/vjE9AiZwBGks+SPrhgd1jCbY1FtbG591j6Tdf867iRsgN+4Q7ByhLWfN99KbRu/D
JWtBopROkvz6Bt8oh02FyJ27/xf8RtileuHugaW7EnCsoZ93eivSjVehzDeTk+y+UTjsPooLToDh
trPN6bktc/MIkiS4igG2PX8TcWqp67sZytrN0BZe5ApWs998HKz3BDuC8lJjq25zUBYLq8jD0ATq
KvYaHnBqdi4oLPkLDoyq+TdGDgn0Q5L42vaPoJxajhXWBFav27/TcsplSH8aOQfkLZnQaY0b+Keq
yqFh/A2eUxnqsyqy6omAcg09fKYrA9wVw2qh9e4hyLX0ENtJsCcy2lz9EaxDxrZ8aKz1Zd6RQVpj
gb/muPvAqy/Cv0N2inm86ymzeRJljPM56Kcex202zodJw8Uh+PphrIzq9T+G70yjsRwwYdY33wSe
qeoDxlQx5D++MTxaaiWPfPLe8a8onixhTQak91lSV/MbkkcQ8Hp0rTXiWDYjK8EBYK3L0sOaJywH
aeJmIGqq+LQQq2X318i3jAPHVmbUrkyaxe4UftMO06d+coLEuUraxAQo4FhXrui4F/2EISru1dOw
lNN+rGt/2SxG64d6D8/FTleMyYSkHs1Lad7OgWZej1hqXL4CVtXJb2y5fHp+WuMOdRiI2fIBf9C9
+97JKgIbvE81PVgey5JLD3nYx3GeudtRS8V1O/rJwctgZ2FLcJ8hXQQc6bndAd7YmJZlm8Nv8frn
Lg/IjvrOlTks6mZicoCSqu1nh2NK52CJ9nkfh0lv6bthJcGg51wHLqxbshQ48zEj7Ctb5KDou1sw
vzzwbcCRz0HV19dwg7lvpaoukBryiCCpnDaZmAXunZiZ3Lqt9D5jDbD6b2P4xMclSJqj23XaU6aT
ey6GSWzgkAoCLt3ibVzZ0D6zTjwxRKZwqAL92FOI9JGMU/6WJvn63xiSYwRtQ1ETsGQ0gF++TYnB
es3ijWbRq7BjZ+pvFed5KjB05yvtW/kAfCh9WVpkPgKJ5tnnyn+C+2WFqRr6117LpgNtMyXUwZq0
gsIrPM2M+F5qzxcvsbu3WGMmtqTr721+7q/aGSdOwUHyGYzTvLUa7LeVkOYW9T97q93uWdMn3hZQ
y340dhPvOWmS7XW8Yz0lPUH14LFYrd2koK3Nb5VWHAbdg3Biqp/iXK1WNZqsiIGLe2HG/k6DqXC2
ANT8+Fa3/r/K/l9oT3ORY3/TAv/kh/xfcmiISVPduxZ7hu/18P5B9ejv2d2/iO3rX/NXsd36V0K3
gY4xkn226bI6+pvYbv8rD2bEdo8FJzl+IDm/q+1k1cH2e2ttL5gWfBf/pravVbI43zgmBfq3Sv/P
qO1/MsiigRsWYseawcVY7P1RA3fnJIWc3Gxs6W1Gxp2pOall3Nf5Je85uuOKUyvfif4ryBX/iQz+
jdT/g9jveJ7jftMCPEdfhdbf7Llz7FZNsrQ1Mad6uSG0WpC9aptIETjdIQ6+TzaA7XriCZ2M6HXE
/zDwdpx+e5/jJFwEmBk+eE2dDWA0Anrc1ibdKFUa/FKTKQ82EzfPU/bNDQP9oJvT4bcr4D/yEKzO
1j9I+SYYHZumBYceBhza//5ncJWW9fFkoedBAniViRPvp++Ngt8CeknEGCa4vY/WunngcGtd05mx
bDSH1KFfiHYX124SJtpoXjf6XJ/i792F/73HSEciZM44Djs+o59mRpTNccYZMoyuQnNdfyjBo0rg
EQirkeQmZ94uapZc54hClwk8vHLrwN68k+74sFTdjZvMQTiuy5UkN++xUBoXEQTjvaeDDHTSFwuS
6SabBtLTc/LCiK/YP+mENTLjkmXs8wA3kCWYgouRuuT0YoSRgg3OJgawt8HG8GYnkArideMjJsBt
ZtfPkeKnoaUp1yhDYytE1w/Yzkp9KRVc64Jun2ZcbRclfTvKNl7FOHuc46zpDmQWhQYig5ktbWvb
zROG2ZiCpEH9dIc4RARLN52GHJDw618bEwwBaVAtHyptzo5fNls16w0zZRMwkcVhbiokSqihmM4p
jNE8ciJrjNUbLyl2MaKO8p6I6FU5WTc2ZMRt3Rbv1jCBtXfSL+HPv7RR+1iW9qEZi5su1b+mwCRa
rajx+hDs39PWOgVFfasZ8SlZyp0qu7MC6I9ExUa1rtalQJMaMHKDe80gKomyHS3GcD8NE3nbjo+n
9+tbD/IiNkYjDDo39AiucW9qn9D3WI11/gtAxLWKCXOanXw4RXLXFe0rlhJyXDGOuUlEuUGKTdNu
9ZI2rNF2o0W5bcg/v9Fi98WQ1QcUzmtzWc7xuLSESrQ9q8ofSa4d/HZuNkmDw9jrwhGGllcik7rT
kdz5h6fnUErSvcJLzHnxx2h0D3VrXRfaUB76eg1ADWIbz5151ofO2E4OhLihuTVdsasNgqKijuxE
3jv8amZCQXnLj5Ta6UdPVZ0QSUQIhxR8ehRFd1Rmslv/t8ODyVmmfbNy93zMI6xDEaRS0pZpAhM7
OTIS7MXEZ9E15wS4/DyOL5WGsaVutxjDrwj6R20TW5Re0H7YVfYrFRFbY2oOdZIdl76KqqKn86HJ
9pqprk0GCmxITw509a0sKrpM2NTTVpbwwTTEOo1fEI0OlZt/wAO/9HF9zULr7EuCz6XxwPeML29M
P5JuBHkZnIVXEvv10g0remqLHPfaN5bz0MtTr8YXP5iehSOpABjyaVsvzrxlGAGPwrmS1L01Rg20
1E3s5h2VWlVz6FqoTGJd6lat22wRKvVVT2VFqq/pJHFri2a5rEaUPZ8S4ccGsb6KKWrkruNcu66N
K2mzQY4dYqK6I9O7at0tzzB1bip87qhtLBOEoqMgmCr3tuuwopcG51wie95x/F5SKxmUrEacFtRn
Ix8k9sgoKOnHCnW/GHZyCtrXSpn+2SyksXe7qQnJ6It3jeDqoembOqTyLjsA1PfW/J27w+OV7HQD
XH/W6NlVuyzxvkEd2xVNgDSvrYV4TWMTCvOv9DZb6/1SeVR2ke0CKZ0NSrhifaJ5d6oM5jMzJ6cY
UDTbwuEOHAwOHX1qELizAZnPPZ9kYmFDSeqWvDi5FLamGFIy3PtP5IaNME5xEej+7dKbdFbwDQXG
XrMTZmmyZJk46Wgmtt18gZEK5yqO5r48s8IEd8psW98PKC4jyFi6mSINc65VjxfV2lnoe9q112S3
esUBsigumlZs+4RknandOyL/Rf5fxt4DMP7IYfVRoTLqs3fWu/mdNOGHMdGnUa+bXbspbqx5Oeld
oN3DrH/Og/gKoOmBnNpPlyRc5w/nujJuPSu+F8rZ151xUAUcL4PFcS/9o0nCwYxbgDQl5hE29vSr
Td4zIvoV70/8d+6mGtLI9kkmUhh31UzjK7Dsc2A3T5YHa8FDYmakvtNRwraePYGmaczjUi/apl24
emyfVky1YTF/Qw72Okac7/1DydsY0g1h0VqD3DRXbTTb4inmRbCpWDbVQ/XW+tmHOTjezs7UpfVK
YPhD+0RY9lYN6TXAHfkzKbP9mLcBxujx3IE62gYq3jjCYDct76HsH9I8fqun/WLEt0VcP7CGZmmj
5Ue4IEcPtXcjfQUUNzgIsBlpMkWpfMgdEEvCjCbyqipz97njXmo8XyggpR9Vg8TXXzldVFHDstGt
4kH65YM/0CyqL/ETXIwe+09yvdSk6uk+QNwJnUy/mErcEgIBWVqGTe5eOWkGIdXEAxYz6mMwBrJd
3Qv6D8IhMW5Y9epg0OdfwdKm+MCw3s8gksiMCd5/aISBNnxSMPRZUYJCK4X9NTT+y+w41cmWyc+B
W+NRK+2H2f3KAfY2Vf/BOinq/ek5YUPadfErGshznoLsH27ZfxMxd5LHZW4fnSrngm7VcVwcwuzL
cBtr5cJ1XDqXRotncpBwqDUv+9k0I9t6v8ijGd8Vu5IkYob+oVrOTom2GwPQCIQqvjR2oD7dFjX+
srDxnFtN9WfEAiz7Hf4byEmEuOeXadB+aVgfgmx5GpwaupU6NTiJZx4bKNOkBhbt1mf1OSTWm1ub
Md4ClFgyJfzgwZvr7m1s71rV7xNJw1EVU1Moi1eLP8YBa7wfBuex7Nl1YKB8SIO53gpdhqr1TwuV
M2Et00OhPCYgf+fRS5wbxT7ph2u8Ze/paD6UffaljRQlNLEeDUC9NnPrPZboBahZdRiwb1u3tacG
SdhPQsOm6qZAhF/oLGWZVmXgO8zup1pY0Nu6AfPDB9cdd58+AI1E7fCgfIIeOc/FMfXMfZD5cYgh
po88/VGbBP25glnMSqarfLC37eDxTEuete4B1N4BiuSO6t8c69AEn1lzwajUr7XDYJWMO4PYzTj5
D03QhLyNPjq7e828iS0kyYMH0OjMZwFkjUVHjdybnc3AzW7908vTcwOxKgfUwVKNvPB+8oHmUKfK
3MIL8bm2ptvUErQu9XAYkra5Raf72WtztvP7Bb4AiD58DslPM5a3Cz66xXUOfUKuJQWWOpT93vfq
CI3GDj2nnc9BxYONgMyt0+vj3q7GaGkr864RXAv+oN3B+TrlMf2VI/Hz1jlkerGAUdWfNOE9DlqX
7cks2LBBLP+s9XYXunHbhYXjbXvLf8xtgt2VrQs8CWsUyii10AoMbZvU06Hug1V1B9uZq+ZKpxJp
BJgLxsC6YwkyUtboP6aac0iX+oo352lawK6KVT3xC6u+VhqR5B6EX2R64teAb457ZDFO1kyRr+UW
X45HG0tOmU4xAuFvFus9N7JrgjZqq03dqc6cB5ET+iZusWUHQ19Rq4YNpmvn0s39VdvYLzGiVgmF
BOnqZDcM2EC2nCvlL+UhX6ElRcF3z7FoCEcWJnyBY0Zm6kuY0LVrr+ATWZEKsOYv/HfNE2bceYOm
MVyESi80NdIZPFavhZUeSbWZ+3GKczi+pIbhIjBuAhLJVwQLAeMLDsi3pI+/AEiulJa5ZJGZfc4r
wcUH5VJ7MF3UwOu6XzkvNE9OW18DQlAwtO+oM47fZaNhGo5XSoyAAnk3eQQsvo856aoHdo7PwTRf
VUJIq/229LA9W2s3xvKtJn4fqWqt5wzVcf1pXt/eFMti3rWrFMnV/jl9i5NS0u25CpaQ8MXOlT2o
n2WR+0ri7ZpWdZO6Gu+SuyieUz7Kvb+qoDKB6B7WloXmv9rw2PZQ5L1ClFw8sUfojOoJyo785DVn
bPt4FhQjfeutZYpxJ4wLK3joV1V2+BZol1Wr9RBth3wFpi5LCOcOTb/yoKm0iFHMQW9lGdwStcL/
IiiU8HJOkDnBb0HBz4ZJC7Sbz76JhA/m9NlorlqbZPyyQjbmmBBOR5XaJutTVOXZOVFJTRjX7ScE
BqCAFKeoaHbySEsRsloi6iHWgSxKCsolPYAH94gtwUebrw8We5WvrUXpcNwIsLeSUczX6uH4nfDS
aeDbEyfqtzPbfL4z5HC70ptzN7u/2AP24CN95+xO2WfQQIKiPSA/57JTz0D63tpUJ5K0yuz/8ne7
/7j6+w2FA8ntcbzARj7QXebu/uXvNn1quzE5sgNgFOTnh3HEOOZzcswr3jvxxIcOVar7i9/7n9qI
/dfaKB//G7WW67fz87e+zL9+e/8DjZX/MB9sAKz8bRny53VY/578n/9d/7v11/cf+cvqS/8un2R9
RTjE821gkGzF/pYJNtZtT+ATmme/ZXq/rb7WALy9bswcG4u9uyZ1/7r6soJ1YwZ3zvFMtuv/JHjO
N/4UNWH35pnuyhZ2ILD6f9g+0cjowLEpf82uwgzYycX8pcfTU5EEI5v4Kr+A2nrHRjce2ppkVWAO
+UNb0ZCcqeymXaH36ehS5qTbIOsKeBPbKfW668lOO0ZFZ/zIWpLvbQNS9RtaRvWNceEJ4R510PXV
VrrsWVqcoyHr756/zCfShX642IF9n2TOL3+ciWCUvWAR7Y8HRRrhPJOaiUhKtNtYB/KkOqfc1a47
3BHsqU68/4frRDQ1wOYJ6wi9XFgvBUcobCYBlXq6fSjGfI9WEGw1b6LR20tn5DHCsBo+bb15mfEO
3acWz5WOeqVQGlgQ6bObt1iCuq1S6o499/u44B5KoM8zN2/wZB/hm2q4KnLzZxIbZ03QFJHghaDh
6116My/7ORDbqp6fhkHdF6V8p2DYpstvWK6LddSTOj2aujbunbLvj+6MEcAd/exQ5oB1XKxh+2Ke
UJBF3Z1izGs3qmqrbZDSPYFDiLIman2pREcI6WrvxffkEqLlyi0zCnYEFL26nSEzmXltPEtinPTP
5eWdXlUEaDT7NCzSvclkEJ9ak/Tk7IwRM8AQ2fqU7LRlGLZuL4Fwdd6Hm4gjVvcENwuONPQbAoY1
EOWkuLbJVOGwwKxb2T1yhMeJNXd56bRzXlxh9nqWFqp4lVj6QWv8awBv+XWT65QSF3kQpZRKV5sK
7Ccu79T57DxWox1rl3dH65urIR5Ql5htBmNwrrGtySXy6lH9Gs3mMrTzTLlaXEcN8I9DPo3po9t6
4D4gJMGMabVmN/d5SgB58c/Sqsy3us79KBjA1lGEvedPPXsisyKqAsSWehRa5GhyYRE3aR+m65wX
8IwRiYAaFBeNGZrLjzSDJKGfTxN7xhVxLNLmWfNdWoxsu7ixYSIfkqF4JIbu3TnsbsPEZDMyKYjJ
yKDqVBQ9NsgSbO9Cx/MHbG+bkcwYNlNvJftgMt5xNlJhwfYJBd/5yotk+gXsoTu6XhlsDVlC1Wnn
N9s1tf0g2n4vKxe2G+H+aLDl8zI7+n4mJHJM62xBnNE3iW3jza1zYC60TpR57xJQn469Jep9Tcqq
wyQddkFMiUJCY3jX6fHPQlv1LXrCOUUIl6o2ODf3eudynSrr1dW0OZKDM1y6CbOSJR1Wocsq/DYa
WzozVjs1KHuTNpodtXHKV/2FlqVN5s3ux5ir4IdazQM5PotwsQ17p1fmfS6F9g70R23TRrcjKqbB
/4DluGWsLLjiKiOOaul1X2ochp9+lWfIuN1Pi+xYRGNBc5RDlX8Ui4NTyZSzd/DLGouuU7zFpVWx
ca+LG1yPZAAkbhvX6h4cas1W62jxEOC8IMPtvhl03u06oqgGKdkdA76xxdbl/3ABCm3TeKwe9CR1
H2LIQg9+kd7GZv5hAze6KxnsnlvP5ySixRUEcBMvce/N9qMp2WlbevfsdDaVqjQJ0bUx3MyJwQDG
alc6nM4m4JBi8dgUs1fCp5tGsmczYCb2S1GiITYzmBGvT6k+T8aI5gGx0/GyhnSbuI/a4HKRD/Kz
yyd2TPWQFteWKmuIcK430KyVBz9zkZgHmk20K4uDIqVZvXBP40hzl1PxfwbIMi8cZfgugvJeT3nm
0OgnTqbghhCGlCFS5o1q5o8JvBoJIlm+0N2Bw6FPKNKmVerQDNiP02JMniwDggMGt0PC2fLeXbj0
spi6RoXvpuOeUHOR/9BZ/T3HfKKcLUV7oxsjAqUYPoyy43fEI3WTDvhNHNgrp4HqpKMpCV1kfptF
rdm1t4FBFzeWbVBn+qAlT0seXPWTyU1UsLnM0VNXC171C+7XR5UKiIzFVFbg2vz2ylI1+oqFSw0w
t7f/rUzSpxy92oikXU5Qx7nsVF+BL/AJ5D0LPMFEsKvkq1m8nl4ph9gBYEsIdzViO/UPisN/61Er
iSePa4BqEbH9B92SMp1vjAnk45/6JQe40D8qTxDV5mX2D0omrbiUjxSEuF9Wic2fMnn9Fce+sU80
CuD/2jYJ58p5mNmN7FtVa4c/1E4OPbE2jwzVimoDULms+4O/FVDai50fcged1hw87y7Q8FIVUmlT
FADfhkivr6fhrv7VVF51yUYnfsYt5V2bEOgec9e2Lmbmxm/UksioiFfw01DrF2IxWTQ5q38N92ke
m9alHMR4MwilX7GGda/Ya+kM+ib7FVeOJwpfcUgRK9tYzhAcibSiTC+ZHyodjl1GdPan7EmfBV6Z
bTk2Tgf6KxtE7kDsxomDkizLuN0Q7YoBXHc5i1Z0omwj+rQ5Nn1QHzElwBvkmrnJCoD8NIq++ihU
F2WW4iRjX91LL6O+fkz9KZy5Bun8rli92stI/lEZa8JmSJjDe+NHpiqudcyMNvEjn6BKvmTkXcYh
qKN6yYtoNJP00OHgeUl8j9xYDSI8mjOedOhY7oa55I390q+WwryPBqvmoWQ7etDWlaEOhPcmpXJz
5zlDdV608YqmDXJ49gBigtdgctItQu+F0DxidJp+bH2V7/2R9X9luJekGTNel5L2Wc6KvUZfKnF/
vVo9lsp+ctf5ISC/yVhIG2FriObLwnm8qzxk0V3iSWNLkM+N4n4ab5uiKzt2++lyYqvgklAYLYy6
uEmkMsrzNOYnjwf2SQ7wXfgVPCSuvBJcs2Gmu/QHzmUz4LZW03xH+N/e0gwDGZYQxi7FQH5d9x29
IUbt3s54RKa+kZhWTJt/hqhOkfvBnbPGd+jBw9RCy8OEb3ccLlmFLXLD39pf2Wv8R1+DQBTeOnu5
hoOKNSa0rIGhglf5RoOtGxprnAjY2nwPkyV5r9awUbLGjlyBNlfhjGL3J7vuuWdJN+mlw8M5ZWms
D8W5BDUWJdRJh/EabWpyf3ogkEdo+Dv5lC52tU+8yn/T11zUHCDntUSlyjU0xZaqOXMg7fb5Gqli
gUe+bCRm1fTaHT1nzpO7RrA6yl72reH5TyiHDSSp7FZ8R7Yo7D1kNjEuSZ6LJp4QhYeEV4GMd8ls
JZ6yIK3IXVHlsuGZ5h2KbFweqJcu3jQHxbP8zo8531kyMnJXTB/ky8guvQNnr34Jt5geIe6VV0Bf
cHvUVJ/vdflVjvTGssYyVgArHrB3HEpwd+taUHJHA7q2dZUbofu0ZEf+L3vnsZ05cmbbV+kHaNQC
An54f+/oPSdYTDITHgEg4J/+7uCSSinpdl9prhrkoKoyk/wJRHzmnH0Yo+/DWruiQ2UZYOYnjEFG
11UnhMbsE/jb6aaz+IZ6TV6yNJH1jovN3QxS9m9D7QXHRTrzNkNO1FqIUvlRppe4Dcx9ZS7OGeak
v6lgp7znXd7ckAdaPjRzDwCXn+yWq3j8WTaKmidIuvqSwvGidWnl9GOxq/RIlJHcmDW3dGE0/Y4I
QW3BtRp2SdKzmYcZv/yhHC9CptE2JnIQO0TJcCBrIFhi9ZWselM6/QBj8FZkCgdjkejFYu3h/yAh
kgyWKi7zX4Yzp2uSUNM1m7RkH3iQ6giAbfAbW69VB/JnFbOxXi1AcJia+TQJ4Hkgc/gZU4vBzQQZ
vWIY4QHVyT20grduIt4vNGdotz1AkU8UpNOKC4V840a7qf0OXbVNAEFmKnfv+XF/wftAhOn4Pg64
fCwtKmA32WAyBRpsmct8rqvAJtgdSCBC3mRT2YFx4H3pn/xC3lpp7l3VcRgdW5OfP7Bw1nQeRfGq
HqInpHO0CJZxVds12vDBX5KfFi7sQ1fYOMpYRlpj016w8CR3IH7wlTjNCKM2KCdyG1AOKrPwHn2R
NC/EySCtlwkxf3Zz6iJAh5KE94tobftSlx+YlJajHVkPvj/HgFtDjQo225W9uFcs02tKg1/jYvTU
pMXW4Prbptj+vKVnrMbkOL8aZuuSyBLjZuUx8q6Kik6TsFXSQBTXeI8xN5gWD78TGalWGWwwWVj7
sbPkHl8G27iydU7eSIqLNddQIykghUHyBPm9yy3L9Xc5GdY6yVyWU4O7/u+4R6lmDaTJN803woBA
c+wt42Y2R1YASP/7lfKJ7G2kbQLNZBccZMgGpMLj+t9RXkd2QcjzqhtUEm6yIGNCZ7HhOwB9aVYM
9cYnv7Kmc5c2xb5xknL3H3VU1aXd/P9RRwniYdC9/M9oQ7xFfZV+fXz91062H4XWR11/DB9t+/H7
eOgvf8xfpFEMiGzBqAfLqwBaiCuIKdCfAyL+Pf5T07RNl1mRDi34G4kE2IzwTRdqnANz5DdtlPUH
mig0WLgViUsJmDj9G6xDS8ey/L06KSCKBjIdGQjMm/5R2fO3hxXkjrgaQ2BAUYiox5l1emqdfjX6
eQ1C8sqjyqzfFv0kN1XsHWv9dP/2ef4/hEYW3/E/fTW+CEG2CBNmyT/GJPzt4a9tlgeWO36l7vwx
5kgjnYqgIKmf/jlg9uDFDGBjncTaLzA+YAwA/UeXSDYkstdNo7hUEPr8mnPmO10i8tP//qW6/0SJ
9EL+HRssB7oQLJfvyKzfdF1CNm0O9SFdtaMstmGh7k3D9E5Bi5F4MMpsDVH/Afh5sE57BggBttKn
2MNWwBAFba2hkV0rO/UANtHoJbpWqyjacmdEvKHrOAzK5rHQtZ2lq7y+yuVBOVK44CzwmfWkaWu5
tuLQlPXWYLCy74OOJZakdmQsMW+ckZF6jDDgIGBU7DjSGXAP+UyTWLxHeY9BJeUKlLokHUMWEdsU
x9ULkpSE5oDiNV7otZYxNNe4seIdKY9P81S6FNO61J1TOoYVK3gqYDOnBBsGC8dqPMTrYDJ/KUEk
BCGH4EIMhEieLqHbaWzYyafNzaiLa/wF1NnsIObPnCD1HVZI2lMx8TNDXoYgVBfpvi7XyzCnPTCz
fRf0ACr9ftsgu+HDV9HMtwwp42bSFT/J49PVxB1zpCast3yO3Zb6mhzG2mdTFH6lE8HmDPxIgNRd
xBzK9FN4Gfr6rgfUEQUk3RNmoZNwoLz4DOMX3okuwsgD8Gk4tana2GHrbxi6mtjzaWBcVUFC87IO
ZT7tdNAhm0lnJ9qPpf6UiFJfN9Vs3uRuEK57A0crWZ7Ge1zhBBBZgZyl6vI1pSziFJvFTY8985bn
a/qodKelxh6DGeGR9yRolie8P8jLZN2ilF+aSzz01oGAhAGBbqWI85C9co7Us4SQGlPWrxzDYwNE
PAil0EBDlkAD29eazlylZUB0vU8T5FIbbZA+o5kZ4A52TmBdFmvM0N3UP+JCUo+YfvhEQYW/Fh7g
yMxw1ZXVDUR37xQt47AbDJKFnbF1ka63Hlp9N2X6QLA1TdaFnWu58hYEUdYQXzEE+ZFPvofSyB8s
DNwSd0zZNh1ge/zNeFSJ5wGKaIDQQd1cotq6tqM0+zCLobl3GFOQNOk1V4sg4IoxkWseDScMbg3G
Pmsh/AQcW/ZFREVzC9jb31ukAJxm3M64y+P7yAg+RWySF+sGyWUyursyrzT0sfMf+mToN8I1wKrP
ZDx2ZtJfSiLuL67HNAMOa/C+CCxEYONaru2JqWOCVxJkfnDwYj7oZg4wt8eLPJiFnW2CZoRUPbHK
HfrhprQRU2CGXV4wJbrnuAunXccU6XrArvWjjBkL8fGPq6F10T5C8XBHKz9XTcNc3GQ4NZsdsSMU
zO/ZZNVHj3rPlJY6SaArqzL1/dVsOHs/d2oID11yQtPHHE47LsmEJdIQoSko/NI89Bn6vwgfNRqZ
yT/0qZdtR18tm9YMkfT70ZWl6kuQzYz0utIyd2E62ee+VDzYnB2YOp32rm+Sr5mp/Ms3zc10Sgcw
RQ6S0gnSY4y8dUWhTL/F2w3w27LOOUxdrYW9K81SXtCF1tuypdQGaUAPSgb1g4pTrMM0A/s6XQ7h
ZAJY70W9c1L+3zwq+3NqdGgtDX98Hs3KIXM2h+6ue4Hc4AOSyfxRTPTrRmQxPCvj935YijOPpktm
FeHHpFeExx4O5qfsw2cDKfRuHHrjTPRKSpp1kN3nagJ7D+MPU+EkbmlO/JViQ78a3fFpsIRW1qUf
mWhucKOA7lfJ1p0tdd1Mtk2PRzwVJIefjSdOZEr+qpiJ7QOYCE1avo1swzdIdrPPoCunS+n45vF7
VMrB5W2CKscTSiYGlO1gW5YNFwXjqI0SotibFh1+kRP3RiAyw3z359JGl3xQ4wPCZq0gHH5hLdA6
3EHdSyXccyUL+UO1UQrqW+MJsP5DdQ8vJliU5zjKm6+JnNftQjGM19uPN3U4LWvcImrl+ob1IAPs
Vybhg5tYXbmjG96mnRm9mC0d7GDF9ppgmfsyz8l/9sP7wlieEL7U64RNB5ZJ66cfi7dRh4L0DCOJ
ewz3Pp51PiL/aa7Ct6qpFGPGCQkVKpw1/JtzbEyEL4blUS6CN9ybl72fDiRLC/tWVkt6LgPStEWA
d7yJGaPOffuriE2dFacAXUxWtq6HGUR7PvxoYvNkc0mxpHJ4ITlMkPzW/BSb/EfF0n1VSxeoUEB0
h++1/rZe2vZmxDB4Is4y2EYC25k5IpE0UGxfK7Y7pDUWSPUM377ETSBOwbxgTF1Ue7+04Xzn0glA
FyIlpc7mdW4m8x222nmHPoc9lZ+JC+gKTEGzRAcyXSIDpSAivHRLKiIwR3RQBgNM3rb8LqhrSK6R
nV4yJpureQDUVAyWvQ57IZkykcABdr7feVEH7BZHIasa9mejLwakU1NydIo63bRz8rGMY3HsVDmc
J5JDGeb6/BRSH3Gz8eba6QdCQXpRaRXONs1hxmDtITja2/SVGWB0c8L+bFhY+PkQo+tIee4aXZxx
rA2KrXlQEG1SCZp9TLr4xAbsMqMfv8KFfGHg1l+ZRHXpU4ZRl8yanedA6WypalgwlO4LeUg9Bhf6
F+bis8B6TFc9Drn52td9h1ree7VN+GM5Z9UhsfJik7j+bsCatnKKMli1IcPlWM+OgIOZ5yoasxtv
RGDXpsjMMMZN5ir5Hj2xyiB7e6Sxr1HHMS8/1OWU7RsPxkqnh1eZHmOBpbLfMGZ6h1gPuarveVfJ
TvK2NzzCHnKcRkXooGf7T7/1r/RboWdpwNxvZfc/bd8vH/91n8rs7/qrP3/bn6RHLMr8GDlkWG3A
56ZV+kuDhS+FrE926bxHPHiedpj8tcESf3gOO/tvV4htg0D4cwPv0GBR2FPSA5n3v4Hd/0aD5Xja
XfJ3HZZevAufL4zKAxWA7sB+7xOgX5gSWBLvLOvPfOGE91IL22lZh5dy1hRIJfeLEIy80mA8xwCP
r8d0ZEWW+AD07K8OWP2hc9p+1UTcB3pI6uo3ABgJZmReisJEXFvo98TRb8zCq4PVvVuNVJ2vamLe
0oT1Qp1JIhDGCmarS7C4L8PETGb27HnLOq/ZEVjLSEq/s5V+e0nNujRYIa46XmzSIeITmULGO956
j9mFPgFKfRYY+lTQA4zrjLTkYweMEC10yvFh6pPEH8c9rIYb1NycMd/HTdQnTF2Nt4CDSHoL/kt9
Nk0Vh42pzyvmku+QiDF367Ns0qdatFRqDWXMORKfgTZan35Kn4OJ5cpVUjC9w3cKLFmfl2RipJdQ
n6E9hynVBD2Qa25bfc7a+sQVdoccgUMY7JREk0vKkD6fK31SK31mF/r0dvQ5PugTHVPQu+ExuHbI
L7uHBpbvEn0DcHQ40KC4FZRlQ9ItuCksfWdEUYsxT98jk75RuiBub6hD/C0Sfrwc+uaR+g6auIzS
jNqC2VOKJpmbytF3VsvlZXGJ0eswt9X32qhvuFLfdQuXXqtvv4izc13pG7HWdyOFxi1ku2wd6XuT
nzYaba5SArytVYtyWOpbNiAXbuUbXPELVzC111Og7+SOy7nHTUpmEPd1wMWNh+cnXEl3K/WdPonp
KeKSr75ve679Ud//cxW4e1kVpJig9F/DTLV1n+RvTK06HJLCQngGioXN4g9Yg/YZ5RhVzsei+qfM
6wQ6hUkd6zz2tsWcBZtOxsfMrg7EgFfvrckeCksyvRwh4tgRKwgv4+sQVURyqfhGNO6jNdpPuVok
gvyu2iemfOjLmEDfkNRCv+pQiSIs2xHK0CDKyK6UN72g2UeXR1uyJXP2Fn8PyGFUxFRabnTq/HLX
palzV0Wmt6HMQ9zoaSWziWXyONdzhdRWKALHqsBbNwiHzxlhTJu4V/Js1h11lJ/Pe6sbHmCuvhfz
wHe3vKBChufZxp8uO0vYqwup9763tlNEa0bss6AwGPkbygXsYIGvjhyggn5oUkqo6cxSGieVdARA
C5SDsq7hJbPNPFoWLV9LCD2a9YVMt44SWQbOGYF+S9XSYLJJyHrMIWghxIWd5LUI4fo0XWA0lf0O
dIF59Er30bNYukYxoJfcBdQf+PXEU+0trLVSByEbcj6Jw6fxkawtGIsOQxR89QMqNmhG9QrmuHdf
aLRTQH3LLJftSNN31TYetRDCkBl1Nor1zJrgSSzBlvQbf5s7A0DsyH1eRkDorZs/1rFjrbjTy2tz
bqIbCG4PMEf6ba1xU5PLwN6azOA89xbWlz4cz64fjnuw8fE2tKFUqWHM0aJDrrL8EWKqSJ89TbSK
49giFSew9zDZiCM2YeuUCtSHQr60BgpobU0gI5dBw7EwHTdX0aB6FMAQBKxhXkXRiNi1zKpXqTAf
9CxY69rmJLLG/LPBE7uYOunHQrHtaxxXale3DQSFa1djujgOeg1jNK4C5rkrrwfnVRJ+aaWEHU4Q
1fVSBYZbQRVCNNzWtGcy18Y52zvsDnbtYBd7RERvOXSFx07zwzjLcAqVpbEbZR7uICXa9w2dwJ5l
7HToNIpMjTY7tG8+mdnx52F6T48Twue72CntN2V2fD7hmL2NGnOWV96+zAoT4GleP5s1opg4BzUn
wvZKOXa/j2KGRKZmpgEFjTm/wHGWcRNtG5sIb0NgxePsmndErY/rye578JumewRtbqGlQkzWNdVw
6xtBjW0hd9eN0/5A3JrjSxdt/9Ci71mByBqOmeoBj/T9G27nkKwKcHA5TKg9abwMg3yNi/OBC7Eh
dXGGjd1t2zrGY2AW2MtzjGmi81giT8lVzJ5uj+VouOvFZO3plR7gQ1G8p2qfN/iMJrQ1BF6U+Poz
I9jEHZOJavChycTT1uftGhOOcNFZNMdNkRU0lPyiLCKj2CtCtorayjuMYD2OFaril0Lj9NKE1hit
GwFjflIyWKnd5+Kbwden5tlunZ7jNABfOTvvJrJ3I3YzbAB985ZrhB9y1AhIXxjv0zGHkKpxf2XK
Mp0Gnte151nsJ5ziA+xizlG+Hi9A1kEKMs5WBeXW/MYKci3w5fqwBnN/4oZEjHfn4MOApGU95H1m
MUAB0lFSFG9p+W0WGXSZjL53LSrvrTvlEzIFXhwLAB3zRyKV/lPw/isFLzN7SF0CBeb/smP4UF1a
FB8Gpe/VR/WZ/F3t+7c/4c/1AilKWkfKP6Fre8Bh/6x+3T8c0w2Y1/gsGaCkBkhD/1r9WkQpoUtl
t2B+F7+/6U+DPzS0m/WChwz1O2Xp36h+UZj+44KBcb6DmDXgL8SA/Y1b/738lR0KvHi2viIv4JzS
OQcp1JIOLWlYBdC/DVaYI+onzKW23JZN7yDhzKrxNQe/eNYpJpA8E2fy1iKVc7tm/srGbvAqeTHQ
JX1A9Iif2WWHjLcNryRpCbTlqohldEKyO8B/JMxxnRQyFdpR429NHRGR903KWB0lpeyxNYd+bm4H
4MsXktPBTAj0CTahExnpEwj2h03X++HKIJki8piDkzS5yfKw33DMBNxZSbtrSbQYOVKXbZlwyK4b
GBKArFEsMSF0opveoDxkcUKExuIDPEKAM59ck4AN0dviBeYnSsk0YOA0d8udNoncLV3yEOigjoEL
EwBRlrPNTnSmx6DTPRiGdN02mjLG8Q0sNwCnadIua1a4WPXq7/AQa0ozPHWkhN5ZOrpEIni7beI5
6PAZez44Y72SX89NS7hhiUsMstFyNUsYkN7oys8kDvtb+A6pLqP7G28IqydHLcUeAqLx7uGc2HN0
imtmVzmlRedP+yYXUMDkMGhixERw4ab0K3UHRbPZp3aYn4RVEQAk05QpzpC4gBKNyoP7nOdQpn3u
DkyTGfU8WtSSSZcK74y2CR6Xqgv2winw/nr24F2phBUy2GfXOClawz0oIQOiSPBloLS+kl4DajlD
tzsyPiVCZxi3dtic7Li8IzTZvVGB6E5sb/uT35QvOOpgLNf9XcdAcsej2W3MljQk3xEoBEIWz6k7
DtCxZbPy/QRAEZbvPfodA6gVQOxHSgvvWDiA6Dth2x7XGXuHIg/VuVVNX/PdmAkNzWKceRdo5Fqj
q0/ABAVx8mCTpsns9qE/G/j/UPpdgia3LvQ7T1Zt+OuiYOVWYFAuWy4srBUMIS3pR/h4NH4mmseW
zcNE0ihuGVQa8Whf29/rc71I7/VKHVg+xtjMCa7Dyf0BDsk9BqFqX9Oa4mqs5x5xAPU3C5eweEtL
5llOiyUlVk14StOaS1tEXnjM47indRH3Q5RdkjJj2qmiujvOOdWASWQRY+gkuA1K1tulq+QnoaX0
OfM4Rvs0YX0tW3Szwphm1MBa6xB9yx4crYAwv8UQsdKf+CQZSyWIJaRWTaik7Y5jyZWexSJdLz6/
SK2zaL4lF/O3/GL+lmL0BATuAoDYW0srNXweYhRvaeSTpC2tbTz5iDoIGab+10qPHMmHE5GhqLQK
JGhmCh0s1f3OHKh7XDQAm1krR3ytIUm+5ST5LOoLPC+FyETrTQj05uloUMYKVKCYL4cGlqxWqGit
itSqFT0F3Xslbl+lNS22mBBFRvN21HqXUStfIlqtTf4th0G5IC+N6OIbR6C0RWsj1zHl9MnTWpro
W1YTfUtsxLfcxtHKGx8JzvItxpFal6O+JTqmVuvAIUe4g7YdEYfVE7wiUCgRRMdeSGt9VOOMj/mC
hJoaL7oWam50zSnYfMCnFsi/9kozq5OYWR8fMSBrHP1ArSURNjd4EuMn9EbpUX7jr50RAgVkU9CA
I9OVnRTBjI0uhJpdVnQbVGrdkSRo+IQgIHCYElB/GjVzO4+gb8c5HO5ZE7nTprVfZk3pRmQyPkO3
qR4dzfAeNc3bpQJjUro4X8pxSVzQ1G8XIFG2KoSznTQT3GqChEasQmS62KuMMd42pYfaRfiy93EA
V9yGJc80WtPG01oT3zV61SFZ5jx/Y8k9TShPNas8JqLmh1IG4wVSn267HKZ58Y03NzTpnNPEWS8s
lvb5Nwg9mJGVCETvAKq9sd7hmMzgenolidl5HJGuq6nqWcIakolWsGMpB3TdJ45zH430ZRb7qw3p
bs4d6UnyNdDEdl+z2w1kaJu0prdeALuX5XSaNemdUUxFy1Ipb11pEnwCvQBo7RMrdhjxmhaf5UjN
bDodLjtY8mikf6SR9ZJryjwganjzJLqX0xJPKxlFvAJLlUeHwOiqg6Fp9ekYufsRuPQP15I4xhFG
sa20M/wW5nKscZ3h6i0aYOPLxiptbKyyCKF14cvfIPYHjonk15rcDyz087BiMPuJhwIzX10PuKQL
8QybjnjRhB1k5SbWkRHXuc7Hbtss4jgAWn52c9akLJ3tXTlTWvsO28zcpCqeHMkvfk5ONwAVwe5V
rdrMIG+emSA20YplRFaiuIF/dJU2jr83i1Ss1QBw1umH9t7wEgRIiFP3Lib7U4it9+C7+p1C57d2
Bw7PbIqf/LKx1TpD1K17m+FRSRT8EQb6Y10HCj/M+OzkRnkbFUFyM0O92cDxjukGTMZ9OQOJxMGS
G5qoj/Kh4TTyq+nebRTbirC4bRZXPYdN/zMK0CLndTnfjy6LPYu8yYKMpTm7bjWZE4qjPNpMotcx
MKlpUtldl7OKcqRXXCc0aBAeb8cIRHhFvAZAp3h4IidvvFZV1J0lJL/tNMQ7WFjBVVJGIJdQv5Kq
7HcLdNQWrLaCwbRa+KlvybZqmAylP4ckT4/dTKYBBNet4XQ3sXAnTflzt1y44Akxt2Ybj1qixHGK
mNcK5H0oUAW4ojCwlTu3eI6cL09iFUJCvTHdmqhKK6ofmmSodss0NQ9e2YBnRLzHDpms3mpCk5Bl
2KnjCdQVyHHeY5DjDwE5dzde739abXEIFRJGxyMzZsoLpvk9HhBBi1+HnON1xXIHtZw4zzZB6GPv
3Dj50qxDFd231nAuiN/qJZkTZSNAr49199MJQncn0/iKBdovgCrgt4Nq5YiB9fyIolnZKUG0DDYf
7SX1nwtTLx98d1+77rKtgExTpbkI1OoZm17PVeQBBiNyO4P544LYdYDDbvsM5kjmjP26b5NwG3fy
YwwEobfTvHPgvBHXlZ/txFIbxQxx7fWYgssRnqC5mM9jXBfkY/g4goYCwRoxCPgamY5lWVnti76t
16oI+J+9lrDdxWRGamSutRqtILvzrdx+T8Ouu2WONv7K4vwrXpz0nPupum17A6E+pwQVWjrdIywZ
L9isPcgQdYsnJpakJKaEQMhI3DcGOz1HlO3T7NBa2gAXD0HoQxRp63xf0ENu4oHHySxrUv3mBO0+
LImhnHkmHO72IQcdx/o1WJeG1x/we31QdMl7ZS3tgXfY0+CBngdzQQ9JovyK4GLWhTzL+8V1AriY
ITIKC4DzFn8aqcEMIG5shd4TVKBytnnqhXS9CL9RRaDcJyq8vSXhq/wBPMZ4zQTYED2LuK4dSHl5
laDXbNHidEUGlcVmUBPW1pdnDenFdLGrjWHCGIfDS7YNPBvy7vqipqLCM7qSAniKqJn2lSVRcWs5
AJRoYKHdDUuqXmUKxjMzwxHWZlDfL8JLnlTU08yDLIZ7W8c77VtGNKH2EB3C5xxa376UESY30U7M
kSNIHqzt96bd2wcQjDwqJaZfJBIG1UQXesdkFsfWu2KS80i0Xbf3l8HZQIxT20B9a9ZFsgOTfkjC
zHuL2z57nXKwtXY5PigD7SFqhI9xVNm2Q2pNOEdIC2USXW0b8ZorkOkPAnGXg2RNYBDMUZv6rW/s
9i4ihIsRRM6cpMJZwqKwtoiSGS1nM9UT0Qgx0TqxICN61nk7vU7eGXUGT67TeHLD+Wx1Pk9ZF79C
ndijHGCPuceQsUvVdGSor+4Y8uC6Sn15Son9maLG3EY6CShvfQFfOTL21mCZt41pATsdXK4DxkNN
6dE+5BOCY1tQL3CLh+PJnUOyEdBTbCQCnUdb5xK5S2m5azu2uguJduQW1UuOkL6qr2Q4U3L0CySJ
IgslPFnb/FXxEm3yJWzXWTyYV2FlM4jTXLtCE+5sUHf0LeB/W++0aApe1kX+nsdPvDJrg689ymeK
P6IQ8D2+ZkaRA42cXAg8HdKtAfo5d46ZHrhHYHJS/FGLBuayYy86XxpMLVsT1MhVNcf1p2AQZVOp
xeJDDG3zDISfFJ4pKF5MpCg0Gf5kc5fN6rqoJnMf0DFtHdhha5gmFEWxVRyzfgjYBgHLeiROHWSC
1crrIYviY9WKFuIvYYLHKKjluzkNIORZezjrgRiMVYpwdzsU9TNLELWFwfLKLA+xv0sDheTDW7MV
S3cJ9srtQt6P2wNg2bSFbKg866BN12Fr3rKTCH6Bt7dozpZ0gqljyOe0SmAxuX5jbK3KAdBSlta1
IHPGKtj9OCjW7HWB4wlgZNytzT5tDgStkWjo8NmZof1iABzZQvNJ34WojV0h6ujW70hk2cnaemMI
WOyZ4pswZ3BTV6jRHkU+jifazGTtpaLa9bNKL1B/B22iS+s1SeRLB0aCBGgnKAu0SKZ/Csr6NYIm
/5zxWr/ltdz0S9gdHY+9UoS3qyWq7Ir+F/NmFPX+i2kI8dbGjkLx3ZT+ReD1PCwT6R6pFEKbZapz
EPBfOVpLpt5L9r64S0KUTW38rBqm+6wAvbuuwhHeOYNYo1JjxYek+mILb1wXeUNXX+TWcxvWSACg
ofVSXQq3r1+7wvFxuAIUpxK1wY5HE/r3ElqX1U/uIdITXcITPlte2N0UuCYWi8q/JVxmb5U+KOIh
nc5jJRlcBE1drg0EVdsoS6J2HYk63EYulio1UpU7mU1EtsFQA8CNNf6yGWiu67Icr5C1DM9wSfur
IIjVrUQUuTIqZGxuUhVYYKsReEUzH42O3KxNNGR6tFK0vEELSHpOuP4xTAcD1VXTfJDA0d2ltVzu
woEjiFWXn9z6pHntG0mIkDXBI2fsjOocjSHSlS4y+y/cwierc5urViM6SpwT51ZryUQTOJdxAjWW
iHha+5XDBdJPqIuGvLonbCh6H0ZkXS7YFLTylb9RnMulFPAzhLXL3a7YuRBSXopCT06oqyrqYDxt
Y+E5FxiX9v0cF48pCJyL2fXGFx9VjszQx/JSACohU41fArqnu3qO+gmxS9ibe/ZmPuTztMEPOIOZ
yL16IwiCg/SkomtId80GUK+keJ0svrhUJceqmqf3Ki7orA0sh/d5K9h7NSMB5IPDNeZ2/mdiG1m6
yhqF3NKiCl5qN+CgddGuu9Kg3EV83l8LujRzZQ6+8zoQOJysKVp1zThS1SFFxIqKQ5oqKyam59B6
DJoxwbUkNZRUH6fG9BmEIaZ2ALbkXtEea/iAWOdm0NiMs7/cRRdnIHOn2yjInJU3ZfFLZ3fkysCv
2Ah6vVfpDq+TjqHK4xoSz5LMBy6M22YkBikdQrFNxYhlMBeqXXWkczSbEO3sh5tyvGLA4rJYBTXk
WJdMh1eH0JQS+1LPorWUDVu3ISHgqVbT/IYbXH62qp5P/G3IUdrMgQjUcTf4memNK6Mdk0cvN7sC
GOA83NZpZezYIDlb6HEzJ24UXfUxzBbQsiq+jW0bzEk3nwiHW7tsb8l9omwA+xozpEtEEL00QAX3
BpxdlHG+DE91mTQnVDHYZv8za/+XZu2uy7j7f56z/5/q66PoP8Gc/q7dJ+aQ3/U3YQl6DT1ZZ6oe
eC7p7H8Vlvh/oOYP7NALwZoiLgnxDfxltG4T986UH5ypizQcjQn/6a9oB+8PpP6cRmFo6d9EvOi/
MVrnlPoHYYlPQqnlWy6NPExjRzsLfp+sA1Box8EZfvUMlNONQZcLIyzILaBcHahuackduHWvx4u1
LCdo+tdWGw+AzFqWg83gbuu5YLphdop8CVJ4TVIvXhUESUiJ4bKXKlmOkE3zPVZPaYIMb6tdEGIT
rrNWvs9x5iPgpsFDtRv01hWhj9an3+bTbqpU/xPXkHfwF/jJSFRQXNLeUBytbcq9K4LSAU2NVfSE
Bp4yxyqT6RCMpvNBGsIhlml+rmF5kxWAYvucV4V4oKnJDgVpIT3tcVc+8jZWeJG8qS62DPA8mM2u
+PCzfrppiyXEDupYV35LUrYMZYSEUKET4QtgVbZwXNuAoylEBGHEJwBLfEnxBEIeYgWVbxajmKNg
TE39gdoubraqZarhN+z7WF/wNTFUs64KmpiXEmT+Fz/wOGd024c7VDATUKM0q05SFctHwJjusRgA
pwVZO4Ys+7En5KPqN0B/LLKBKjTRVTxcwxdpnxYCnNYQWK3HQKjoFyFaMUrADM9k5jHnt2OstsWU
3fW2ii+z3053Cz7Iihq3LYCqd+mX37begUiv6QZlz3RjJA4cJ6c3tgjFEbKbxNVk4JaN+Kafav+E
7KNb22057XF8IQQiAmzcu7k1laAtIqVXnLQvhZHUv4xuitLtiFHwgCzGuwOpZN+DDBzeSpEKWN2R
77PhDcogJw4P5p7tz3wUAzIlhj6yLpjPoPw9lkZRMsAwE29Zu17mnRHpZ9cR84Q945bitqqL2YTl
Jkq50xV6cY4b19g3g3j2DNldZBLRhPpl/uIapIlatAeHXgb9oZgi5/z9rWdznvJxZBjyOpfUL6xX
2bktVX1b0TvvM1Grg0yg65IBZhymsFonJXFqQ26MH8Yc+MDCRHBMoSUd8zBXOAI9yFFzMV7ZJlOh
iNXUwYLzsDXzXF2ngFT2HvbBbRjYS7UWkzud2Z5n946Xk5qAdqfYNmk8PlmDKN9ReM/xzlo8+cby
LoJ+m03rbCCWZUjTlyxTd1VQQYuk5GA/5gY7a2AczULKmC3cq4Ve2ddZ8cuekH8ugwr2LN6Ix5bf
Udlz4U7TS8z7AaQQzQGKkWS8UoRuC52+Hekc7jLVe/xMZjEAEPYSjEWAjfYqkzU0K+JLZ8XsKsrb
5VdvFPZBAIwnSG6cHztvPgPrfJgZVjDhz7JbLyXzilRKWV2PE0Y/O0lmnSPo7DsBcSzMsntyv8KH
0srux4JdUYz47ikO/i97Z5IduXJm6a3kBqCCmcHQTL1vSCfpbIMTHAaDgb7vsatcQ22sPoRUmS8k
nafMSZ4a1EQp5XsRdLrDrbn/vd9l2obfpOOYBhar3HIf1V/cHWh4mZb282jxu2FBGNQVSwj7YrVs
ke6yWQb+sm9G3Eb31Dr4r/avfbVZtti0KcHTTeRVKtrjT9rwTlyRgnvZqCWPrgrjdoC8u3Yz7HXV
so3bkd/fw/WjhTdgkP/k/trxk2Xzr1iQ8NctRwLgMtPJFn7xWS0HhmE5OtBWRYAh+nWisPoK3c5e
DhoUG4T0uy+njxZqFvfnIqo+ul/nk+jXWSUKW2h/lZLbyc3EmnvBfexg3Wgwva1EgC5s1e1bBmfk
LQKIvhlx191WcDPBjnBUwis+3tu/zk/IlOmPaYy3aYfHDEQNBy0Lxl7Kycsexbxtfp3GjJlMLqTc
lg5CLsQHMtic3OBQcoqLfp3oOEK6tyDMcgrtZGu9dekUAf4LrfZCEIAzofx1PjSXoyKQSGyMy/GR
yDknSU9Zn8IjUQtHonD2LG3xbeBy+ITxxTm0WI6kaZTg5Pt1TrU7O9+by+E1ySP/0gXcSXDo0Iyc
gpAoclG+RsvBN2BjMvcclDgPu9wbH6blkJwtx+UANwh1jMsZOvRNcSOnVm59TFnrARLOnmEILpl+
sG7kcgjHxHxvSMQaCANVcrCXg3pTgz1hk97lyyG+cNVDtcCA4IvZOFY46tNi4L97y/E//XURWK4E
0XI5wEgOmGC5MDTL1QGE6XBulusECOvqlrwpAAGuGt1y6eh+3T+QI3jIp4wZg7tcUHxPcd3Pci5q
leVOD5kX1uaaZZR2p+WSw2TY2gFESnf8XoG7CrrlPoTSPx0xIQ0be7kusZzSLZU7zXuQaj4EQD/X
hO5BmmbYfOmLKaCo9YsVKLLYYOMYuAack/hUEIBYM+lLrqGXc2HgQzkBOPhOsIxIbDYlmzIwO67Z
bNE7VMnulmSEwaOdjGtbIIxxJVMICJJaJS0ibO9GdwbFx53Pp3pIMwvqepHuynC8oVmp3A9Ros8w
gmqMjM6wMo2ACYSAOKg9fy1T+7XIsVBVRQ0UZGg2UV+5D6GPUFxlxpGpijoJq6fxWjBCTOVUHtwQ
dnAUTPGTwpq/VTWhu3Yq6iNmfriBtRjxtkj7B80K5NvYg356xtgxwKFzBkgSSpui/FUZ441w8kWr
gsFSDuB1Y1vG+0n40wMk7WFjYgJdhzbW1KYCK22NaX/ABOSzRxb6NlwC1TRzDO2q8jqwKnFzQ7+P
YKTkMp7Vtsb0l6guvkG/tW8ybs07n7a274VBDGWqyeq0oAFYOIEbawHjXbf52YLDDBRmKk9EPxwS
Gdhh7SBWTDdM+s6W40tS2Qlxsudq+R9V2E6XUpbqQLUCvBNqasKz7OLmVA944rvUVaBnFNYkbSYP
MD9QToT1GflBdZeJpb2jQGsP2xwXbRAM49p37OyhBenjZ/49NUj+fdF0yAqRMV2arFZHfmGcVS3F
Qpg+w5MxeeORdsfoln8leylsH1tylwYnBGLmuHoEli28F9gbBHRG84oNDwZrnBNwS0cgOR6Vzbet
WTUsp1b/pnrHPIAr+qRjDO6EC5AB8dP+ISeEcC1ARY/ZlPbrXKBsjNHYHTjaQu/1qu9BiDpJmq77
yb1eH4YJphX52uJWase/MJExNqCvQAsIk+nIaAKzkmrmGS876khkkG0aI+uYqxhskHmr5ne8z2JV
WH0Bq3QwrlS8ATBzMp1sIzo32GJ7x1mbDR13lFTi/eRduCSdDJ5hlOziSp2caklsD4b/5iehJDZe
ltUJh8PeUYZx12p3/jL4cDeCzhoTeKagkSSY6OuM2Ls5Msi0t9ZKha+xW2fTwW57D4FeGTNZlggI
IloeY2GrCQ7war2Dm2eorpF7UrVvvxtZJLg5MxrFHANj3andjzTgC+mSoNgF5ProQO/lXTjr/OhK
TYNKQ2knlu4HtNbu0bIb60Bzm94njroKp4NxPi8tCThQdrVhWLdJE4bogCEZSceaq3qNzXmhtoiR
L7QrmEa5Be8LVC9COzC9z37lJhu/GwhjslvzRUqM4oyYMCabvszfnVARrkopcMzAP0C0aB8npsJe
Rb+MOWRrhyEgpxAk0LGGer1Kgtm+SCd9ng0NAqnPfziFaz7RrB5vUWWbfSgZm4eCStFVA5XmDgWY
cGY+UMRdY3HNSmfblophZuJDu1u5uVbHUXlv2NeHpzqEM+63DCwSvNLbruesQD6GXaThxBzAGrtj
bOWsxwZy8wC5nSLCkGGRJ+yUrZ972HOqAIZhpm/dc1HmJlnEJOiOaWuknB4ipMD1AAL9UTWFY+71
aCd6oT/Vw0+hm5oO4Yr4wi6vcD4wVqnbbF06TkTLmO7DtaJp4HY0xmRF7uwIjdbjUfHHY9iJ8n4a
SG9JIkBMjDZ+uBDd0zb+hv+43Uo3HJ/ZIqsPF6cqI3qQlIU1YihnsjSsIjNKjoqeM9I7yn7SpuZa
5PiCx4gddsWB2z94g/eDoJt3H/fcMIDF5rgCOHg9tDM+Rxr3/HsvT53wHLu9fKqImmLYItgYQRx0
6AKuq/bp182uXLzZzOAR8hiXoRetANgMpBiryiMQ2jRy1bWpqLl7zuHFdOwvfiB+1sDCCbZn4itO
tefEexBrzZaxUv0mnfrNDmPpYuSHHhswsXywZh0urWG8fDnbrJL/X2L5r0gslqAO5M80lvVHi8by
v//9N4nlb3/qrxqLwoYoBaFZ03E94Vr6PyQW8y+LsIK3ERCmxMDIWew/JBZL/sVdnI4gNbEpYnv8
T/eiZf5F8/dxP/bkgkYAd/DfkFiE+ZvCgvgDz1O4Dn5Yy5KWu0SL/qiwAL0BEkIh4wprXL5tsXTA
fF0UXsaaJzuqNT0WSY+00Xs9AR1Oofj+QTP94V37J1QE10GE+kOEiNfhwCk1aXjlH5FkX5SoP74O
26wdm7aUL9CG4jEduQ1RmwE/0UbU4PaT0iBVW69dkdlc35oMTmLabRYGyZl7x65WFATa8KzbObyL
W/HNl26xd9o6YNGpe/hbM5RvtN8SGoryNlzgXxIa+TY1Qw3w0Sjx12AcnYurILy4GAm/DNdrt7r3
ylu2Rzaw2q6/26lTPUAbqi5OUfZfjd/Mu8Qsx59w8sh3WmGYbm2qbS9ZKCuA97MRf5MktzNLppfE
K/NDFPZ4Jh0q3fyWAD75ihtu4FgxXF2M60zgynNqSmIAtOhdtBil2S77pyGb9Nroav9TM3nbIiwM
m96tiB6maXXn2GOxwRNoM0KlozUP+A/PzNXtRBEfMrFFytugwMMOi/Qcman5yhwIDP4c1vfMCL0L
Xnp4NT6WeW0Tqu9nEe+guhrsBKX9Tdtc4SqdRVuVMSM1Wzib9A+DyTOK5d+mwmCXWi0m13xy7JuK
LOLGY464qnQvt2Un+FhGDENcEgQaHueqsayKU5oF4T1ZsenTHsxkp3OnvSQAVFdDIOMzMO2lBBQq
fFR0TwS8Pua58q8CWNTazKxHU5vvg44ew1G/VNKDGxjCqstYpgE1fo7UM6zIWD5FRaCf/L4Pt30W
PvY+QS6VhPUJFKS+Q3fhtF7Yxq7GgbFBu0o2MbfHGM284JbU2zd5iCG1yYQFn0c+aPADh4Ha03Xs
iQXO2eqHajF6SDPOtkrbCUaPJZXtZ/rkeczIyNXIl6AC2+flMAuClFc5mfb4QCXURnBZBxKZ94/M
D85jFd8aXKnDpVoCyzzUj/iLq+XLaDF+sjRefGwNNHPOw0a7CZl9GOmCAlGMAuMdvli1rwYOo0MY
f8ta37udsN1QzNAi9IP3Wju4SV5EE19RGLr9BPvIkDj8ZGfip5D2sdY6ezfBKaGy0EFk2W7zA/NJ
Fm4CepfZOwMBZHr2HZI0qUNDRpxcoY1h/q0bpnTGwlaipOM7A5ho13dMDVh3cJ7Fpn8wpvzMZP8r
zdihUHWhPjt4Kr2q/SlhrvwMTf2Nvkt5l/odcfzAhetuAYXdVrqeTlbl+ru5V2djcEbsrq1ZMx6v
vVujjLvHPgSu2UnjhIt5gzXX4H6eIQBlVAgNER4OW9X9GqcX9P4sIsVUOy/u6E7nOmkoyzAL6NSR
Vzyj2ek7OpY5es8eQF8J+MP3KoG43GXTfgr8w+CGydUNRLfpjOYbZ2dmRsi+vqJg3G7mgZFi+rOz
aqb6jXMy6GogJaymtTNxLKOIFYxozIPV2POlyzhOaaCIV768exzhOG9s/l9g6RQSRkT5TC+QMeLq
EHd5dc30FDIaCyDWLC9RTdzXxlIlqxKj9GZQw4Mn8IHS0gulgiRml5GU56ZjrMh5Wze+38pnq49q
PG9gYYtcIgU0tKkUVsbIR3bH2ONDTKPoJ3G4U9nhVWtNCeAFzSAIM3NtVdysSE7cOU35DjOW2LkT
/6DGZnlQF4igtdQ4dMWIF2+ZO6sbIhiwhadTxSnFc0ve75COYsLaWXAXuNnJicr4HDTzkgajdpvF
B71jJZz+CcIJOilLa/VeIVOgR7dfGDBY3xqTTgKQJYi+FcaQweYm7DUtrj/7bYYXvyZz81TO+gLF
kSigL454JkBTJGnEkwY1AWnxp1ckwdY1TM0EcXrxAi6zfdPgj6oEoaHK3dozuodjVD2kNwWGxR4u
UsYs6JYPV5JOBHwyc/HgG6H3aBSJuM9yChcAVgRbW6cwuvpRr2MjehEwk1Cl8EVms3sPby5cjcHw
Evn+W9SOSGtR6W7UxApJu9xLmEHHZ6ElLKbql7nj6xu3uMczzzg3hbGOYI74y/eZhhDMaJWF04wr
jpUF3Rp7yZ7G5dOEsXyXL0PDsK5W9dyyngrrEPv5M9b1gdmcfnai9DhAP07jqdxkVcGEzgPzII46
N5+V7+Mj61aOaV1x4z+Oro3lI75HulippLiUs30ia7eFVfTazdO0MhiM51BGlGlfYqM9ZtK76Wf7
HAyYhq3k1kYTW3uoDVzuduQpift1h6yr90xcXrU7bUtLG2sMFLs2yy4WoYfFaebMnKhDMJ6omhvu
aO9pEd6LruOb7AQPfpDjFYCDgLRwluNI1sK31Kn1VLCt/eIoUvkMfeDWTFhJHHKpXCQJE8Vl/95P
rVpXc3qXjiHO9oiKS85t5ioSFmNQrEtrMvgPYtFS63eghpuhqm49n74Nd6SLIymB6wIEJa69nozw
M5r5lPBCeKuRUg36i8t3D18x378JfxHzHYYfW41/AuQbHk1yjyTHksha1XIOtm3WhTuVo/cZBqUw
VmAEt3Y9dN87AZq1LUKUh7kBnFEaGQCmZmwPhVuYp4h/6TG0iupHlw7RAw5nBfp1zPEgpdaMv8BP
bnTqAIkTA6plGofW91IO9UsRow+gfH+apmUcpGKnDQO/3va4AY9kPGEY5SXXJW0VxUEIAw9y9+Hl
xfzpJUn7gykLEiSS61nMhn9TzYN1nUtW1FXYaecbyoCH/jSxHOY5f88qbCr6wmLffB17FlKdJnIb
z/H0bST3eOFOmD9jbqARcATLdSMH5CjCoO057AWCYh6W5XUy8nCA8t3JdZf7SBj8JTu+YJiG/NJj
6C762yFMZib0xtLfIOwbrpzDfcrWwRoXuwB7hek6K7MhPS1GN6MVTj8aYIe/hSr5krE5P3rDECKJ
1ca9FZvdq2J5y1czQBdSDU5yGAeKH1c+NhwPTRlbL3djeQZ+GD5NHOD3Y2UtzD6vLq9x3RD6mI1y
My/aSRDM42ZCrH7IilHtOmOu9zYznY3EPxxsCk6Mx8SZ03xlhoCeMY4NZFU00nE5R9wCScTsEl4X
a//U63tbQJURjPw/0Fc6jHD00nMK1ScO6u8kLG4bWMg87IkstwGjhmuR8VRX2Fa/KsD4RJn79G5e
St2RT5Mt2C/QPWn7nNDNfZnk9NOMh/oV/Xf8mAXtfBh1BFDLCrjVw6DKZoFJUUJHg6F16uY6OLYV
9lV6QVKOo4QaR9S8VdRH/pHdoD81UdscC58+7BAlAzpARzHTPL3Wrcs0V0IqlguzmNkv+KSFY5z+
QhqnwI2pBsm+jLoNN+5CPq7AqO77xrkxrSl4rieYXWOgRlwRJjobSSQcWVBsj5D7+6On7JG2OiK/
w0Jc7mBn8+95PwKq2ilVt56nuuDht6gKwgY8vvQLudlbclvMdLgmLGjn2nQhK6XTfkzcTS0r6MN9
FMB/GRAI0QAODJrHs9NwCsa3mb62ghD6hGWWHW8+1axUa7FQpgtPNKem9ctT4sRXowCeVeIpf4XE
5N/EDTPIto8ZoDUevSN55vo49Cw2foAynxVZ9m1OFx6TaZS42yrXcHeNGkuur8Zx6Rt0nijbJLnS
ufUWil3PN4Onij42ziOZ/QDe+qVdkNvFAt9OFwx3s+SfGy585ZxvgBkvDHL5VFJbz9oLxrvu5jdD
tq88WyEKAxbCAtoIBOZf+G/K+UiPAAVH3IofZBx+98FrbphszWfiqfox0WX7GHfYg5iTu28ZaZQN
WOV861CQJRcOue8I9Y1rFmePPgIH3ZqTfVOHGaq6q168X1RzyKHvxNWto1iQ5/Ff6eeJiL97Wa5O
JKrcFUOOLzcxOIH1bfs5z3X1U6Nz7pi9sHT41ejdTwtsnQCGIgBfjmijoNib2Lwa4Ga2vU2PZJH0
4x0Vbt5buEDcnV8893yYuH52TqN3fQsdiqLeAeImrmUD63TvFvzTucC2JkXHClvqaVeF4puoAMn3
TFGv7SiTc2HXMPx6Xz1WKOqfWCHTXb3w6CMp6TbnbWGGkO+DfGDmgemNLq51ufDsi3Foj8haq2Bh
3VfJUB2nhX/fWN1L3cGQz8y5WcZ1VLrWvbG3bfO95DS91gtLPwMaCI4Mvn7dyZ8dV8OtwwrL5iU+
BmTSvT0N57CzSNwTXVGbBD3xO2mo/gSyMNgOjv/TWgj/XeDbD0aTPKkI+r+iBoAMPMtzTDVA0wzN
EXhPs0/rbPjGxb3DRoWpMJ8Vlc10DMg0omxA8vwHKI7rcKkigLvPBxG2L0bMiEi1lWKhFlyMLOaK
mBQIjddQ8CYaDclvxGABqM1myyaKR5TR2Cu8iw9mVdATg63+Fbnzy6KqcwP4XW11joN/FXWMJ6hy
i9tbji/WkwE1bI21miOTLtH/vdSjb8dIhysNUXSElaVkfaksdf8v5Ix/EDMs7CroMx72FYWJ5Xcx
Y67nUdOsh6lAek8qn+5BmZyytxAVeHbUpSvmb/+zAt3/i7U17Kx/yirdf6TRZ/Txb//r35b/Nv8m
weFZWv7wXyU4w4ZQiormuSBKLImkxz/6Gz/H+wt00oVQKnF1K8Wn8p8anPoLkp1NtgEVjj+Dl+n/
2pzg57hYnyzXlRL74+KA+m9ocPyIP0hf2sZ35YHncYWHbQpNbyGG/oGe4wYORWT1SAAAQWDdZ3W5
h+sYnf/8mfxdYOOn2KYNOpskNS4bCy3i95+SzaplVgl7boKG+I1JMiHBQVmvbN5/q1qi2ij4Kv6J
mvd3ouKvn4W5yDIdh1Igi7TD7z+rbzvtt2nGhWHyqh22JmJnuA5AlxG3KpWxcehhXEM8eCh7/pEZ
3Pz57/oP76iNoc1GSOTOYUtPLqLnH95Re7Yd3Ef8fNOe3BeQ9HKnqrTY/flPWR6A3z84foxt2cJV
TNlcUy+58D/8mMaOTK+zQiYKObWBXCrHdWm6VzuaPhus9vHSaDe28tKFydZkOrTKVXK2Zh+rrHPT
yuy1xeXDFe69G8JDpzDy9rNLzie9haFKptOpzwBoyKpVEVPfsTxkVg+Em35kw7Yvfl0/R2r4GBNu
GqkUhwxdhXgYplMMdS8x3X9OND8OJEv+/Pf+x7pvGz8+GCFieo7W9LT8/nt35gDeQi8pngKPDfL2
UZDJMco6fIRAKFd9GTorXLTtehTWxfHcRwgrCLrz0uvYvpWxwygwCJ61U3z3wDt0kvGP71s3AXXX
nJ+KxxSUJiSK45+/8H/yeVHiJPiu2Z5jqr/HVMWFVYnGtHndcf1eCWMPS/dQ+OFmHIbDYItL20ef
f/4j5T/52qGvSzR8W6Kx23/3jFhVOXDGQrWaQ8axWWV99qYFSdW5EWX/EHXctAWH4Yxp7R6fGp76
yL6HVfWWgKKBEb9PeG7qDBY+Z/2S2rRpKwh8UJy2jfrhpXYs9vGpgsg43rR1+C9e/j+yk/moGTRo
4GLLlmYvv94fHnGXWwNrYAe+KVU0Y7ZgwKvKQYMfu21C6zalikQ6XO+aTM5dFWEIiNC/KI52f/75
G7ksT78hxnghQBsANvDULWvK7y9EWU1JBQ8KGvUaeJ2se2GGBnZH77tZxsa/eML/2YPCYVWjLUi2
b/fvPjRD1kHbW8PSze1w0UiN78HgYvbZ9F16zogpOCr8F8vz8p35/ffjGVGY50C22S5b0e+/X4cP
v+ki1hKD3GHqxAcy+HvyV4Qqy5tSV9uEfoVsyP7FjxV8jH//kx1+R4efqizBKsZe9ttHzFLiV1nG
ZR0tyn1yMjmDL5oNMvFTe5W+79EL4UtckSpzDlU9OdT9eOYlGrPgtROOdw8kGjP6PDVLc0jd3cwI
GMVKOY295xrkAGnyBuR4MD3+mjq0kkNy7H/3Uvw76dgbmEq5dxx6aeWnmvjHzdg0SBZB4UDBT000
k7osbnyQaUsIPPNPsVe/KhFVVBXU8JQGMhCbMbCrA3m06S5Ly/Fclgm+9HIoZ/yzuj5WVcLAmgLV
S+vO88UY+/Gbh3uG07DM7/EKxXzUsfzCasFgpI+KXTk3+l31QXt082gC/tyIO2DAYp8YZfc8R/ST
Eb4tMt3fNa2Eye03sIEBoP0oRmHMq6F25VPctPUuxxlLool6SJemjyM5fc6cVjZuwdZYF0O1TrwR
bVUSMRupXxw04ediARVwZZ2uXJGe8rH5Sv2sencFxJ6Goi3ifA2tFG2btqvetBk2gEF+7iWuXcur
KUxAM9nBa2q3roSn4Pe2epmS3v7I27LjGTPSap/X5bDTxEzvmqS2180wvZC4AxGi/bPyO97dXxDy
OOzWc0rcadUT57mTMeXhhAObZwpkMPyyaJyhhpUvIvXQRsM64hqZG5tBNmRm/IqXUfIKIl3VZ+3h
ZcVDKg5NWT0lSfoqmwYTohsP74WZU2rfUJL8apEB8zdV1hq8WRGBW2lLiKH4+rAUWOpK2Wv+HA6R
AlzVTtDm7JyhmlXC+THJju8QqR/bCfRq1flkThITOgN0rmcqSbYtH+kWvZT0f2zGm6lX04GEv74f
zEZf5RChMqR9sgX4gieg97MtHDhGosnQn9ow8s4jV7BtCEMEnJhLGm6o6A8cGSxtiF8BJjRHQeyh
w3ltgnSibMUdwXkwQbFOWYeg4kZBxB3H6NApYZ7GiwM2UXWz61BE+b8002q/ercH0eWrsjT6Ox1E
D0nbULVudulNYqb4pTCq7uxpqhgZasd8SUOn/cxEwWUnDcfHOOJ159307DqQ68YhqU4SEW6dajqN
ovCM8/eJHUjcTK1Xb2dhmTs4dWLfccTZJRYUKcNPFtKIGd8hIKVb6pe8t6au541PxGlDPhMkWlt8
FonhHit7lNvOJHxGu0CRbzsAFYTCu2eR6MVZQ2u4nX0vyqolzB/ae0/6M2aYcbhCGgUfIdz2IXKI
glKbda/cJVvsFOcGGINJd8p6kqH7mAShBppXk4Yf/O7HREDq1IOTo3EJQ5PfxtGGaHJ2ciUraOKm
Cdwu56SspcKQlNBmjuS+jUzxXtXCPUdRJVD7e6jAY1cd5tIfmScZDI2ahC+UC9bjVE1S7prZGNDo
cm9HmCU90vqNfTOgXMWtJ/sdcYk4TKO3YVKntwwm0xXSL0SOThDhTR0PeWVIb1XuAQ6TLZ5clrt2
xGaXKKLdMaZsrsUcs+jkGLCoJVV1bNOJwi/R3reWal47f76j94NmgJG3sANiv5oHPUwb2eU/Gl88
DTluT2+UB8LT2YOhSIm3M+/6BANwlaLykCJsYkattjwMKtZ7kwPqzqcxZ9tY7ddk+gamVFAWIqKe
rAMMoaeMofJ47Fsa1kf4AJ9+1pBVDEp114xegoFUMuMG4B1DQmEPfi1jby1lT2rxnhPvxgLe52Rq
3pDTpqdOYzer7ty0oTky5xWqpVGMntrS63acHrdGhlTSvUOpsTaYWu8b3fPVKIKXsfxRtvFpjEuQ
GLXJ2j+GD6MqHvvUvYAW+ei77iXJFfKmPX7NbiM2bcg0RHWMc7y4ANAfT9Tjwv7ReXn2eEQAKTxP
jEcZsXoORoBoyX19wSRmSJb6Dk7beWC2Yl+bigy5Moc10Nx3DE3n0ZsvtBu85JZ5KVBUpf1Ye/OG
ajmTbB9tULi3LlDr9mkzrI2F1ztV1F3O6VPQDvkq6a3PpGpOTNd/pnRC4ZY/lkowIkkujrOjD+la
kLwyJokhDs75VNgMA6A5jUp8j3LeDGzcy0TLmnDmy/w2HE7AmUDZlMaKQsbgJBWzHcvJ/McwbAm+
5mW1Ac59gP0frkepsaAnycfkNCcrK58DCzks7fAFWFZyNeHbn02a0xmtPBJiJd7daH3yzXinqbrd
6IZPuuN4nLGj7nPeD+pwiLJcoI1vkkm8VkotE7bC3irHfRzC7AEMJrFTlnFIIIn3gtfrFU96s3Z1
kvEbRxePsMomr1s8qJn7Dd8kRUpRP23GJFjwxejubsDwXLX9PsEscOZ6rFe5XT4MhH7AZKgs2mcM
K+2q51Q9QqDb1q7qyZQP/X5SqGS6Q2GEKEgvVsL22Sp1iFsWbKIrVzecUfRiPAlsIPcz3atUFKod
tr92W2IiXwsdExGS5n0dcVcZB4B2AvpPRN2Cmju84nNC/r0NPIzcAfFknl0PJXcqYJna5Qox82l2
yw1DyvHgc+N9tEd2Vc0ztXfC8TQ4lCsV7DdCvYcGZ5ipSq4s2lf284zljEWk8fVlcMAiMHzEDFsV
y2bQsayXMt5Wfe/i2UNX0gyzmharPnPPQ639Y1cBsDdnTC0w0Eaa8Kq9chIKKRuhN7QlnD0MKpsu
dehb7Jvr6ILbJkxgA4OymUwZ43ssh+To4k38kTuBd5PPC1hCRo+eCL1zVDqHIlY/7TI4Un8g95qY
7iatwp1Tk4yAh/TWqBhk0oRR2YmLp6Aun0tD5CAVSJWYANuXTk18JrQHDNqBKtOt4mS8o976DSvN
TVNCAqhIpfNNaM9DqU6QTtbtYBNeEMYJg/+jEdUnGxO262ANDHvD+lHG+pUua6wuKtqOKa6KsghO
dYHuN9CpGnexte2K/n7A4bFSQ/nA085CRatGZE1fcNEh+EDj4OWnS59stCqWnQcU1g5d6eeMQ/+Q
tJwWXKaCJqOihUP+fQZAaXKkXFvS2M5jeYpndemh51DmDWUmsz7mNN5lclo3sbF1414AA62gFleH
1ENfb9s3jOXFxjHrcV0b42sxZuEhXVRDO9JnxOsPNmrJGmSfdcDDXEaROGC3JhxQA2gNTHfDoDzf
Foxajp5PSVUgn0MzoPV7NJ5Hy5j2NmW/rEcuN13cpHM+3YnKg1A7B8HdWJs2rHOXAG5iUncy0N4J
AXhdGu1zEYc/yoElTIOk2vWF/55n9gvhekrdGL9yC+CZ7IuPwGGAZHM+g0jMI9rxPd6UOnsGEss2
TrIIGnO6oh2z3woX8qyACD/19s+yC18oCPH2rSfdl0JhwQCIRw6Es/wqnfDcFolGJacf76PU/Gbe
+C1SVXMuSE/gcgpJhyiKjkve4GXftqvhoSYDSO9pE69nV39lxNW4O1Xgay04z5wiXbv9YcaBOtJu
yMow9+LEmD5aUxKLMoPFAsm42FFdcNfght1btvfVpBh0S2nzSgK2BuVwUOi4sqxi1jhB24VnRmJn
uGHMtliQCChisJkgY9dDgjcXQ/pOC1ntdTQv7lfoFBQnFtBLgJF5Mc+4ljX1uHApcVAfYYi0zG7D
qeA64/0cPft5DGbzqJsp3Muwt66qYWGcjesczeXO1SQ/UlA+lpnuPcI5a7uIp5UlDLkeY4tEWXGr
k/Ex9V0IDdbR7CVcuQC/kAxJsTvORG+uIFytuhevX8p6xcesa6p1PR/rlWL81Xc7K8d1AWYgsCNC
kX61jYPwOaza59ERd5oB1Rr/yWfSmhTAJOGdp5t1Ni+eaUw52qbkBmbwYz1LMo2dqS6aT+CFL0gM
z4CQIJC2etOCMoM0+COcq0vJnGLjFtNjQjEipKrvc0uXj+tMVz9+nNkuq8F6Sh3rbYhs9nrFHCLs
ONlKOM61ZQ24FVEDBkIPQTw71EPC+RpH2e5YsOkimK9eQt10qXAgwUm+8wNrXjchu49csg+QV/dU
stTPJtM1dxniVk10V1rs532/s8Lmnp7c77UGfohpGMozvoHMSrg02RwFTb5FXcNwCM9weBoi/oQw
XzAwXV18VKBKJ72BecD2xBQiMltMXR6aUJ4JmCBxfvYFdhh7QLX0/O9jIMGl5YAbicefHWY4KEhd
yKFcc6TPBOVpBkwPeuy+e5VvAk5o1k7hg6jx4YVp1e5to+O3qlqus3ZD2ifYOwXwWhWFOaHZ4tyb
87XzjFfLquatnVBk3rZGeNZ43wfqnkiFiYs9M9DkQssItF2EK+9p7KZd7nvYyok7lWPD4+f3S/FE
9DNvnW+5+eaXBNzi2cQ3VFTkEi2sbGHkH1I3gAMCumvVhvmH0mzcUZkb7G3B7ZBgwVyBs5AsFkxJ
MiM5ZlH/MmdERybwleAIJrmrsmYH0cE/1TQu1cITKxxQ9NgSGgJiF+5LsNroZNSHtCZ4WQ7MHq6I
+Za/18GG0ByIopJRydS2sYNgI5LpkoT9tu7QTB1rPGW5tc7x0NGsykkS98U699yev58Lj2f8H+bO
azl2K8u2v9LR71DAm4jb9ZBw6Zkkk/YFQQvvPb6+B45UVTqnolV9477cMgrpiGQmkcDea68155gR
8TIkkgQIB4DH8nkTrE7BkpyTUM+JfgijXRTk2Ic6RN3mKjNBPKXdaF33JBnCV9xwMJeU5DZbdTxG
MM/u3HMR0lHp9rIqvlczddZMtbmgrm/oMomyQP0unimOba0eZSATHciTlp5IJel0EVAOrZTzZ3h1
PoswyRiW5E65rLsqMTU7KSREudvIFPX4hfrLIOU3yzSHpHPmsh1E2glBmBeRmMMJPmQ6Gx6Kjg8p
LIJ5dYzGN8ks3UWiinJDsoq9hSKK5VLDeqghOTLGUWbhxMKkVxYCJLRArBYnpUcyOVX0cEotIR6+
KDYGJcV2juhR4/miLd20N0uAjYYyleZ52B7oitV2OcWP8HyeCKn4+vEpwCkHz5KOiYvX7NDgedBq
4UbVUXMWbVQ5YGowOpT0pqo0uSYrQ7KcVU5hOp7EWFnemrrfiWZYumyoRBAuxoOMgVxQxw9RzI8S
IpJNMPNuBZzIjsU5xZDqewWkka0FqclRon6KpKU9IMVDFVgHz7Civ2IG9nY7F9e+1R4bjROi1lKa
D1MtO6OUvEnUN5smRQ2H+IWTD87sXJxsGEcgR8Iu2HYzPrmmCwgEiOCvTp2JCWwAasmZaNOo+TP5
yBgEjBLMG7iju4jwAF+JqUjLkUm8hZKEyz7hYelI58nico/IhNwERd6QHkBIEMt8FWBQbvMXqdcc
GUgNHWV7lJvyPLNH29YyIjnoUFVPrXxXw3TZCFF+qOVFsHHcPhWV1J3QYOe3Cz9ZrAHkMQ+4iJnx
XacZBkg1RvTSIRCgL0IDQMJTCzbMFSrC0UK5wq6yOpgUaTdZ0k4mcvWunscj5aS6EQuJZPNVlKTK
pRN3ZHDrNNKUEeZS3xEPVlZ35B7zKRlbnd9CTCKEYJiRtazB/YVmW1HMY1Ql+SGWlneO+Jyh+Uen
XkwPONh+mcZ3rI3NrShqmdNhOSEcz/xeVhD2SMBJH0iXpJtfw7B+nNeqpVP6U71gtZ/FV8RQ/lCV
nW0g0VKorjYVcHk37ClgjPzRmPNyI2uMmnEdoY3iXnCb0DyGoSXjFV7eiwLTUte0FH0EFgCg/S4N
5MIzmo1NJbCiZ2q4jUthF6o81ArNgwm9RROkiRs2MPMg92DYlB6XhJsMNNxdyzzvjt4GrBGj0b1B
lIpdqzHGs1C/eAFr1RSn0lYr84M1aLcqjVYjMc5xu9r5lPe+su5olW2jonqPsu5lSrCSKZpDT/Nm
7rWtJhpXoJ5PQCf5ZAxlZ9bJRbako5rD4GrRbQSCdtZaWgAKN6sQAgyS4T0xSg90sMAIr0PxKZ7N
h2ga3pASC4R+RCTeQ1dT1BdZoO+bplezaN8NiJ/cecSQTgsEFlZ40Jl3mtm/aaZxpTEx2pGUfKFV
e87qhduiSHAA6hLKUvOrS2SEHhKYSLXYKtOubfVP0kNZfwT01vDy76MyPGlVWB/n5R11e4Okkw5a
h21sM+BRf9T78GMBYe6ROICKS4tdov0Ep4+NxS/i5MBxqfTCTj2mhfysj8YJKsAOnfVNs9AxYLy6
4jiLuz5FGWpMJykpXuTZuglR+3Ny3VoDt6kxxzu+ze3EwTWndRo3Lwfix7Z4x1lwE1gUapo/m010
VUqDKACWs06G+gblgICGxSy8lpDHHbJDzKFifOqYLFIUG7eLLLdbrc+w+cdXY2jZccHVbYhZv0kx
Xjq1yho/yoBlrby5FxLxHeTo/ch8samrr6WKUweasFOJqNXqMj3P3eQHIKEc5OoZjyP+Kfhd5N9K
kEsJExQ407UWSY+taOt67Qj6uJVr5UQF8dItDfRjgjESWTirvYypdhA/2Pre43GkkSE5VpCRNZAV
DrkLH0XbHohmRJKs6fcaIK1uJDNxGi5dKzpFwgGlDkc+0Iiw+3g7yvlpKJiAa2BWQUW8qWMWglyS
bRyKkYNsuqKjRHeL0vs5EnoyIzJoTGIZXHnoTR+p6Ete6c2t1QWvCBq5IKCSm2hVe/sTwi03G4xb
UyBPs8kCrKNx4IhF/YiY+X6eT8kCwT6jpYq67D2uQT4x6kgrKHOjmHNLU7y02llv1IE9EzjxmKEx
zIYdU/1iD2Grds1w/ezmQuOFy1Ua92yiNY8sETOLKUOwlM6aVb1KBac3xYDUM1K557HW2Shc1fuG
SAQ/bWN6AvryTE7O7FM8W3YWKQFcqPRlkfSUJaoKHXo8xzJUuJkz5bYLENeqY+jTDTjECtnpcF99
wOXUHKKVeOJ0joa+24ahioYytrLTHOnQvUv9JsOCp5M8gj81RJeu7AWte8hlvm49NnAYdbsBaaUg
VOY+BABO4yP+MArjjg44c6AGSBoTxFNPscpdU6euEAtIgjN8BTVBNavdpTs1jJkAdQU06mUVzmZe
PMaGtGOwEBB2QiMbn/QbvJVnJgVXZY7fyYn/jtAkIdReYf8jGuHYNDhojobucuIlDEwaHupeesoV
UT70cYr1AeqmZ9FSDLdFTUIhPbNAqyi6tcCJC0tHFpYHR2kBS0UfF4fvplUleStIyexzA0Ru29CY
j6RmeeylGYu4pPfLfdb1+kcQC/j4IitXDhnr/6esBGsbU+vC24S7E19Rpkr2iMPKH5aJpjSu2nbb
RH3xpWh5eZuMGiODQOQsy0rFgqJm6UdDrijfmJGaQfgiZ5Z6aiRXbcIYNVcn6FvqZsSupHjfqrGW
fFEcqN/9oMHztFAnWxP684xTNE1xMhOC7o4QjA9skRRz6URoiFYsJntmA+dMV5Lxq4fW8NbprZw7
P6azqyzon5KP9ofG5YOWXxOHUO1+/se/nVDel2353f2fn9REv3zVtcz5319+yf/4g376ubz8H29v
zdT66R/cH96+2/6Lo9VX22fd38U561f+b//lf3z9bxyCEsohHU3Rj8v1+9VaX+SPbz6/5V//9Z/2
W/HWxG/tTximf3zfHxolSfkN3yDCBKQ5kmShWvmHRkkyf5PQIGmiTLyQZalrhPMfKCbZ+k2VKY5N
XVq/E/3SPzRKsvGbDtNJZJYsk04gScb/jUZJknAc/jSgNlY/os74EEUUf/Orpmbp5TYiyiDnXEhP
mPfa3QdTUZ+j4KbUcS0rQ8UTWgLMlXIItFFHvydnT7FHwCIOHnr1hruvdrq14O4NzleSjkMhmpXb
Fvkhe17EKoe73o0I8USVh5oGMDSv12ogeVs7zRpiUsW3SO5jOzXH17aTFkcUAoiluAcOYIye1LZ8
GcgiPTb4M5wakKBThsZ0gcotvi89fzb0gnHWp+6GEKzI7ZpM8nAvlfs0X24qOBg2+lFKjgiRfbOA
FNKXLn7FWBvbBnCA7RRqAQnCaLVWtX9ZMwdEPLKy6pVjYKSyE4/J81rowJPWmeDy5ubCuJXxhznh
jAsrYTTC7KTAFLRIiqtk6aM1rbXFxCCz13qwMGmU22YFtzFI1XbgaF0cQSPVh6WtJjao6UGKmF9y
LemUjbc9DFTqy4wvnOdkO+M9c0OpVW4SVUKMGTUKB9KRZjvwoUPboDSfBeWUZgthoFFLvd8mYFZz
rfAigoQ9q81jTzU0IFookBXSZsAdlbMfB/Ir4ZezU5dCDek0IGKqrLZ/ei4uv8sd/qPo8ws2pK79
r//8F+EY7k/08rhQJQ1rrCb/qkWghA5Tg2l6bQKm6hbshTKnKEcZpPizBwDjpcirtxi2mTnFBsWm
Vba/r2U/LWX/9k2sWgykQryVf7GilmGlloNItisduzvQ2W+T2kl7fS6HjVjF33CYcCnlFcU6Yy1b
wI7311dB/VXrsl4FVVV/iBYRLOrro/gn0c1UE2GWyQU9CbO4CnP0iTAak1YITmhAaIRMeD43erHD
S3nbB0NFPnXtR+BbcBc8yGnlK9pSO3PEXZpGL8nsNYbxESPysClgFk8TEEinwacQTWfZnLyaMhg1
Ne3SICaBUs6vfZ++crh8NICRMXxL2Ed/uI54mmk51PQZhNkTRP6ubBrlZHSQOrECsqcmz7MgH8rI
CplLibdyujz+9cWR1VV882elDFcH3j6qO0OUkXGt8Yp/vjpB0iYZSKeItINStUmusosMbS8CibXU
ER9qJrydOD6NEKTPRW+dLTx7eiM7VlyX/iRAIAI5dhur9bOeN9T4MnMgLc+/aivH7WOOhltWlOtt
uhYrtRjhlhvRKzMjSbQSQJnRvCnZ9GaEyUVDDJFb45EzagtxA1V9BwJzE0n0mxttvphWeU6ayatM
4rC68SnI5MaZ9PnSCyWQFemrGWXOarh0FRABtliFjxwV3K5F86wYJ5B4KkVDfmzNjqxqsbAlZmfr
banQxEYpx1G5QrlDLrdg0++7z6PhENe6w3jkI8PyRrAaftNQNDalbl5qlXODihKR9lf/FGXMTotl
vFswCUGaT96JtcUYi88VagJJilEMfwPXLwDXb8KRWQhaIJP1RCe5xnxo9F4GqmuzmMKxHcGBDWXt
NGV9iuNuL41mtosmxuxhzIvSx9hlUXFlV2ydJc1f4saIXTqCH4nOiT6MMUqFKVUrTJO7SYEq20bh
B0dvOtzwe6DEtCKky046mpNxk6z7DU07ATX68CTXOdoZXUvp7VLVG0p3J0XFjZr04P6m+1qab+WQ
4SZlzSsSG5Li4iH1+jpfPGVG3l/rg+KtaEs/Q+pDQ2hpd9DJiKAf2quGBH4T1fiEh4no+Ch9rZCi
YfCl0S9YysDAYRT3HZfTyrNXkBxfS5kTs7gou/UP9FL+lIPwJs6iD7pNT/OQfKurf6Ae8SOW2taK
zDP7w2RUVOgmAT29WYFJSZiUynSZ2EPKRjy0c5nY3WRc4eYGnja/mkQyL5F8KTBa4CcWtg2zD4VR
pQWa1LPiBY9OJ7jAbBlthMpLP40fmSE8yoQ2MEhPH6OhO0p06hgelscmSW76sOaYhZbeWazYOBjk
1tGYkbfEKeCby/DyRKw8eY96qJaZ4S7NDPsi/Q5L7apUhB/MbXBACbJN5uwVURA55BHm5sTcBUND
ZR6IZHnJ6Ude6nbcF8dYjV/rko4deDwOKxKxQzLUICtJ6VUmxbGLzS+17lJ8hotdCNFj36+RNN0x
Ws7wWbZjnR80tT/1Uf1I9U6M2ZtumpKNxv5VMCraFfXClFla6MSm1b/RB0q/qvUM01QkMAymbKAn
hbj88xo0mXhANRBDrLxr6nJv7qFsHRWK7RTmFBU+XmUNb4I8h0RQltuSVroevNR9fRpHrWGInB9B
bpb7wGpvRVQwHC7+4KL+j/vYD2TCTwslhE4QU+u71BQ6v78gFYrV3llFgOSxbUI6mwRfRQCxIPpx
UCR/V1oDz1kOiJUu0EnBV/6huluFpgrQ5EX+xHoEmyW8p6M8+UZvE6V1yst4K0zRzaBLV3MR0w2y
iUzPMNcg8ahoGdpmVOQ48WkQ9/R0NtVonltlPHbEI3H031RpnvlxzL8xZOGEbw6h2zLGPpPEG8hW
42Y0+gPc58HRKvUxXqLtwCjvJRZorPVB9D0MTOIEIAMbcIo8lmslWfYE1MOgwkFTcoMmDI02IXyx
raCRZvTjS1AeZQzqG8uvl07bdmhgKFk17crw7jprxrNo9hewiGCVGs18NgoSjsR4LndaHn5b4LXB
xnBr/pgDlsJ6k+KtttMGy/E8s/MgBsfiTQ4ls/nK7kzjEC6ZBqtoau2gtD5aI/5E/8/FxiznzTom
Xzlng+FhVPa9MonvdTNCjyi0ZrWx0A2IyYyxoACd/noDlX5odn+5L6ALqKsyXpc1dtKfb94ItkCK
Jp6dve+fRKF7Ghq2z/QV1BK2+/GzzazEZgLp4gZ/wLW/VdvWm8FlMHfKPswk3FVV7zCf9Zaap1rO
pdelXeh3SJKzoosSA1NwOJzICrw10H9uApFQbbXwka/u1GTYIcsDrdU8dTqRXKH2pgvBK0MgoZ2e
2oXwIq0PPxmexujl84eoYJJQoyWdNUZEoph8ho1FEJg1+KZSXdqkvxbVfKxEmOT1/B601hFPIGdt
Q7jKcfeUlPGtPu2K1nxm23gSDCVl3WdRq0LrCr/vFTnSvhRl9AUW95MiVztO4bisRprQc8UySNH8
WvLVnP6Z9TARYjjNEk6OyXtP3irUwvdZ7E0H4OJ2jLNXmqQt+vZ2dObFJAu0pj9URto10Yrn2JxP
olFc4jj+MImgIJSJVFi2j4KFQBKH+4kc5LmjMQfwL2Pn0SFmMOJq5gZwO9esTKbPvM/fpj51l3TB
HFBG56Br/dJch5/pWbGAkHYm9Xs6HnUJ9B9es/0ydLeVYp2KigScvtClDYFNKrOX0AkViAOGZFwl
KCWEiqNJZYSxWdp5HyA91ArFr6aSCbUurHu0PRTQxQSF8EshvyfKXrDVSlD4E8Xtiuwtj+e7rk7P
9KJyu0XP2CUNFtbyvZLCyzx4y8xkgJ5cb9b7GjfhoMPK0qwTntvLOGeoaGL0NZH20s7phxXB+8pb
C59petaiYNMPzMoU5eGvnwlFW4vGPz8TYHQ4P8vIlVVV0lk2f34mIAN0TQ7gaaOwKYvA7F0W/Ws9
dR8G3Cw7DBaiEljvIcM48zTzWcjzu66Nx7oibxo5OOseCBihkHcihuS66K+K1BxjkQjYWV7ORtNv
owj1ST1Y29rMd5OqM7BfTH62YN3TMnoa6Y2y+GVnlO5Ps5zv+tm6FdT8VIwy3NcBfmpwVcXpTo7y
V0Xh06s7vGRJMvo9Ai97ymaM5jpNZ8vR8uJBlsmNYVicxyHlpUj6CrO6kkgH3LBixESK6eNBK/X9
XJGmFF57Bs0In8D0Lcl4N4z1JVaq49znNxo6nnlksjhibA+R3QvlDXStHisdHybJZTWdKz6baT5M
eu83Q3Ih7ymCZMlTMsUsmqKXmpwa1eIlToydHJiXtCbBp4uVm0xtHk3NeMzNpQPjbJ11aAdpZGzJ
p7hrzYIU8UL5Uqz+DFqVxbk9LYrWbEuiOZwZm2kRYvMmk5ngxeCoG3m5RacO4rFDWGsIJqhjYpvM
UoXdRhOB0cYNcxiy0ZbkoWeA3JGc3Ihm6RpBs53V8qPDtrsCZW+FAkwcgnOedv0VgQP0s8ryDX0Q
cdtkHxVxVJuGxFl7WodYuj6clJhMuMyqmi3jtt4XeQ03hqbny5P2XNYca/WIBy9QzsuYf2UpoGdC
wkS3rwgKXLuA+ygEGlhHze0wsZM2oRpvl658JYCAnkkwIbgA9pHpaGPBlSEuJtcEyuwbXMIbCFRM
rBA1kUkQ+FqbXyBnX+Jx2BJ9GPtNnJzRyY1rX/8uNxl/lEb8hTmTAbkF0wkFV9GMe4hBlyocnwDs
X+qo38NkY0I/yJGfB8t0aYqBjBctJjo6GsbzqBEJgaKCBIIuP0+19U7QxV0pD3fIkZBeh9wv3MHS
UTCXN0uWdW9cGnOrSeIb863H2SJwTG5Hoi/W0KKqlnSvGhPdz6RwhMwfUR7+WKasiUZFkigIA2qB
eWo6hXaxphCNpnmHUAqwb9LBW2Y9ZCieIUgryWqe9Es05sewUKdjkVe3bSwH/JK94Q0GUw1xEjlO
Nx4o/fd2yT+bPnXieHqg8n2FuEls/GxoMB6yT5FhPlGASm2nuVjbI3tlTtudD4yNX+uhy6SC/NGY
Ax+wyc5QTNa7OQsmuyA1CBcp3k5y9sonPDpynMZ+JoZYeWB5OssoPcvTc12gcskqTtW9FErPYvPM
tflAwnU3WujF1aneIQg8hnJzqIZpow+c1lU6WC6l8imV0leGGleCOq4N1BLERwx7KeKbtjiu56g6
SV/nYJ0G8HHp2XhXWQlsp6C/Cer6HiqIzMLBbzcoDRyYEMZXyHzEoWtgHgem7XZjcHyJlgHQJmnO
HPawQnf98NiNU3skjBRpCgawMmqfVKkBHZRE321MnkpRvIZxeK8JHEx6rXON0ULdo5iEuhfl2RCy
Zfv7oD+kAJz6hHGvwdxsWwf4woGOPIwLCfeKeVat6lBJhkdBRsJb2hHYzI64SbqER1rGOmkajS8F
6nNWZRfZxGgfpXZkkksY9S+ZZm71ZlkVLZXLunCbRsUxX5X2I0hyVTstK9ZlbBfOjfk+RWGDW5iR
NmFPJ9BfsDwgaDmA2S8BSYT2X289uHz+ZevBW0WTFj8aP5HYtJ+3HmOsx9QQGCk3avaOzkfxug42
cApSpFboNCZq5dZGKW6thgmDJse3hZ6/qfLyBnzhrFb6a4fkdtNE0JYtjfSJPG4ZiePKvhRN+Vzn
o2dGgMeTijFSXekF3m5MGwlWMl/Ti+/1fGR3A5lmOnwRVwu4cQdWHltSphb6iXpLj4YFtRegLQwL
UtKsf/7xGnGe1y95SAeG3xospMidM830YsRYNN0oZ14vFQK36ziYjpyl71Jh7BREhCh51cI1I4w0
uCa2qcR5bRhBERgBeS1lJDY7Re6QtbTPM7zX7dLkkp+niPUsgz8SqMVyhKvbUCVALwk5GVgif9Fa
CSn7jE1OTmgXCuynZUiUUddb18jAQtc0rBmpUqMAz/l6dpkrrpKzriXvSUeX1dTOHR9CrjbP+Bvh
lGGIWoTuWR1wslsmIzulEucT7SfZTsgj9PWopvU1IQCNW1PZqXBCIJU3TF9QwZtl8g30i5k6RFe/
koYCyQnfzr212KmFZmiIJOloqa12gPPRf7VAH5hD6eKzRHm3X+i6uUqZvqtS3pK1R37vnHKRhiGz
vDCBsGzIyXsjK36T8SvFg+xzovHqBl0iIv1WbPYqQBdDx1hD3ULxgl1pYzapvYBvnhA2qUFx1RJL
eS4lKbR7g/qEcTG/qjUL2yJWfXDyCsyq5tkU5VurQQUQcas+rmC7U9IkLw3dUR0zE4eA7p7HytEC
48pCeSnbk4TAcC+Zemx3IHPtqtHcAX+PEygdeTSjxsA5ottghE9ViJ2qm7U7lWDfY8Sp1afJ2qAa
o34QI8XvJCix4zpDzjKRtLchJu444K1FqszjafTEqUwD0a0dpPlaxFhgImnESCEGyEnV0dqkch6e
ZsQNPrx+ACfgWdrgddSoN5Myv8cn81aZhEFlTCjQf1zk1AIJtATEDvb+grhuo8yz7Ohx/S7hA1Ta
NmF6H96ICrl0GsYDePWpi7pjwaPEVhgJNyPwEwQAMocWHUGGEL/nAvpvE49EIvG2/3odUbRffXym
pBprV9QkwM8ykaf+vI7IGVydpoDObM4xz4cE1h7sh15c8xoTh4EWdSmk+TCow52ahg+J0O1j+Ak2
0ajnhI/eHoz6gxrVPKBPRVoiCxsSMNkBU/0ttxKicyLOZz2XgnbBstEE6R58Bn9i1htZRUKtJK0b
Nx1hE7rft8kHxIsz8427uKOBma26rIX2aaENdyLhj9Cb6BNZTmOW3yuCetOKIV4KeutTWe6sAQWH
qcv0miPaezqUZ8yznDwLDdOL+SQt06HVb2eZH4SgZwu16mpqdAbaTDmOOg1uLfF7U71MbU3kvSC8
c9qyMDa2Z7FGMpkg9lv6O5wX8Z63FVzWw1uYVxdIr5ULfZN0QTE7d6sjX+L4B0KHhAzEfYBXXjKa
VzAY57t5gbMzysY5RZJnpFqK6ie/GbQEL0h21Ndnobd2/RSd6XTBfexTrrT5hQz9NQik1zbs9uL4
sMA4R3iR3QWVtm9GNlA5b5Zj25lekxdna1D3IvIhae1zTgYMJ/Tltt4p74h5QcvWlJshevKg3xem
AcscvnJhfgZ996DI8VMlsvNJk7aNVjWmaI7VdoryBz2mmrLIZe6zp5BsoCI0LxUPmNmijk8gyGbE
Y9lGLF7R+Gha8dTR3wtk2qeIgM/UQeamx1tQp+JlUTnFkWRWkGSqtBaI6mz5GNXkJaq5PRrpOTGN
tybT95aGMjQTR0TMifw+l5x6y+hbFQlclDu2nyE+Y2nclhbrzCBTmqGTDyHNkAE+FelzpZqyY6hj
f8gScrUAmdi5mjxOQhB4US3do0RwRJCMnNNRfhhHonYJiqafnBOb26bQ7Moqv1eS7AtZjavFpu6S
KE0jYMpf06L7UfMOAR9RxZl2MqGJanPxqk90BfSc4Sbs4+u0oKU1reIiFAkjlYi5i1TU/kgb0jeD
kUNawVoGbf4Soj6zWwqn0oy+50UU7Ukl/LUry9gXA34KqbT8ZUyai55On3CnocXMXErZ7J5FjWzZ
kCKok6xjPFQ6+/kaBNhL5yC7IQa2wt4BiLoajG9BFL6sTt2SEIP+WLEegwhPNr5tV4rqazfFPCjh
PYoXt+tY2KQcXXd0Rlvm4A6ova6YXPb2L5GBGFIr8THM1ciZpabxYIXhd8QTCFHwJHc5iK2cqeEI
t6EfkhO8VJP9gLb3YDyw9W4qMTobQYriIx4fJ0IlNhROOqNDboN0uGPEcKY+e0XAiWpNSR8nMURi
UfUffaWLDv3sfqPjgdjkYbbj8unA+pEfouhcvCjXaSqZ4pegKS8S08mgoUyJUloCah0/1FPAr5sa
5MDMDEYIZfiepQkRFo0uTEkcTrtKFwApyOqbObHNdbUQvRVpLTqxqg12KecPUzAh9cETURZR8ULz
jAQXdpXFzw1OjZDdsuq9HqQXcopzO2HGAVzvbmqX1i8MAoVkPfmucfHzs4R3NeLzJnceFrulfE7r
pFfXk/O0cBKTwtWSRUYtn1G2HYqE0cF8THhVO+CmEqcYmCe7dQyvS2TO6ARyu+/JfPPNttu3jK/x
cX9UQc6iN+LbnfCJ0LHYKqnoYPKZXQPB3yadFESKwbhgpunv8jy+hKy4QKim/Ped5w9xxR9T21/E
Hr/849/+X1QdNLT/oSn5m/9VrqKJ9leByP+P0o9VDGHQs/3TRv2v2o+vvvuZTPPP7/pD+aH9JhtM
lzifm0g8JMugN/UHnUZD3SFhNTbx5qNqVQxe6+8hXNpvdPRhR8twTsghWMETfw/h0n5jNkrPBJaM
of+AR/9dAPPTp/lPZc9P4/Bf64oVfYOJmF6xpDISXwk5f563mki40KkaX6PrlWdGNW63eeM/+3Nn
9/+miFlFLj+14X59rV/acE3HzDXQjS9cSLvFM/ez2zmTI20QN/jqBsXhBt+RXTugn23KWFvepk7h
q/vMLne03//N2Yyu+E/vx0Q0I3FxNYlmnwbpRJR//t1lCkWlFHk/2iZ8EzYivrINEVJyqG8q660m
fU/1CuLZVQ96m/XB+fto3CdHTiY3dJ/9yRHtwdMtt4Nhatr1Y/ZJRbtjyA5a9luszkPoQxRWLD+V
fd26r1bjqGsGLpmnw4tCEGrlxsIB4dfkCwU+hM0MoLS3xYfwMX0Dtac8R7t2S4pm50gfM0snX4JC
6xhcgxfNUy7WlvFU4VgnlP07a5sdxcfimm4x1B2TY2V/D1xb8jwbL35bAOUywdFsTnJ9sWue8cPF
T+k9filbO2r4mk4oVMqH9BS6sl27+nl8IsO32YT4xzbs3LvI48xtt67pmg941H35PD3DWPSGg/Fu
Heg0yWfFSzwcRqi6vXSL8HKf+M+SJ/vq63yXXEi23Op+a+Po9gW72lSH5CjcZC/WTbrJ3GQr87nj
CPbix8xdvNxNPP0bKCvhvNvh2njCDmD+JfHbbwI179uz/JI5RKo3T6qDQHMjvcRv+l34pl+mp/gY
vRgeojmCMKT74DY+CPfFBQLLI63S58Cvb1mnD+FetJMdKTCb6BZQKlDLHdpcO+X/BW+vPUiu4BPG
c4+uG+/cZho2yHiXHZ6Z8XtNp2FKBADbxnqXY3bQsXkz4NyYr0PkGJOXVocpp/zepG+Bn++X83yZ
7gjotEV7ubHu9dG5hieKkG+dC5Z5MXgFt9oVx/QRuy0D+vCt8aojI2uMPure8Mj1umkZ1l5rP/NS
rmO4XY7VsfuQMltvuA3oAXiCG3koazZ3w+byxEBuE2/eRbt/pEW2U/3RfV02utNt85N1VnfVtthq
7/wKyH1tGlvZcXZrW98lTrxfduU5uoTf1bHcKwfM1zvVBYjotkeujBd5sQvfvPWuzVbeBUclsY2H
LHeMW/VDudXc4i06p8fxMl+Spww84XF4nD2AER5iBofBta1sM0+1JW/x3okztyleHiW/flbutLvs
qTk0T/mJTkb1NE6+Lnt8NgvxPOfpNnyYTwY5eLvRHV3VoXe2GbkY0oEDxiY6GpvefqRFbgubd2vT
s7wo295DLHMZbDoPm9kWfeFm+TA+4CjveJ5vhu205dX34Y4MFVf0sK3b19mN7/Jz71WutOfx4kW4
vvxXd0JfdTb6Tn0h0qGR7IqezOCFW5nOwiETnfRBpm+P/v5Ga+99TAs2sWoOAhGHhWUzusNTaYuu
tME96Ezu5C6bxb3Ul+YxevmCrLKrPGi8CA7d6anwZJcpO4/ylejnvZ/6ske49ya8UKRJuLHAAKOn
Dvb9eAgbRxGOYPommnnpXsr9EC5rcZlyRrEb2nAw0MVg3/LkmQ9D60GmCD8zfbPwO/hzt4fjzTgu
ueMokRxiMoHt/r69r+8x4A4T8/zNxBt9Sz+Gr/6m/JR7P9U+y9AXp4P539SdV5IjV5qlt9ILaK9x
LV5dQgQQCC1e3BDKtda+p1nFbGw+BNldmUkWaWVjYzbzVGUkMwE44H7vPf8531G9xY8CRTx3w+CO
E3lHNtB36vN8LO6KpwFus+nI+6S8OUJGsHV/4Pm4wkd0cX3E15J0BByK3HWDE0k+SO5qS7fWA5j3
YP5CkII9acaBppGI2vd2V/unfEh8q96Fd23M/Mo9CzX1Jr4QrI41U/JEk/to7LqH/ou7cp42kBBt
ThoLgmoLobJhAniBuZDpm05esV29yMm9HKHHn5zFe7bwwyfY0a7IAnEiPBgrdpJg5UankCVkzOL0
Budce4vFI/JBiPTOs+Rup5etYO/Hl3135BmOfXJD/DmgaNGunDg/GN6EPT7ivt/ZwqFzsy1BOHkf
bsKNeEd3id3Yn3JCrZY/2Y+qQ7AcqYLyYTfmB87WOW9sRCfq0ZbNCL+YEnl7fbireUrp3v7w3D0W
FC2pHtWB+Xy0wMo2Ae4ShnamYdeOdLBcnm+KTV/vOX+WjyMPVe1VJc/F8b9Tg1IIZHlDLDVS/Rbn
jV+9aacP2Wa58fagbB2Ko93IORP7C37YLP2+Gflx8wFr6k9WYHY3WFkhusngi35egTvcsqEo4wVx
kod2n7pvhl++lN3Bkl3oNqMLpqW65T5lgs1C9cz96/DcyTcM7KdzBKtE8BYYuTr+MII7Pm3yes1s
8qHqfB6wONGj8BgunF2PfahCSrgKxUA99N1OaJ6pHpIlDzM1aSQ/+TKuhNpuH+LPS3FN6/CLsQYW
VfOGZ7Ea6IR577on/mkqwCnHxe3DtzViV2+cZPUaKZjoPDto702+q6q9onwOsGidkcdmCpHDGYgF
BHl6O7MlAM8PDfsq2pPIyJiJdFurgxdzjbhCqAQrVXJba7dKgzn/inS8/nl9/xqPzhjv1RLFlhvm
drppUzcT7f5lQP0DoeGpOybYJxPiyllq7ouVXKidB+U2pDljz0AsELw5vKa8vjKIkqSP4y4k7EQ7
ga1wZhB9pr5eiWMlCZCfcQhI4Tm9Z9wmsUz6oRPeyDmLVV65vWwriWbn9+V2zQ/8sYg3LZEmWvIt
KNhgvKZPCH9SuYNqu+mS1ZeqQK289DTTsmAnzCgOHABv121zEI556nBbtvk20WH2xuPuRKbcnx0G
GG28bffJtjwO1/W5Hi9dBkhRVepqVu7O1pE0v6GhFuJBpvVKeWyIqZX3E3ExSjldZfbEKWiSU8jq
P19p6+0cEodxiIqOHMGgrjur/bQ6xba5uqAEGQhN9qeeejWDHdxo5zJ2mw1D8oBijM6J7+jJoLFi
oMnH5fhWOMk2+eAIegUUTX3REG9f2iaIZJ+JmqFsCgCIpDc34b11ZPJp9Hb4QhMHJef8a+YAtqY6
6bMxOnymKWZIeztvymozVpvuQeVjdriLXTroUVSH/NjMB5lVuXdFhXGrPaeOrJ3SapvfdYbDUXPm
tomv+xSLgB+Gnx2Egu5A7DzAjeXJp+nEZAirQ17v1nI75zehdlpYfBH7m2DVDpEKWXsfls76Rvnk
gC/F7RpcLpvcDbf1HnG+98LWze0TA5mugnrg39IWoTIqPvPqWutoA26RYEn3fBxmiwocuelenBG5
bzHtkYCPkLLw1HlZFAixt1yjro/ZrjM2Q3hg41CXe76zAd0DpduBe7Rtv+JHHD88gc0PiBKd4WGd
wy8ePRhe78UohwsCN1FhBy9fBZWQSBjrcx/0NDAgMBVIUba0j/0G6ANSja+6+dv81rw2Qea8l/a5
eG+P6juwt8N6jFj9Huvb+nUQADJgLmNHBRnIU1o7C+pH/am9xOSZDzqElGh84PXELUurcntLhNty
ArX3JtoRVQcnxSZqdjHYkmoj32qJG7N7qNgp+BD/ekd+kx7aijYWv7uXdnOQ3C1vPKkHhFp9R+Mt
Rnjiyx/Eq9tz+FQAZPmsM1d7kbYG4xa2uSeKALf1LXYd6NUkTcqA12pCX7oonc78eRcN9vjanYr7
hGBt5/EP1WcqWjE0C8FUu1rjSERET/BC8tpvdwqBHlpsOXpdU7kjVSRrUTIdxZGfJ+XyiefEUdgR
z5v2Bpsy0hwzbLKB6L2lx2iAOJTYH9mIR0/jgXdEw9aVdk3M95rBFoojF/FxeZM3UeLXB/mqvSHm
OJXP0V3uFffCDj9UvNfZFrJj6Lgl5C1Duu4jZPMd8tyF0XdDWGp+MN9IS2OKSBnBy4xRHZJ7ryRu
cSVLtr5vb9CEuUF1eDYl2Tq7/NT3+mY8Ri/aWbzXN+FT+CYKjlL7kAfwHS496DgHzIlZbYj08adN
mOp+93QzbMyjXNjFG0URHYl2ToR2/a5sP4ZN+tA/jA+4LLj69Sd8zmuObWrqJARs/f4lYrv1pb4q
op88ASMbe7cfDwQK00BB3t73fHt36iv8GcwTy223geuwvQzCn4TT8DQAzcSBWW5vFiavlBlPDoeJ
9IYUwyF7pzIMXjzGve46uy6D5g1f3eRkj+k23konjm/TJrnLdzi+r5pT/5rf1A8DH0D7GPUHfjqu
yWfLg/pw1x/4IayVU1w310SWRI6y0gvJgdhfAiyAQbqNeLDakFomt/my7uKtHFibysue1hdLv2oN
r1EDYW8etOv0vt5O57VwhtnlmCPU1zJn4p6zGzUNzBFwA/L7wNmbTps4IOQs9/sZXwq/EMGywVYd
YtWF59E8wcEx64AVLRW43D764ceedcFNnY+9dGdhQvwIHZGjpmDD03xB7/3rfYis/hx/+U0JYEjL
hJb6RnSaX6a0hZ4u9C8lXyh5pDBjToXUWdqtrx/zq/bK4v0P9mPq0MfiEum3H/eavb955LGyaV2T
Ey0RTW/2Gaa5YcCJ0rE2wj7fNkf5MdkYfue8vdFgZzeBZEucAGXOe/NlZ+CmFO80NgsEG4mt5fFo
swnx8Z/e49d3C+eT49bsmbZufwp24eHoeSo3V/ShWgczqLecFA+M23MMKgGCSrA4k6f49ZYR1RWO
mkf2Sh41sRsWYPc9ZHd9fY1u4Ic7Ii0uaXFPdXIX4B3HHsBoW+qfPXUL7fPA+nRcno0gOk1b1jcX
VNKext14dYyvcB97qb1cMT2+mtzVa4/9WT6N+8ZNTpLXbKOAR42j7eLj5Bbb+svaNVuelzbOt33i
pzuG7Z5s90G+e1mD1hv8y9lMPH12vnGjX9UbJoAHAoZn4ZBtR29xpfNwbwSMSDkofl6xgrOpxQO1
HRBfCNJ7agB9xY3c7JqbOn2dTNvYCopLRaF1TVBvw/2b4xz1v38z/5Yu+i+jbD+Jntf1Z3nXt5+f
/eFc/3+gfBI400Cm/o//UhX/oHqezv/rf3b/8Xju3ivw3Cwi2fkj+TH+9vvf8F/Zt38YQISBX4OO
QFBVRWS/3xVQUnG4gRBHDZyqGEglxNHfFVD18u/IxZnMnlULgDdHg98VUOrzVByLjEJ1S+eeFfV/
J/t2ubV/9AbqzBl1Q8QXiPqJSelXmnQhtgIETNYORiUx3epGzFhIlJyqwXkyqfX2h2v1J4eeXwVX
Xk83FMlQDJqwLr6Qn488MxUzZdhBE8S0VEPbqm51ZX1Uxtj8m6eapfysbwLqNhE4LwBznmgyIN/L
6euHpJHKRHoWw0tTNuGCvIuuMWGAw5iW5xQrmpsr6DZRvB4aEXLaDF3llfEWTfTRtqBZxbWaQveY
WhKYmGYa0rvhwSjPBigZ2uHkfVQ2b5MUtrshzqWgoxPKjqfaYEjHlkc3pdWphIr/t2L5IrrRBHoI
T1DHDXqK5IPYKYqrLsBOO2rmDga4Y3tehpvGmldnEoQIS4pJmmmNK29a6WNeSVo8MfKsdvI8eXNU
DDstsnzCgQKuBykBHgUtp6TpZj8NBuyzkXkdKZ2vMB8ij0KcCbQYNmTF/BxWjvRxnjEzx3XUynIe
CGuGgibrrU09Ea7elomfUdKhoqSGK18aj2n+FLddPM1X00y4d6wAkiZz9WIu802VYNNI6AO+UBm3
tTV+VlpXu3plKGxJpO7IHCn21Jyt1NJdN3L43CYKbFdteuiKhk0OCrwNPJiz+qKfki5/MGul80KK
oG51mknciUKYfVSXlV9pwuOAO/JdpwRuqwPpsyfsuvuCSM7eLKLX6IJMADgNWmjFiCeIuccgH0hj
Sw4p0nsVNaKeH2OhX/w0LIa9kgCjSYgh++YskvBP1s004yjqRnIxC/VWd6EJ6WkghO+lHf9tmE4Q
e9V2vRGx+pmrJO1lAbUcy1FEHhSBJdKzdNsYJZhUHEa2mEdwYEsmwn0TfyRy2t1gCofKl4raZm51
BQKjIfpdRzkKR5+aXmsiQqKFyc/oVrz4QurJ8WxQ6gJPTtYX/apKC3EzTuwI9QirmNFQOtHNyD+o
DPFOiUJcVRgV8sQABRknl0Sc1e0SofepD2f6MJjdK/aCwp16nQvUNCMm3DDbF223bw2m3PmIWFQ0
4eS2BFXe4ItEEHmlzhOWwXILdaH+epQoVNKauzRkGEoYayu1NeWLUAkwtKpuJeQlKc/4boxgA62N
aW6kuTBsRbqQE0XjOK06E2+CC9mEGLcS/JnXQ6KbNzrHnRFLhz7k72I9vV+KzHrocgoal1WGz1U/
bXvwmVzrzRpzMgD8cSu2A8drdeaXoTMXTLJDlyZnXCU9duZaezBMPn28RBRBqWAS4O+peH+cVNLv
FZEaq6yWnEhsyENyyefFL9ZpYw7y2RSTG7wMT82gYM5Us6usNh6U/lj12KaMaQrmeA7y8Qse5Ea3
EBSKkW3wML/XUF3VvLpQGNb3HD4uRCDVlUTSRCVAlHTahtpbmfXv2WL5Wly5mVK8r9gFeoXdYT8F
U7w+igP9mMl0G5ryM82RpQeA8KwrybmvpyCCYsTpBOeqXn1GBugaOaQXZnyP6shJ6zLfl3k12yrG
LGRZkhsl3G9npnUxU8ikaPmzyv6f2dBztowvWVl84qztbcniINMlb2L4Ra6HYoMGGmdVjP4yS+mm
mhGb8pmvVOVqumYJMTAp1E9gViuOoGU3qs1u/PY7q/W9OCyKV5fSdlBWiQFO9Zy261MsCPvaEu71
UTqVF3e1SIc0pEREqPRiwcGZ46dl5JvWrHiqUUycU4SndhpuS4qj79J0eIdljXQgq8/VTO4E9mNr
K6u6EQyya9ybkx0ZyXD4DtnFhOGyaQCzlZLo1groyDnCYETZYkgVtkLFmdJSojIvdkjNEJpndsqy
eS81Kskw0dppMm72QovtS9vJiI2b7oEhAtchfLUFM7LQNxtp35J0KqcqqNL+fmjSnSTyweolOUJ6
daV8vbn8jDXLuBVH69KnzIKhxZcrG3fUholHFqstXOPNAlqZkUrT25qo+80k3Y7FBBV0yk6GCfGK
hZyDtiAeVDrvtbnGCqLvjHF+xf0IRzFfYfkOk76xAE8Ayli2hnQRrHBMORJtSBwCjdekzQN5wSOs
RyzFdc7TKMxVRihW9HXBPFWRcL8U4yEeOr/KkrtE5i81EbxjqDRjChckw9M5dxN+jNzvoEq6WmYe
JwlnYKNEVN3TS9Qlz3m33CUpV451FLod9aYCDmanxNURAe3kqWF8UOpQY8rDkSLK03skXxElaR29
UzeqwVY5RpSuOFcnWnS39hJzph75s+mnd73o2k02SzsEY3rFDHBjqdrWThuOaPZNeZgnglSxTI5A
WE+TxK465tE9tDrXWvPq2aB5Cvm/zc5plBzXBidgx1FA3qeSGVRFsxkzAbzt6JqRsv++rRPpdh2a
2zkh3E+v2V26NF6dhDf6kDzCptwlvbYdSX06FycZ1R3PQMU2kpE/pzXIrDrs77VYnFxlqC6ObHJp
ffk1xggAxYqHQRBUfzY5u1vtF2DooB7EqyqBMEd7uxvL2jM9Vhzc12E/hvGnIinnTN2O2Hl53JnP
wgw5PZNID5TrSRjVY6KK9X5qUY3iCQKYxHGjKfFfpShdJXhzKkipAxvxHMtPUQcyrKAS3bqvTZKb
KbMWQybrlCbdKWe/YPUX64skCOQaEA2N4iXjhJ9l8AkbbsdYnqrtjJxBaeVjO7eLi0NT8mfLgmo0
sb9SiW4CGr43s8G3jP42S/RjI87vscr3PIQvgrqHam+GxU4OB/G6KUTpvYvRhpaUyiRT2BUSbqpK
PI1568WleezTpyVOvqE+btEbmM+19oH0lOiAYhMfMouBVAfm35n0VHSnjK4vXQlLYhAZZJRYEpxB
IhKUE8rnRF6xcTP0aBMJK/2X02rcsOebvHAYGI4naHaCpfZbiYoZN9YQAtJE9SxyjQyWVGBUSsGC
u65hoOtNcpUlPDULqYw8varxYfHT8zu5TDa0K7MJSatxs8pSd9YaiKFSNkhBPsnkumerfsHswnRG
L98nS2aqV8opdYymfFqyMqF4neBEIbUdYMbiOpRTArCavr41Bpke1YSujZeQFd8cmiDtW+ThqFMu
RWyipwxQwyibXhjB4QTsEvz8vAKwOYuu5jyRZD/t2sYVVbPjHRfJgXxLlfqSjt9GWfizspBJIIPX
zhnNkkoDax0C7FwCxh7rFLfqZ58NXTCJbF5xRq9XfHFXC5ZqO6/YLYCWukwPIMbDGajXbc9GbtIH
y5YJ4TmWtHgktl8MQVn2lhEhBQty+lIqLUWnKi8pTXpxrSxsqNn5mHutXXaDMTCejpr8llJGLL+j
Mp6mUNktS9wSHUhKNw2NBy2MxZthpgYUAN1CHebS305U1TCEIAJn5cwD9ZUrNc6TtE2BTPgsog13
W36WI0ULJqUbdgt0ISfpFPmqUPLhSrealLLrNIRFUcx3U5SqAQNA6QwKFgs2vYe2nPG3w6DTt2PE
xs5fVaAS5Oh0RuJVdzIrffLwZ36kQ/JgiQrsp3RdfLGgBjYFihKEZFfBQmqSXeQaP6Ge+2gypAgo
Lm1m7Mr9sIev3uNAG+Jis2bK8Tu+XIlFz20us+ua5PWlvVTyUStOoTb8VDZ0K3PfbgLFN7CUvK3A
UJmI5qgiSQjZfCXimUNMwFqrvVox6Z1iaFBXlmivyuklS8Dnwxmnsc81780RP7tggZcsdPU2NpKr
PlzmfS32sTc0uupqs6G4cRYmDuWK1g2ZaQQLKYyP3CS3Qq3xshN1K+zFaUIlDeW1bQzYvlbWq7Jm
JUnFy5JcqaS64wRYojruOWnDfCxMM+jTy+fH0Y5ZMu5wiV/chUk7g2YwKAFspxWFPnrIovS9bZhS
9JP0xDZnOwvW67zMd1HawUWKRNGPJqnaZ/KlxJWzJJWhsUGsrTPhPC5ckLUVku1S0oSaqN2okctA
aY8nWbnhFOmrIFV3IbxQEj266BuhcppbIfQMIPVeS4IyDLODanSNK0117cMlZSBmaHj2fjMCVndx
VpRB2q2VL07Kw39id1VbSWVZDq2CxsJJV3blVHypwvhsdKHh1yPd7dJgCAernNZn4LRL0Igw5NNY
/szmhd4kjlOARz/S0niIwwYobjWUGOLrSfFgvRabIpSwfLRrsQHJCq2b2kqGx1F3kwI5I7LMsXqT
0DbqNtOQXE0WV0E2WXWLutWcROtkj1mnROQEtCPnngTbRzrfon2gWWvj8FLHoe4XerkeptnaEmEh
mqHNz2PI9lgGQ3WrNhnVKYMunjmi5gBvTDYRE7IZNwdIZ+aXY5okHlgS7B6CQRA+Uh1BF8bDjNHP
iYxyDSDcmXtkjVeBhgqffpldZzb4VBSOuQml1KeGzkBnHWSUY4Z+Cb0vbrzWkaeEs/5qiilbKQP0
VyoozC7z9aObDIqammwXGg3dAmHJl0SrPCQU5s4pFDNSAyGP3iQt/P9cQr2oopUm1UGU541eEAVs
BLVy1X5hnQppAdaFz0qOEKd7kmminlk+rGzNm0SoNY0JhxOCAcsJhYRuVMBfNRZcjSBf4K2r83ls
Y6YqWVr5KS2Yjo5f9fh/S8P7P3FA/j9obkQ2Mwwdse1fi3zbLj93/2Gf889z+9n9qO799x/+Td9T
/4FuDhtYZ+cu0z+noDL9Ju9J/yD/YdHMJxv8OxFYwT/VPfEfoF1U3TAk2LeIe/9U9xQTspUl4m00
gAUBvFH+HXVP+lluM2TRoJdLkeWLZRIjr/aL3AZtiIeKYn7JS+Yb3L3AKJL9HDPINQSi52iTMXkl
DFCk8t8I64J3qTSmd3362oDJcMypxVefmf3fuA/li7b5g/B4eWeU6QL3slAEVRm17md1Tp4rsc8j
UlQp28BTrC9JYIWYlzkPEttcCVWZUmcFAmQFP1NidRvOqXXdZuy8dVpESWVceAOxWO7IxhZea8jQ
dquxfgmNyQSVO5tuvDRJsNT5OU2FwkMlQ8dpGm5hue8jj+Kyx2pJqcm9KAfscxub/lSQioQh7e/P
bebz7fdrzZJ1bMGe7LI2/bIyzEcap09dhsSQLGPtE64eD5OKhlcskuRH1fx4OeyJFjXQdMk48tTB
5bGgEigL7p45VnhgLBjaQ+oHQtrAmeTxqSuDmZQ6D0fYEjbNSagm/XTIEs3n9Go5vDksTEl61kqG
wTyuGSrn2mNakmoWFThkBA4GzNdE03Vdp690PeYWvVUNDakzV+AaLISLPz10BZKGDvUNfNErGY4C
e4E9NtHXQg8T5VQX9gPQCSz0fKLLh9DDdEGu6jkqqNFIaF8UGU3nENURM1Ez11QIfWgXlUfu8rWM
LvuLdj3JMU338XK9RiGl5kwmsooh5VAZN0ILyaIcjPs6I24uGkzEognWX2stH+vULvasa8+rYmE0
GmQCuPDNw1E2nLnJHoe0uy+t8WDhnB/lqr4igccxLxxRuS4iB1e+cmWLgMLKVy9X3VNGB0sWvo4K
R+A54kuDf4jcmrSX5jfaqFtroD0EjXeSgT2p1rRXmrFANMX5MAg9e3QjvI5WysEpv6Xf0Wr3+gUC
WUzPAnhUuyW6ag+kgmyjTN9IQdKi3jF2qmvAnphsUVTSL5GgMRUnXNvugkjuI37hg2zx1ak02bRq
er6U+bK6JF9dyI88VuJncZg3ikQ6p5AuvAEJMTaFPnwyYdQCxUvYTfVyIFQK2dxLV0gzEaXuMjYL
SvYlIuraJiV3dieYy64N8TWUqcmGRp/3TU3qswGWBKRa9PjxGzgH1lcxV7p9LFQr8QiaYBL0l4m1
KmmvolmIj0pTJQ8Ix6NPClN7CpOxuRL1hviqPHzJoAzwOoRXIltsjWGupmI4iPP8byBZF9n+nxOL
3x8cGhwEmTAtj9HLg+UHWV9SJuTuiQcH+/kvMRECc2XPAi/tVBTtTRq312kXs73HQfnDCvAno4sL
ivCnV5ZERWYoI+nwFC6m9F8eplLYG3HadB9kwW5hdG/Bcx2rtXNLTht23SWBMuV3U8IZVS43WQeU
gBi0ZXeQWW1FKN7++u1cHpA/Xodf382l5++H66AWcdZTVfkhZ9pzXxY34Ecbu6AlbYDC/Ncv9esq
8v1SunxZ4owLvvEXpziFATDq6uajzORzN5LwAFeYeGIIBf6vX+jynn/9TDrTMEpnFdVQxV+mUWEp
GD3RtA8ppZ9HNgv8oLG8Yy2/J0WM6rVmV0xW/qYm8M8u5I8v+gsyJlfakINW8bFGKncwPjMtNY+Q
0j4oaPtty/UvsUVwLf/4CRVyjJA4GP1drujP3xrx3w4UVvdhiDCNUSqOy7q+m4J+FMCE7eWmvA7V
gbaJ6lHkPg1MyfjiKbANVXOnEvlqqnVHtP66zyQO7fJm1podVSd37DLcBnQepHo5eZUmRLNsHQ90
emmOACkyKGR5tyaAJCwj2XwvkUujA7wYRQUX3nrVQ9/3VAwkzaDjd6MfCW/Z8kpw6w0WAaw0cDW2
NYLEaCLQsskif1V0uduFgXaogYnk5XX8pV3xWdTTkSfbSmtggetOpwOuoKihbO5gZqA1jOZiZ0J2
OzGgc8pCfkMg/WrkAXd+A7h5yaEXr5hKoEa9UT/4wE5h34gpJObQzFydIhF31dmhx7FGXT3DP6+p
LhnuWANeo1i1D60p6OrhLq0wXevNRZRqMb4YuavpWCalRcV0J6WHtZVeiS7CqOBM7Df1jBMpI8bG
wcJws6mqXUnGbEBH3Wlcpefvh7BwebobIp4mqb+4usaB+FrNbOk7iij0yhOwbFoAJJHz+0rNY61D
9iFBCM2TwSeR34I9/yBnnibRK5aM5e2qRBgEZN10Sh1GJ1UCT5nV3tMmlQK2BAwVr9DAWBLqlMd7
sUC7zxpmHJW4PmecOoijd5F5Dc1jy7sROe8nT6PJHGot44hoV3EdWybePNXn1SIvDcuSsHjSOW08
baqIZAPmTJCn7jQIJ35sPuTA0yQwoLFo7rsMb2Rz2q9mFSyJcJJyNjZT+VUuwzbMGHHoIhwVxqBt
fo7k8SmBaBeNGo5jOmi6YXk3G/4WbXqaK7OC7IFNJwxn6jOEy3LJtSHL/KaV+pmKRYcPd+wFBZt+
0wWmuQZqjCEGLXPKl1s5XfbNQK+RWpRPRfsJJmarLMUeUOtVhAyGO0rt/DCJe3tYqpx+xeY2Qz2y
KWNMgkrtW09ccGzz5J7ndhs1MdbOEeJRJJvrJgUN56WtBF1hfAUucd8CPleQAjSNU75C3VTOST4Z
032tGad41r3eKOHgYIG6MFJVUHozSLlJkuttZoUHWaZYoJIQgGr1edGyr6KMyWsI4S4R3/qwozSA
GuS+rnAPivddTh7WbN6zzrquFb3G1BuJdpgMMGVj4S6MMYEsLVQBfgFSz66xbEi9ViqNuWWKJU8W
MKn/zbP4Tx7GNCHrPPwvaF7zV2xQkpdZMmjZx5iY2TaP+pHyUzhTpBKtkv/l0D0r813baw9JlL2N
A+p+OeWctue29jUalPYQYmtPiCI9UBPIj5Y5fMXC/MbE+zGnP/Lc96CFqOQiqEEzo8vUjNhCNwb9
jNttMW76kakZHY2HbwmZLUfM8GG87y4Zy1GhHMlOU0N+qmhBvJYYpmyW8jLKl7vFpZIUU1th9A7t
C4+NNN+XwrofIOKgIMrsl8IpwfKc8mcaDvbMCR1avA9xLXymoKualIOB2nCrRSO7q1rl711H0sLR
GB2jRdyY0gialzcUYZdkI7BlgrfJL7vZTPO6NKYuZNQ/kFw+IdrQbXHSQ7Zw2arbLdv1cBIO0SiR
76S4W0xiDhXq0SqFx1zLT2nMo6NZr/u5m0+FmZ9HIyGG99+H2T/ZyvxxyVPhMLOWW2ykzG9Pyo97
h5gNZK6k6eci0/0RaQIHFzmCn8Wjd6gs828W2D9uHzjgmRJHPXKAImm7n9e8rJGMFZj4h6iqd3U3
DZhD0+fVWk9//aH+ZH924cli9eDUy2NH/mUhD9OonRYL+ySjbyWCSa/0I52NUMuifLlD9r4zReHD
GtttJbT3ejTfozRBTK9e6WGS/mYr8+s2VRIvb4aPjPuH8/fFU/TjJS7ytGo1bfwoUVDtaVXfqzDb
tVnxYBJWBaOaT+RWpHb5GwLeH6+1iZ+HrxY0HqE+/ZeXhduIIJsOEZ2Gk4SVW6asXFfBO5nw+P76
eqMj/GEzQ7aTg4amaLiRMGj8/BlH4F8MbBeqRWtWxSU1KM6V0toZKbIKxkgdn2Mrbwn76581TgF7
NbLVLzmCOTy4CPeoHGGVEbSXJYAeNowXhFqBszsLI5vEkAMtyfQ5ZzbOehU+Su04HahSu6aMHDbj
hTgd6dVhlUmdS5eTSsdI8AgqXtvkMtwuhPTxai7IGcqkGsyGOzXLZXVLTcUrRonwmlGKL198GqSK
uZX7VNhq4Jh8oQXZw1a/vqa/kB4XxN4dPc8h1TR9sW7nwtKDkozyJCI1RLREOLJKvUWlhoUj1FP+
yJFJ3WL1qq+xOSk2lGdtE1Z84ZC/3SIJ5xuEDDx7kXaF74IUEifVBvoTQCkpmKEaPgARHw/fjx1J
5HGmDXXprXPpF6WOuqERrJRBxXgDGB+rnMsdv2gNOBgj53Qdzm0bkqKKSDU2ke6MLZVWSUJwvoPw
RwEDDb4bs2OCSy+ACpNLLG4YLVrBmFBghCgj7sDAfcu9tG0Stqd/StG3PclJM0Z6sEac15WF8CG0
fEGhDjHmm7pkxavd6pa1YadiMWhF0yh5xDpRk1GEaEFLaWN0CsMKU0/piZfOlUKtZcpTOqzATlpa
tSDCX+jgFHddGUpdX+s6rnRxVRQWbd7JSLjdqSUOwAJmHFotIdpNCKpgytCOLl4AI9VSr1j69ibX
oUeMMBd7DOWSwRgwmUL/G885luhNBWXKF/4tQfeUraMwMtjPSipvxeEWM47ljUOkuOZce2mMF74b
EXOjuCVfJ2fnb1QnDRjYfCXe/7f6E685J/gwRcpSedqDGxkOaad9og0MtC7jLG4V4IVZWKFp5YhY
3+8FQlP2WGdd8ZUmShEAxjF3AAJmb7Hod0T6UX57CVVhSdSNyxQhjmQXmtDsq731SY30WR3EPijL
zs/0vH9oGnKj1moFaZh8zPR6wbVA8fl+7yVkKmdQUNqkKDsnClNVreO6Wi1tu1OdovPwccCu0lCS
gm0QLwA4bhZEuWp6m9rWuHhmaD27SHTDOGALYqVXMy6LGcobMdIwsGkpNtUGiLsS9Tcajwlb1gok
ImhQdtyyp14r68SMh0yEFkewH6tLFotiHlVetsBXFC9WxO1KjZitKkJzW2hQ4aQqhHYkG/+bvfNY
jiNJs/WrlM0+YKHFYsasU2skREJtwhKCobWOd5rVfYR5sfsFAJIAyFKDvta0O5OLtq4iKyPT08PD
/f/P+c6abIOJCd2J9o2LBy9YiqhbkCy5sO0bdMU6WfYlNsdYx2vR1R3+HFwCjcb3qlgLp1Z7Wnc9
ch+tgX/Jf2p0UjIL+go0S8FcUmwjoinCbZ0ZZLR2Q2GvR840bsVEW8faEFCZOdegH4S5BymQ+Bzq
qSY1pedJIflwWUn24pIkK7Pd0M5rODCY2R+aBuMxSVQU5HLYfI3k8KYBnO7UIGXLS62HPhNxhLsl
bWecrYJwTtL8Eskk3SefXutzPkHe8YN5BEsBYsH32eDrSuNtlHW7JqDegMoB5RqFSSgLGbBXy58Q
60Zl0OcTEkTJglys20ytRs8RbWEnKqARu3PdZw9dS/7cTGt5UYpFDoTUXqitarCe9mDRNO6J3ve/
oI9QVq6NUCBv6d1xn1+kgjuLupYgKf86KymuGwmFY8VWWBDjp8AUv0S5u+/S7NRK6rMQiJclDEFm
UYscpOdwUzVYA9KYZVsi4AtUJfXc539UFXhyQkQmnmZh8MzEMdhqXFi9NulyfCpCTNSjgFAghwFf
GoQOVhpSJN9WEBV69TkRq/DkYplTk9YwrDYRNBIynyLNbwTZ8aZ2rUwJSdtnIUaYApQwZjcceL6X
pHMr7eCLW8M+0q7YbPuJ2c0kV8omkRGls1JlwbVo6DDlwxSfF+erVAyiS4dZnSmCQCOaJIasK2Zy
zVJZpXWyDFDEUP8LzmLFOhftKD1tLG5RQMV4sdGY5w0+NbMs7qzUbAFEdtE4U5muJBzu+tqDAosC
1C3Rd0aiQ8qMK16ZPnVFoWmJnFY4R4ayXGFmNGzIsITlKiLPWU4pJidV9r9gaImNagjONh4VGEZb
3IlAg8PUm/sd5iHkkqihQmfqIhEkvYddL+lO6EpUCqvPK54bOMT0qIV+KrIJWVQ6y94f7y1+aFwM
6QQS1kgVPgMbx4864chF4FXTrYPyH++Jm9iZuPJKyJ90S1e6hsvVMpc+gkI0DmD0DHXeU+/ITExi
JlQ2U4gv/vgT/bhlHj4QkSPiUHkUBxn32/2cDP7M8VQ+UCorp3oUrXyVnwN1W2Smf1IlGlpRH8pg
XIsao6wiXJZgHb6/lqd3RWBZREMVonq0BeuGQPUbT9fndJVJczNnjagvGzs4q1G6RCaWIpnES/VS
CryGpMF6y/6AyD9n2+ANtEJrp8j3tddftQSQhFV1yBwZsHfUPlhVettb4Sl0maXumAuHqo1o4lQC
7MXzapEb5OGmDZm64WkS7EW7pSwj5pPMsw5FTA2qapRzsQB+KGMN6bGmdDVRYV7biaO+xSfGYXoa
aJQQDCgRSc6dCHwaHUg3rOcCLMYIC1tpBbNWqlAkgtAycAonjgVkX96kXv2yPf5bvoX/z7qZErwk
Nt7fjn8/GBamLfaL6PhY5ZwSX4J/lo9DPsnzf/dqU1BPdE2E+YJOXsZ2zAnqax9TME40mmkK6Wki
7iDp+SjD3rV0//3fVPFEpX0nijqnHZU+KOXMr6AW44SqAf+VplDsshRD+zuNTAhE7+4JTedNNC6v
6wowY51AoPf3hAyCOZcseizUA5obNCPFSNNLQE0VxXchydI9udYA4gpMGOze/FPVca4zKpNQToF4
dlXorDpPRi2Mkiu+6Is2w5Rcl2uHwLU50mNl6TVpv0uLikqYXtl7IbL3LkrSKonis6aBkRvWFIMw
aZKHizKMdpDoVqeRa987dudOYHhWez1RpIks4u2qwSmuCfQoVn0U4vIrPIfSbRidV2wtNlbl2mMP
hDsPuYOf6VBDMgRnBtlU08xq8Ht7gj7R+i4lDnzg8KL1LjPerErZGwR1Sn/Kj491X+aboPLalSrZ
XzQw8RuTUsoGHCt+biPQsxFMWIYlqnKgCAP0NayFoeAyyA4isdO2HdhTQkHKepFnFJ48cHU7MYw6
kriRxGRohs4EzfLn7N3QmyKNw0SMmdVT8BWHCpgaW/xSFhYKMVtoK2jhef/FMSoso7asP2qS3k5S
B8mIqzb5kkBXxKpRSihvbvuXBYqhicZlF06gAvbtZUgfMrnomeysJEJw2PXIJngEkjWQm4M0sbzH
qDOvadPYYy1LNibKPp6aVDBiboNR7QXa2g6zdC4p3YbTEaCNQY2fc/ZLFJL1VGLJ16UmeWe6LcPf
MWoFfRMZRbDq23GKpndUyGzbAevKM3r7tTr1kIshg084HYjxPU/hdoXymjxcIQ/OUwT1QyEVY5dv
w5vxCBWhiYArg0gihgSkGkcfIS72chSeq1LKqauo0/IucSlzmkJe7EVi/ajUi/UVahERrReR0Y1B
9CoBE4S4Jj0JEQPtCvCBzBllalEgIrQbYvfUytJo7HQqjkwAc+26RRRK/JwJkoJYtA5nDM2/ACF1
ED7QAeDkKCAOlamQHeSGmFSmRojDGn0SvdMqRUytxLvaEvxJGgbSVZuj8ZRlvRk77Fw3TY27Ni1h
zaWtJs0rNdfPuPHSqZ5RNlMU0GoUv4M7BenPNKUPzV3XxGs3IehdL2V+aK+axq5QzMiHbTaRWYGv
AISs3KJDM669JAB2TMaeve2sFE2RGaTbEO+2WfiUbNQsJCmr9a8CMb9xYjegECsaWxex+7wJ3b7E
dW946TiyhxhPQfI2JHfGs7ysYI9B1ltpNUHQg9BMXGQVD7FKgZwQS+7M9FV9PEQmGeOmBdmqFba1
rzQPLgI5M/CHYAiTv6tcZ7GajFv+D6ePdCEpAkY8PrWCk9ZVpwr2WvKudzJTp5qCsAIbqFv0dAnH
Tq5KoawPihFL5ahj+/TgheW9BpbTw1TgMkdgaVaYIwQt34VSR0k/g0ZdmRxRfC33qKB3CPHS5qb1
EYjmdX7lQWrluVsgrs7YSdBFRw3ciHelnDl3WpMYoHo8UBqNbzvLXCIel6jb8F70NfMyqGgQjASS
Epe1zNGuSXRnbOpaOA24jzla9DOnC4DAGBmgAqVwgddFdXgNY17BpSt3WyLKOcoltXysyj5Txn7e
tKcykNIVuTbKaROI3Qb4Zk8zgaB1hhqUT5wL6GIzv1zbdTusPv5jog05xQXA7JuME8tKNhPjtE6i
/C5Oyu6UKC42G2IdbXsxBn7RpOFCiIxmQYU4uy1oACEPrZoDp3x5LaZ5g1Iida+zMHIe2mrYxeSx
bU5AwWJqSoekB0fSyIUCck3qDklrgurPDKlKr70hUn3E+de/K2rRua8iS4TljhI9cYNhSCp3pgcZ
f6cgIwllcVWMOq1jpWLpO4iWkyyjoAiXatXJZxXR89iy0AJ2rb1CaFjg/qoqtqV25s+0qsF/7JIg
akd5vNWQ310pilvj9/Ez9rqiv5QUq5+TUkgPbdBtCpq/1ZgBEwLPRBLaQt8e6y0iebPO14UjzLss
xObm0HjTTQ11MrKCJqyu6tSn7gV7hPS1zNNnQYVcE+WMqV3FhoEmUhCdhe+qOcVoYtuFSDTO3Vb2
T/2g7S8TCUlBnJvhLIkS4xx1G5KagL5WrZvRRFWaR4Qe/k5P8As1lfWkU5vdeqUu7bPO07NZUmbN
rM+LZioYgQn1pgNnoBDMNS8DoT5YJtnVmRoIk5J7a9P0Ji3NWFE3Si6LKwe2LuR2PDdVExSzTPZJ
ufT08k7sfP/GbyxrRV+BxKeuxShe6sBxEfN30zZMmEWOl8yU3ClPEZPzVOCIkV65omaPG0r2Z7Tn
m9u6F7Wp2ZkuYlbRzJdFpdazSmhvU6vbh2wyVpikfDgi9A6FXG5XIrrgYGi6VYfOzO/dVgQ6Xhsx
QgddxBmhwiPLuasguW5tEeRsUnVkvflOv43MgMZ1INnLDM06i3nuZJRAKSvkeCUPhRv4OVqs3p2Q
i6kFU71kLPxMEC6rmP5t3IGn4ntjRMgMRNyUJ8dSbQV7p02yO0kw/QWw5Oxe6WXKVEy5SzuDl48B
BBp7qxv5ssmFEINxoFZQTUTLQ9ZD/qtEOcRv9kTViLQz2R2GI1WIPPpOhiETCUhUgyIj/67TQeGp
AxRhr+AeQQh3FDCcRtVHdSnSMm798LxsVFgnjSJT+5C0/D7AxXGsAifHhJzVD/Sek0PXpUwp6mjh
Aj/QlHZiOK+jEEu970K8NK1GXXk86aBJpMqaGtG8akr3yu7SeF5JQrB3NQYu9ZtikOXSPqspsu/k
JIqSuYCqZkmKQrPELRKeOTX2aCM0+4mkE5iV5gYVPqkveyo+gbUEhr4mjLYZaYieF5IaVcsM3VsT
9BR+ZYGQZB5YlEwK0BRyqlf7vBGhU5i2STSzUvlfSgDQ2lhs2Q6MDdv07ltR78/gcFc3vqGYzrx3
pbSY9kSkdnnQzRK3vONcF134JkZbk5ygvaEUwbzsy2lYQtaosuzR1IPqSW0wia56v+zFVSj6WTzK
atVhJkWtcNc6ggHPIt4oaO0RPoEE8nJs9alBe7iXglM7DGjHxeK5LqSEFCWIpFMTGrcalNC7gyJd
CA6qe98QLozey6ZKYJXwncK9ozRE6MkYrkQ1HuaA4yuTQjP7p5oHyt5EbLLk4g2mlSS/1bOA7rcr
BshwI8qLlewcBMH0dkkgibO+YKEX/NowqFzk1nVQ+fo0MDT4GjyChfNYHeIaqfMNsP/66Bt2+yUX
ImaK7BDMG9jarA89c2J0IcYs3hFaX+P309awhAkiR3uni1qyrRP8trYWO0tVFusvaWlMZUrDdNfK
+0yQ2ZxUfrJpIjKMx5jg9KEOiHk+DvTHSEbJXeIfmXm5/sBtLC6ej1j/kw+aKHIG5c/vHzTHSVTF
3uPxEXd8+BQ/eGTDYpF/+dflsXzzr98eRF/f9+UgKp6gexjOmpJKsKuJsJaz7atfXuIgSqPBQh47
1GBQbLxV1BoWJZPhfxDV6Brlm+8HUYDhGq1OLPOaQUnl7xxEn/t23yVKnD8tBFC6jmN64JAjJH5/
DsUQwW7etp6KXgcjWdsaBHzt3pE8a6fJYT6WcidfNXHl4qZv6ajU2XURd5hMM+wUXpkjffDQ3HgB
ygt0CmSxyE2WbzpL21ShEl6nhkXdJQ/cp0whM4ODmgAKQnDvs9o+lHqdgMZIXHxPoog/iEiT+6ZS
QpQNGLU4zm56lrqDkWFGLCsJGkaVdeuioAFd6e6TPJz6ek+rwNCVV4ZQYhNy8w0qQe4zU3HLpRP5
WLcr2ydahHO0qgPftHVr6XppwKMoz6yVkmNg0uUEAzQuq9tIKvlMrRTTbnSc6PzNDPpJp1r7gCnl
4M9PLYFIIz5CQ4D3sRIohoXqyWJwL5eFvtYDnIsp2RqAngzlSJazc66bPh2aMJLPQ5a2MQ924Uji
X7yJKXncy2QMoF4rp0lESILoG5m+8+2KEnwDdeDRU0Pib7NA7Rcyi9sFfbcOdmcV050hVDEESG4S
gOAPsmEaZfkyQ4J1ppMcArgds/xC73KLvBaHVEPD7wI6eIXl7jXT7hzENWJx7Uu9fatEbnIV1jxZ
Rq1Y6Bch25KlE4jxvE0I5R0ZlSI8SkTnjtUh1DbGbzLHIeuNTejsE5PmFich8GKJ0Atrw+frlBKZ
nbEWHbiUsrUjAShmz6HZzCPK4eD8Y7NuT6VOtqa+GkAn9HQQImoGOk2TR7EPWa/B44EztVqyP45g
4itsgjJQZaZjzclOr8e9Egf414EKnFmtFq8TJ2I+eG7qbuxAF6YY0AfTTGruI6c46Cag5tSmqoet
x+DUo1XnNif6sZ4M8eUR5XQNx65yqGnHemNZo4GkxOZlWoEVZnvuWepMVCrSXYMiwQkeFP1aLoWK
vLPCt6ppzb7wtK7zaip5KoBZdnumX0/rAJ4gigtrKuZyvqQ1kS6aoNUXXcFPYGVKu0PbE+5zWS1X
rUPH3XFCdZNlEVhxzb6RObiPWtPXD2YRNlvRT7V17pvGRUbZftTGA0wlUuoLWuGk2stZVY8MPzCX
WkBJhlq6eWoLvaVPMe7oxgjqLnNOI4KG3TsFHN6Jb2lq0ZmdDEYpp4RaGfRTzcz1C1kFGBTjWbyX
DImRJpkiQb9VGdZNElfSrZ+HUB891YSvG2L5BQabmPpK5oNdBzZHkpEYYabEMcdUGZXkxj/6ihg8
xaRooB+svMteVUh8jYv+zKwMba2TIDfXQ0o6hHpJLYwLVdmH6JTdSWE57iLT2+Y8lRRtAsQe2XHZ
opYmvJp5iHjjUlL8cutXCTsOnQM4O8O2VKZaQRikaFdPbHDT60ComhlqNfcsrDJhHifEvSYadtMo
9ls+QIuFT4/CUWAO2N+ymrmSGQGrlNyJWmbKkHU3NnLTIBtZle6itjfXHc7MlVMmNiwMDddhF3jG
LGhr95JwjRK8p11fBW208MVKeFRduepnlVRqW9w96siN6zk75mSTMV70O0k1YoMoPkoW7bQwjeyI
MplvzWj1DfNGDLZ9rW/tsBYXclGbax/Tqqqq5o4JX0w7A8+nQ0uVHUkW+2OGZl/n7BxlocRnK2AM
jM2ePYyOISCR0m2rADAjz8uZou8sZ61WzxIZtpeuZt7MDmSAn3618utInGBLojPrsD+S/Fi6MjxX
4IitkOpR+fwfP68mQlhDZpEdbNf+IBEvxZ2gemswMrChWiyPkkXJnp+l63Yd2Od5WkOg4kbzFlo3
VL/CPF/WvZfi55NImswr6eD2Tjrzw+qox8V5GOMfQ0MzISUOA1xZHh0Fl1gpkmiitUtSCjMyXxNh
HBfRUnLsRRBGZz1P8VHTdse6ac4CL8jHFZYxVijCT7tBNu8p9OULIQ/PKq0Ork3sAiNcejSbcWa4
qFAznXSD2IOmj+27jE0LAwaWWrxrwsJrQ2HvINAdjjaJvWzzZIiBYxOLISRYERFaTSOOkZveUwBR
0bSaOWXDXFfFGhNWBLOPPv5YsWUNLV1QXiLynqJWo7tLlYR2N1joSCPQb4Ki2lgmgSaeirjIdlnS
xFMayng28QPcB6X3JaMWc4YbBoGWEoDvL4mDwaEY+5MOIsvCqLtrx2P9yoPsnAMAsOgKQ3Yudzi1
I47VpDBOArk+6KovP6mRmuboYl1Ap752nrYCLWkzuEswzu2rsAQ5SJbjlPQSdaZGuboicoJluquD
uYFTdI4NEia+LNHZrme2j7VTJGoLhajgFSMzhr6RIhaZSgX9U8OAlqxjJg59rHoj6guPrhkBWUM5
O/UI6ikqOVy0hEPyi1nFqI5wyPRaf2FoXb+0zBzyjRRDO2zQCY8jCjQ7wmzrMzExCA50RVPCOJI/
19ldhZJ2PUkbnUqx7h1sxDq7XFOdtfYsFg6LspwTlyDvggDvCGne4qQyOirKRoUUB0jPBkyRC4g2
6MqU0ppYrCN0BKAZ0SFxh2iVsceHQvwXB1z2JBr2Ty+MHhDARrgs/Y0aCu2MpTSe+QLYTlvo6BI2
AKtxY0FMjbMzwyZxQc+ia2Ltq1XRERfTUk2iD0aplePaKPBTTqECdhiLtFYsUhlHwKKjTmvaj0Q0
CBMwKaQ/SJqwyl0xhDRJTXDLEdqmQ0ZzkwyHzLysuTXORD2vIjyIhafQ4s8qKOZsFYDOmdq5F5QI
VMUqd2EGxG4Er1EKViAXsrldmDmPXT+BAl8PVbI0kMVyKbvEmg9wnoBc51rekX1mz63cEe5UWC5z
rbbig1Al9CVw2Z6FVJD3WqMlDy3gjiU8m26bRDQa2izXJjabAmecdvggV10uGuUksQRtL9tWPA8i
ProW1+Sk1B5ijaiSQSTIFFvEga8xUfqgO6ppE0nLDofz1IAZsJQDL5/qcp61Y4Kw+/mg7fQnpRoh
1aLOlKJtMrNTWj3pptIaCXg42c8F/Ctk/aW/7CzVfdIxEl0GfSMdnapDbhFl5jkG9w4kTCreZKnZ
3NMudsailguIptRKmPWOFIOt7LMHo6bjs6wDNPbg2hhKSw9a2mIcav4nH+1AABKrpA3NOvn5sDRo
J3//oLfH2oU98vHpt4vk/ik/xv/1n+9aiz99u9dGI/QyfJEmpyhdFiXCIThSvp7v/iwRglMdGcXP
gmTpzflOO2FPhcMSY47x0oP8ym57PV+8BHr8TiKE9b7R//LRB+QaPU/sGy+xCW98NbkqUoZqlDuy
7GdYIsZY2MfWLIDDDHu4O2gbYoG1B+SChBR8UTbKfX1tPyLbWgAvXaSzgXGvj7VZuFeh56rT+LQI
dv0Co8dkpY3VmT+FubAVZ8pO3aNld7ZI5alTm5Ngmp82x+SozjvI6ObevSCBaJVvlFk8AdbALWXe
pt4MaTRqiw5/9bnJBdqNvQLtvByYMEfpAVsUsAV5nu0iZ4xOifSep/ravwjmyby+qObaJtvlp+W9
u+uW9VW4w6kwRSAV7sQbeUkx5+AdVMDam3iXTLR9cx+etfN01ZyC0ImIJFXIxxvF59pBvHQBw1O2
gr91E/cLS5pL0Pf1EdyQlsnTzFLAIGTGHsLzfEU8JCEHSDYhj1QL+9w/aFfqA3GDySXbQU5afTzm
1NmZo25tXNI267GJKGPNmHsYqZIJi5DrrOhaVgsaE+t0UizcO3ungYMK5jrBBLt01Y2ShbuNZt7s
wrp8M7l/cgbV3/eev04JhVO/aQHqMz/oMWJkD1qeKncATLNNNq+T23TuHKupuy0WAxCTFZ2ogR51
KB09NBFwek8p5gY8LSbkWKZ71nzrxpjCILL9edRcxu25glxIWKrKJDqQrpAX2AjQ1I1lSOXlCKMn
nW4Z5tZjelXv7AWwbnq2uBjikShNnWs3mNinfU9bYSScydrS8tcOlk58PtZEryfktgUXlvInOm5s
/u+a8D8MhPXBn5U1tRpmhnyHX5REaHYfc98g/nMESEW9goN2Chu6IS55XMCTz2DT71RcmBOzQiU7
am4HLoLEk2Wc3eiUnUfVDm08Mq2MfiNirVP0aTk6r2QHsoCApIk0p9s5ZesMyJP+IfEW2/omubKX
4kE8WoTQyvPwtFypD300rXBNwS7uiMOdQbBOzh0g4OQO7LxgSk0QTtdGYlvZj6mMh7eo+8N9fWEQ
HX8Ucxyck/AyWrCFZ/CHPRCezfvyniOZtmO4L4olVft+J5+2X/xwYTtrM5/QuZOeyAqPTtlJ54SL
T/Kz7l5K5/VOTAcssbsV1yLs7EV8cM+FeQJHPtu7U+fWHNNQtjvCESc+YS8YoUY9mX8g0zA14XYF
OnThPxWrAF7xuD7kd7RqorWx+eNZzcnz469JeiFnOQW3+fNPO8iQ3qx0suoItg6ELJ2c3jyWkwF3
zbo1Mcb3yehCYB3DrAv09RhM9kd7GowuzpLRF/Ays7shSwKh4UTbLeFfgZme9mNlS7LWVJ0SY0Vw
A1QdAiM2+4M13pG+N05H83Y6NcbVbGeNQU5de6P5npDl2S7c9dN6TEAC/5p+3XR3OHyZuKMrcHvj
bGGP1zfOrBndZOsvUGmNCff5tIhGhIqs1a26da5JmyGV5Y/H5llN8r3Kx2h8GJoPVT5JQaObS/p9
PasnHBBHPUEAhNhe2iu4qrCH9bN2RnubERqGggr6SF6lyaifgWMHATyAZSXGR2ZND1bEnE6SAd/q
bYeEkmROo2vWjoC5GsBh1RsqJMLoyQL8ba04nubjoz1CVjjvZspcPe1X1hlo66k0Zl5OxImxWsGC
GQmTC8JOr1mIZvFYIDIIJPYYA9vIAnf8x6Nh/HDbfxiND+sf0cJdKSn6fTblm16JK2/XzhDarcKN
d2WOaTTvm7FyymlnB5Qfi7c1Qbq6Lm9YGcJbZR3O7EnADEgmU4Dai+QsPI3G17fipB0HB2A55j68
ILZl6i6EM/XUv5Yv2zNlq2/wPk3BEi3oU5FOUhGQk1/5C3XdLeydv9X/5Fv+5H4wsDpR2NUoOWrK
D5pDBUaPH6vZQ+gdMhjF+rg8de5N5izNORb4tcdi5EP+3omnIWkssTEiHmRuL/tVtOzWAK2T6cWZ
P7rOR9flSpuKF9rCG2tze2IuofBDFd8UB/vWOGeF1EAUkoqRjcRbjHw8Op4ub6xddzvLbxgt2nP+
VH/kTETzN15bd9Ey2Gvj+DCM7V4b6et+nkEfnMM0n/jTA89NnkLC0t86F9qFTnzRwt34y96YRuvw
KZkAVcGSH26VW6pB1VRhwmyyBYyTcbXOruND9ycPCvnZ+fHu/qHHZ2F0pQhJxRx52Pul5X+J0v9L
lEbJ9jFp7/8VK/r1aDcoI6eYA8rurHrKu/OngirKt8PB8Kf7xIvLy+S/95e+njp+/kavysvLLn36
9387PkYU47yizL2H8m0vTBJF2dRUNqDvTl/Pn+v5Q//R24RHvlv1yPsPukxL1TD50a4aXqzYIeLz
1z8WlBMDigH7WZlO2/Bixf9+BP75F3gZrj/+kn/l77z7Bg+Qp8rhp0CREb8dCJREf20MPrzDuzFA
s8UChMvx+fXDGGiayp5eYsyfXy9H3jdz5fdmwz95DH5/MrAP+WuD8OEt3gwCPVO43vAGkKwPL37o
txNBPBk6oypZiy9/zNPvXzQTPnyFp+f79EWnjPddlfn1PndLKCc4XhVFVF9vCebX25FQT2guctqX
v04X6gL/klvidweCVjifjU3658ZBJpJTpYE+WEPfDoDMTGEDRFfgdSr8cvfDzwQIf3dlVKwTVgV4
WPDgX17vRwH9gaqwaGDcfX29rEO/0rLAXazTt/vsRJBOUNwgmfh65/N7v50P6skQMSCKYGpfXr/c
yvBsjvnsKMgnum6KBraGl2/J/fV2FKQTnQVDVsWvy8LLo/lXmg4vobsSW+xPLQyKdgIhjnDdYZV5
fr0fCfnEovTJrfPLrQvDpoknxGc3TSwNGkApVRVZ+t/OAeWEx6JBPsaQ4vE6Mr/Wo0HCZvfZn984
UXUF8Rz9la9f8u0gqCf8EbcI8OSX1683DYb6/ydHgXAVOgyEqww1kLdfHzcTv74i0xl9ef1y24PX
u+CzjwXZZBkQEdpRF3x+fRgIST/RUMFBtsD2Nbx+vXnwsiCKn14PiBo3TYWMnde984dHg3bCZlJS
QHC9TomXLeov9Gj4WZbR390wkUQkDjsiGV3l8+uHbaPOthHu6ddtwr/qKPm7+2b4C8and81sllBR
GVQFv836N8vDoEw1uWGsYYUcXr/cTYGrU//0I8LkQSiLFEZfHxEfpoKEGZTMKmmg/Dy/frlR+Abv
/dxOyTrRJexsdKK/fc83k4GNEo1qWsivy4L1620Zf2IZ/rvrArslGN8KjKPvz4E3gyDoJxLdc04X
rzeM+HIL/kKro8x+4bPbBYWHJXJ1k0L38+vDw1I7Yc+AC/pbdeVv3BF/YaS+1S7Hrhc+Plctvafi
Z8XN3/sLX0tZP/75a5luqMAMtbh3f3EoYr5c+6VMM/zzf7xbf5/VNG/+8Ku65vk6r//56xf88dLv
rvX1W339lwsPwUn+4AK2Gyq5rx9zd4woe/4jfjyGVTHQ0F6u/Vw/et4bf/8sP1Rfv60Ff/jW+dF5
X6GkucGv+dn3JTEDo0R6DIfvknz57R9FSdLmsfj6zi/jP0zUz17pTzAAz6P50+r0XxqfOd8Aw8fX
j/k88C/78c9+7qE2/F//Jx7URtsq/3CN18faZ68xdo95+ZQ/PQ5mlcHE8vJj7I41qKynt1/qtebw
2Qt+M8h8v+Dbq3y1xHzyRxkdi6x64hLVUGR/f4HnlMvPfo0xPRMW/fe/++t+67Pv/Y+qTOIkQlo2
/PSb42/nXuK/m2DfCqKfvdQL5997+G3A/seP726+b1uGz15kjBsq7352ie8nt3/CNcrjPevH29/6
9e3ZrH3+7YvSC58EfoztMX5wf3YZNjv/nMuEx9/4LX7bPH1Ydr9VPz99mbe3+vb4mHuPXz/78/LF
hV5acZ++0FNVvh+q7yfUz7739ikEQvCzdx8Kgp999/+e0PMPV62fPfW/iW9/3At87Sj+7D97v9EZ
/sbDkNfxH/8XAAD//w==</cx:binary>
              </cx:geoCache>
            </cx:geography>
          </cx:layoutPr>
        </cx:series>
      </cx:plotAreaRegion>
    </cx:plotArea>
    <cx:legend pos="b"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4">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prstDash val="sysDot"/>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spPr>
      <a:ln w="9525">
        <a:solidFill>
          <a:schemeClr val="tx1">
            <a:lumMod val="15000"/>
            <a:lumOff val="85000"/>
          </a:schemeClr>
        </a:solid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304800</xdr:colOff>
      <xdr:row>2</xdr:row>
      <xdr:rowOff>114300</xdr:rowOff>
    </xdr:to>
    <xdr:sp macro="" textlink="">
      <xdr:nvSpPr>
        <xdr:cNvPr id="11266" name="AutoShape 2">
          <a:extLst>
            <a:ext uri="{FF2B5EF4-FFF2-40B4-BE49-F238E27FC236}">
              <a16:creationId xmlns:a16="http://schemas.microsoft.com/office/drawing/2014/main" id="{5359E961-070E-9D2F-DD0E-9CB24D0C61D4}"/>
            </a:ext>
          </a:extLst>
        </xdr:cNvPr>
        <xdr:cNvSpPr>
          <a:spLocks noChangeAspect="1" noChangeArrowheads="1"/>
        </xdr:cNvSpPr>
      </xdr:nvSpPr>
      <xdr:spPr bwMode="auto">
        <a:xfrm>
          <a:off x="0" y="19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14</xdr:col>
      <xdr:colOff>9524</xdr:colOff>
      <xdr:row>0</xdr:row>
      <xdr:rowOff>38101</xdr:rowOff>
    </xdr:from>
    <xdr:to>
      <xdr:col>25</xdr:col>
      <xdr:colOff>504825</xdr:colOff>
      <xdr:row>3</xdr:row>
      <xdr:rowOff>133350</xdr:rowOff>
    </xdr:to>
    <mc:AlternateContent xmlns:mc="http://schemas.openxmlformats.org/markup-compatibility/2006" xmlns:a14="http://schemas.microsoft.com/office/drawing/2010/main">
      <mc:Choice Requires="a14">
        <xdr:graphicFrame macro="">
          <xdr:nvGraphicFramePr>
            <xdr:cNvPr id="2" name="País de orígen">
              <a:extLst>
                <a:ext uri="{FF2B5EF4-FFF2-40B4-BE49-F238E27FC236}">
                  <a16:creationId xmlns:a16="http://schemas.microsoft.com/office/drawing/2014/main" id="{A74AE4AF-498D-45B0-6046-C80107DF3FC3}"/>
                </a:ext>
              </a:extLst>
            </xdr:cNvPr>
            <xdr:cNvGraphicFramePr/>
          </xdr:nvGraphicFramePr>
          <xdr:xfrm>
            <a:off x="0" y="0"/>
            <a:ext cx="0" cy="0"/>
          </xdr:xfrm>
          <a:graphic>
            <a:graphicData uri="http://schemas.microsoft.com/office/drawing/2010/slicer">
              <sle:slicer xmlns:sle="http://schemas.microsoft.com/office/drawing/2010/slicer" name="País de orígen"/>
            </a:graphicData>
          </a:graphic>
        </xdr:graphicFrame>
      </mc:Choice>
      <mc:Fallback xmlns="">
        <xdr:sp macro="" textlink="">
          <xdr:nvSpPr>
            <xdr:cNvPr id="0" name=""/>
            <xdr:cNvSpPr>
              <a:spLocks noTextEdit="1"/>
            </xdr:cNvSpPr>
          </xdr:nvSpPr>
          <xdr:spPr>
            <a:xfrm>
              <a:off x="18411824" y="38101"/>
              <a:ext cx="10334626" cy="666749"/>
            </a:xfrm>
            <a:prstGeom prst="rect">
              <a:avLst/>
            </a:prstGeom>
            <a:solidFill>
              <a:prstClr val="white"/>
            </a:solidFill>
            <a:ln w="1">
              <a:solidFill>
                <a:prstClr val="green"/>
              </a:solidFill>
            </a:ln>
          </xdr:spPr>
          <xdr:txBody>
            <a:bodyPr vertOverflow="clip" horzOverflow="clip"/>
            <a:lstStyle/>
            <a:p>
              <a:r>
                <a:rPr lang="es-MX"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20</xdr:col>
      <xdr:colOff>127505</xdr:colOff>
      <xdr:row>174</xdr:row>
      <xdr:rowOff>32656</xdr:rowOff>
    </xdr:from>
    <xdr:to>
      <xdr:col>30</xdr:col>
      <xdr:colOff>0</xdr:colOff>
      <xdr:row>188</xdr:row>
      <xdr:rowOff>179294</xdr:rowOff>
    </xdr:to>
    <xdr:graphicFrame macro="">
      <xdr:nvGraphicFramePr>
        <xdr:cNvPr id="2" name="Gráfico 1">
          <a:extLst>
            <a:ext uri="{FF2B5EF4-FFF2-40B4-BE49-F238E27FC236}">
              <a16:creationId xmlns:a16="http://schemas.microsoft.com/office/drawing/2014/main" id="{B4250F03-2B81-FEB5-40EE-F614662AC5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27</xdr:col>
      <xdr:colOff>1239771</xdr:colOff>
      <xdr:row>188</xdr:row>
      <xdr:rowOff>190499</xdr:rowOff>
    </xdr:from>
    <xdr:to>
      <xdr:col>30</xdr:col>
      <xdr:colOff>1521</xdr:colOff>
      <xdr:row>201</xdr:row>
      <xdr:rowOff>56029</xdr:rowOff>
    </xdr:to>
    <xdr:graphicFrame macro="">
      <xdr:nvGraphicFramePr>
        <xdr:cNvPr id="4" name="Gráfico 3">
          <a:extLst>
            <a:ext uri="{FF2B5EF4-FFF2-40B4-BE49-F238E27FC236}">
              <a16:creationId xmlns:a16="http://schemas.microsoft.com/office/drawing/2014/main" id="{B756F3A1-D9BE-41BC-879E-9B4CF75F69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1232646</xdr:colOff>
      <xdr:row>201</xdr:row>
      <xdr:rowOff>56028</xdr:rowOff>
    </xdr:from>
    <xdr:to>
      <xdr:col>29</xdr:col>
      <xdr:colOff>1488542</xdr:colOff>
      <xdr:row>213</xdr:row>
      <xdr:rowOff>11205</xdr:rowOff>
    </xdr:to>
    <xdr:graphicFrame macro="">
      <xdr:nvGraphicFramePr>
        <xdr:cNvPr id="5" name="Gráfico 4">
          <a:extLst>
            <a:ext uri="{FF2B5EF4-FFF2-40B4-BE49-F238E27FC236}">
              <a16:creationId xmlns:a16="http://schemas.microsoft.com/office/drawing/2014/main" id="{B8ACE892-DBE5-08A8-AA02-5F58DD707E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20</xdr:col>
      <xdr:colOff>123265</xdr:colOff>
      <xdr:row>189</xdr:row>
      <xdr:rowOff>11206</xdr:rowOff>
    </xdr:from>
    <xdr:to>
      <xdr:col>27</xdr:col>
      <xdr:colOff>1210236</xdr:colOff>
      <xdr:row>193</xdr:row>
      <xdr:rowOff>168087</xdr:rowOff>
    </xdr:to>
    <mc:AlternateContent xmlns:mc="http://schemas.openxmlformats.org/markup-compatibility/2006">
      <mc:Choice xmlns:tsle="http://schemas.microsoft.com/office/drawing/2012/timeslicer" Requires="tsle">
        <xdr:graphicFrame macro="">
          <xdr:nvGraphicFramePr>
            <xdr:cNvPr id="9" name="FECHA">
              <a:extLst>
                <a:ext uri="{FF2B5EF4-FFF2-40B4-BE49-F238E27FC236}">
                  <a16:creationId xmlns:a16="http://schemas.microsoft.com/office/drawing/2014/main" id="{FD6BCEF5-2020-A065-1291-5E9A7BEA473D}"/>
                </a:ext>
              </a:extLst>
            </xdr:cNvPr>
            <xdr:cNvGraphicFramePr/>
          </xdr:nvGraphicFramePr>
          <xdr:xfrm>
            <a:off x="0" y="0"/>
            <a:ext cx="0" cy="0"/>
          </xdr:xfrm>
          <a:graphic>
            <a:graphicData uri="http://schemas.microsoft.com/office/drawing/2012/timeslicer">
              <tsle:timeslicer xmlns:tsle="http://schemas.microsoft.com/office/drawing/2012/timeslicer" name="FECHA"/>
            </a:graphicData>
          </a:graphic>
        </xdr:graphicFrame>
      </mc:Choice>
      <mc:Fallback>
        <xdr:sp macro="" textlink="">
          <xdr:nvSpPr>
            <xdr:cNvPr id="0" name=""/>
            <xdr:cNvSpPr>
              <a:spLocks noTextEdit="1"/>
            </xdr:cNvSpPr>
          </xdr:nvSpPr>
          <xdr:spPr>
            <a:xfrm>
              <a:off x="17493401" y="36015706"/>
              <a:ext cx="10854426" cy="918881"/>
            </a:xfrm>
            <a:prstGeom prst="rect">
              <a:avLst/>
            </a:prstGeom>
            <a:solidFill>
              <a:prstClr val="white"/>
            </a:solidFill>
            <a:ln w="1">
              <a:solidFill>
                <a:prstClr val="green"/>
              </a:solidFill>
            </a:ln>
          </xdr:spPr>
          <xdr:txBody>
            <a:bodyPr vertOverflow="clip" horzOverflow="clip"/>
            <a:lstStyle/>
            <a:p>
              <a:r>
                <a:rPr lang="es-MX" sz="1100"/>
                <a:t>Línea de tiempo: Funciona en Excel 2013 o superior. No mover ni cambiar el tamaño.</a:t>
              </a:r>
            </a:p>
          </xdr:txBody>
        </xdr:sp>
      </mc:Fallback>
    </mc:AlternateContent>
    <xdr:clientData fLocksWithSheet="0"/>
  </xdr:twoCellAnchor>
  <xdr:twoCellAnchor>
    <xdr:from>
      <xdr:col>20</xdr:col>
      <xdr:colOff>103909</xdr:colOff>
      <xdr:row>198</xdr:row>
      <xdr:rowOff>62751</xdr:rowOff>
    </xdr:from>
    <xdr:to>
      <xdr:col>23</xdr:col>
      <xdr:colOff>1018</xdr:colOff>
      <xdr:row>213</xdr:row>
      <xdr:rowOff>11205</xdr:rowOff>
    </xdr:to>
    <xdr:graphicFrame macro="">
      <xdr:nvGraphicFramePr>
        <xdr:cNvPr id="7" name="Gráfico 6">
          <a:extLst>
            <a:ext uri="{FF2B5EF4-FFF2-40B4-BE49-F238E27FC236}">
              <a16:creationId xmlns:a16="http://schemas.microsoft.com/office/drawing/2014/main" id="{26FBD7B0-07C8-5A93-9769-068AEF5B75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11206</xdr:colOff>
      <xdr:row>196</xdr:row>
      <xdr:rowOff>22412</xdr:rowOff>
    </xdr:from>
    <xdr:to>
      <xdr:col>27</xdr:col>
      <xdr:colOff>1227045</xdr:colOff>
      <xdr:row>213</xdr:row>
      <xdr:rowOff>15689</xdr:rowOff>
    </xdr:to>
    <xdr:graphicFrame macro="">
      <xdr:nvGraphicFramePr>
        <xdr:cNvPr id="8" name="Gráfico 7">
          <a:extLst>
            <a:ext uri="{FF2B5EF4-FFF2-40B4-BE49-F238E27FC236}">
              <a16:creationId xmlns:a16="http://schemas.microsoft.com/office/drawing/2014/main" id="{4530AC05-780A-B0C5-FA35-128BD9CB9D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23</xdr:col>
      <xdr:colOff>11207</xdr:colOff>
      <xdr:row>194</xdr:row>
      <xdr:rowOff>0</xdr:rowOff>
    </xdr:from>
    <xdr:to>
      <xdr:col>27</xdr:col>
      <xdr:colOff>1221441</xdr:colOff>
      <xdr:row>195</xdr:row>
      <xdr:rowOff>190499</xdr:rowOff>
    </xdr:to>
    <mc:AlternateContent xmlns:mc="http://schemas.openxmlformats.org/markup-compatibility/2006">
      <mc:Choice xmlns:a14="http://schemas.microsoft.com/office/drawing/2010/main" Requires="a14">
        <xdr:graphicFrame macro="">
          <xdr:nvGraphicFramePr>
            <xdr:cNvPr id="11" name="COMERCIAL">
              <a:extLst>
                <a:ext uri="{FF2B5EF4-FFF2-40B4-BE49-F238E27FC236}">
                  <a16:creationId xmlns:a16="http://schemas.microsoft.com/office/drawing/2014/main" id="{EA3AE387-2A59-75F1-D42B-A8F72D8F9497}"/>
                </a:ext>
              </a:extLst>
            </xdr:cNvPr>
            <xdr:cNvGraphicFramePr/>
          </xdr:nvGraphicFramePr>
          <xdr:xfrm>
            <a:off x="0" y="0"/>
            <a:ext cx="0" cy="0"/>
          </xdr:xfrm>
          <a:graphic>
            <a:graphicData uri="http://schemas.microsoft.com/office/drawing/2010/slicer">
              <sle:slicer xmlns:sle="http://schemas.microsoft.com/office/drawing/2010/slicer" name="COMERCIAL"/>
            </a:graphicData>
          </a:graphic>
        </xdr:graphicFrame>
      </mc:Choice>
      <mc:Fallback>
        <xdr:sp macro="" textlink="">
          <xdr:nvSpPr>
            <xdr:cNvPr id="0" name=""/>
            <xdr:cNvSpPr>
              <a:spLocks noTextEdit="1"/>
            </xdr:cNvSpPr>
          </xdr:nvSpPr>
          <xdr:spPr>
            <a:xfrm>
              <a:off x="21191343" y="36957000"/>
              <a:ext cx="7167689" cy="380999"/>
            </a:xfrm>
            <a:prstGeom prst="rect">
              <a:avLst/>
            </a:prstGeom>
            <a:solidFill>
              <a:prstClr val="white"/>
            </a:solidFill>
            <a:ln w="1">
              <a:solidFill>
                <a:prstClr val="green"/>
              </a:solidFill>
            </a:ln>
          </xdr:spPr>
          <xdr:txBody>
            <a:bodyPr vertOverflow="clip" horzOverflow="clip"/>
            <a:lstStyle/>
            <a:p>
              <a:r>
                <a:rPr lang="es-MX"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fLocksWithSheet="0"/>
  </xdr:twoCellAnchor>
  <xdr:twoCellAnchor editAs="oneCell">
    <xdr:from>
      <xdr:col>20</xdr:col>
      <xdr:colOff>121229</xdr:colOff>
      <xdr:row>193</xdr:row>
      <xdr:rowOff>190499</xdr:rowOff>
    </xdr:from>
    <xdr:to>
      <xdr:col>23</xdr:col>
      <xdr:colOff>11207</xdr:colOff>
      <xdr:row>198</xdr:row>
      <xdr:rowOff>67236</xdr:rowOff>
    </xdr:to>
    <mc:AlternateContent xmlns:mc="http://schemas.openxmlformats.org/markup-compatibility/2006">
      <mc:Choice xmlns:a14="http://schemas.microsoft.com/office/drawing/2010/main" Requires="a14">
        <xdr:graphicFrame macro="">
          <xdr:nvGraphicFramePr>
            <xdr:cNvPr id="12" name="MARCA">
              <a:extLst>
                <a:ext uri="{FF2B5EF4-FFF2-40B4-BE49-F238E27FC236}">
                  <a16:creationId xmlns:a16="http://schemas.microsoft.com/office/drawing/2014/main" id="{005E51CA-BC36-90C2-E8AF-22B2C4F2BF32}"/>
                </a:ext>
              </a:extLst>
            </xdr:cNvPr>
            <xdr:cNvGraphicFramePr/>
          </xdr:nvGraphicFramePr>
          <xdr:xfrm>
            <a:off x="0" y="0"/>
            <a:ext cx="0" cy="0"/>
          </xdr:xfrm>
          <a:graphic>
            <a:graphicData uri="http://schemas.microsoft.com/office/drawing/2010/slicer">
              <sle:slicer xmlns:sle="http://schemas.microsoft.com/office/drawing/2010/slicer" name="MARCA"/>
            </a:graphicData>
          </a:graphic>
        </xdr:graphicFrame>
      </mc:Choice>
      <mc:Fallback>
        <xdr:sp macro="" textlink="">
          <xdr:nvSpPr>
            <xdr:cNvPr id="0" name=""/>
            <xdr:cNvSpPr>
              <a:spLocks noTextEdit="1"/>
            </xdr:cNvSpPr>
          </xdr:nvSpPr>
          <xdr:spPr>
            <a:xfrm>
              <a:off x="17491365" y="36956999"/>
              <a:ext cx="3699978" cy="829237"/>
            </a:xfrm>
            <a:prstGeom prst="rect">
              <a:avLst/>
            </a:prstGeom>
            <a:solidFill>
              <a:prstClr val="white"/>
            </a:solidFill>
            <a:ln w="1">
              <a:solidFill>
                <a:prstClr val="green"/>
              </a:solidFill>
            </a:ln>
          </xdr:spPr>
          <xdr:txBody>
            <a:bodyPr vertOverflow="clip" horzOverflow="clip"/>
            <a:lstStyle/>
            <a:p>
              <a:r>
                <a:rPr lang="es-MX"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fLocksWithSheet="0"/>
  </xdr:twoCellAnchor>
</xdr:wsDr>
</file>

<file path=xl/drawings/drawing3.xml><?xml version="1.0" encoding="utf-8"?>
<xdr:wsDr xmlns:xdr="http://schemas.openxmlformats.org/drawingml/2006/spreadsheetDrawing" xmlns:a="http://schemas.openxmlformats.org/drawingml/2006/main">
  <xdr:twoCellAnchor>
    <xdr:from>
      <xdr:col>5</xdr:col>
      <xdr:colOff>57150</xdr:colOff>
      <xdr:row>0</xdr:row>
      <xdr:rowOff>0</xdr:rowOff>
    </xdr:from>
    <xdr:to>
      <xdr:col>13</xdr:col>
      <xdr:colOff>95250</xdr:colOff>
      <xdr:row>15</xdr:row>
      <xdr:rowOff>76200</xdr:rowOff>
    </xdr:to>
    <xdr:graphicFrame macro="">
      <xdr:nvGraphicFramePr>
        <xdr:cNvPr id="2" name="Gráfico 1">
          <a:extLst>
            <a:ext uri="{FF2B5EF4-FFF2-40B4-BE49-F238E27FC236}">
              <a16:creationId xmlns:a16="http://schemas.microsoft.com/office/drawing/2014/main" id="{7B7B811E-C84E-24D9-1E8D-5DA487CDE0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17</xdr:col>
      <xdr:colOff>85725</xdr:colOff>
      <xdr:row>28</xdr:row>
      <xdr:rowOff>85725</xdr:rowOff>
    </xdr:from>
    <xdr:to>
      <xdr:col>22</xdr:col>
      <xdr:colOff>495300</xdr:colOff>
      <xdr:row>42</xdr:row>
      <xdr:rowOff>161925</xdr:rowOff>
    </xdr:to>
    <mc:AlternateContent xmlns:mc="http://schemas.openxmlformats.org/markup-compatibility/2006">
      <mc:Choice xmlns:cx4="http://schemas.microsoft.com/office/drawing/2016/5/10/chartex" Requires="cx4">
        <xdr:graphicFrame macro="">
          <xdr:nvGraphicFramePr>
            <xdr:cNvPr id="2" name="Gráfico 1">
              <a:extLst>
                <a:ext uri="{FF2B5EF4-FFF2-40B4-BE49-F238E27FC236}">
                  <a16:creationId xmlns:a16="http://schemas.microsoft.com/office/drawing/2014/main" id="{7E9BFCB8-2216-524B-223E-BA22B11624F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3296900" y="5419725"/>
              <a:ext cx="4572000" cy="2743200"/>
            </a:xfrm>
            <a:prstGeom prst="rect">
              <a:avLst/>
            </a:prstGeom>
            <a:solidFill>
              <a:prstClr val="white"/>
            </a:solidFill>
            <a:ln w="1">
              <a:solidFill>
                <a:prstClr val="green"/>
              </a:solidFill>
            </a:ln>
          </xdr:spPr>
          <xdr:txBody>
            <a:bodyPr vertOverflow="clip" horzOverflow="clip"/>
            <a:lstStyle/>
            <a:p>
              <a:r>
                <a:rPr lang="es-MX" sz="1100"/>
                <a:t>Este gráfico no está disponible en su versión de Excel.
Si edita esta forma o guarda el libro en un formato de archivo diferente, el gráfico no se podrá utilizar.</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15</xdr:col>
      <xdr:colOff>57149</xdr:colOff>
      <xdr:row>6</xdr:row>
      <xdr:rowOff>123826</xdr:rowOff>
    </xdr:from>
    <xdr:to>
      <xdr:col>16</xdr:col>
      <xdr:colOff>1285874</xdr:colOff>
      <xdr:row>9</xdr:row>
      <xdr:rowOff>161926</xdr:rowOff>
    </xdr:to>
    <mc:AlternateContent xmlns:mc="http://schemas.openxmlformats.org/markup-compatibility/2006" xmlns:a14="http://schemas.microsoft.com/office/drawing/2010/main">
      <mc:Choice Requires="a14">
        <xdr:graphicFrame macro="">
          <xdr:nvGraphicFramePr>
            <xdr:cNvPr id="2" name="Calificación Proyectos (1-10)">
              <a:extLst>
                <a:ext uri="{FF2B5EF4-FFF2-40B4-BE49-F238E27FC236}">
                  <a16:creationId xmlns:a16="http://schemas.microsoft.com/office/drawing/2014/main" id="{1BA92394-2C07-3FFA-B24E-B4DACAC847E8}"/>
                </a:ext>
              </a:extLst>
            </xdr:cNvPr>
            <xdr:cNvGraphicFramePr/>
          </xdr:nvGraphicFramePr>
          <xdr:xfrm>
            <a:off x="0" y="0"/>
            <a:ext cx="0" cy="0"/>
          </xdr:xfrm>
          <a:graphic>
            <a:graphicData uri="http://schemas.microsoft.com/office/drawing/2010/slicer">
              <sle:slicer xmlns:sle="http://schemas.microsoft.com/office/drawing/2010/slicer" name="Calificación Proyectos (1-10)"/>
            </a:graphicData>
          </a:graphic>
        </xdr:graphicFrame>
      </mc:Choice>
      <mc:Fallback xmlns="">
        <xdr:sp macro="" textlink="">
          <xdr:nvSpPr>
            <xdr:cNvPr id="0" name=""/>
            <xdr:cNvSpPr>
              <a:spLocks noTextEdit="1"/>
            </xdr:cNvSpPr>
          </xdr:nvSpPr>
          <xdr:spPr>
            <a:xfrm>
              <a:off x="11487149" y="1304926"/>
              <a:ext cx="3419475" cy="609600"/>
            </a:xfrm>
            <a:prstGeom prst="rect">
              <a:avLst/>
            </a:prstGeom>
            <a:solidFill>
              <a:prstClr val="white"/>
            </a:solidFill>
            <a:ln w="1">
              <a:solidFill>
                <a:prstClr val="green"/>
              </a:solidFill>
            </a:ln>
          </xdr:spPr>
          <xdr:txBody>
            <a:bodyPr vertOverflow="clip" horzOverflow="clip"/>
            <a:lstStyle/>
            <a:p>
              <a:r>
                <a:rPr lang="es-MX"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rge Silva" refreshedDate="46076.511906828702" createdVersion="8" refreshedVersion="8" minRefreshableVersion="3" recordCount="100" xr:uid="{FE2A411A-D3CC-4251-8FC4-33D481F16FC2}">
  <cacheSource type="worksheet">
    <worksheetSource name="Tabla5"/>
  </cacheSource>
  <cacheFields count="13">
    <cacheField name="Nombre" numFmtId="0">
      <sharedItems count="100">
        <s v="ALBERT"/>
        <s v="JOAQUIN"/>
        <s v="CESAR"/>
        <s v="HUGO"/>
        <s v="VALENTINA"/>
        <s v="GERMAN"/>
        <s v="DAVID"/>
        <s v="MIGUEL"/>
        <s v="VICENTE"/>
        <s v="ALVARO"/>
        <s v="LUIS"/>
        <s v="DANIEL"/>
        <s v="JOSEP"/>
        <s v="EDUARDO"/>
        <s v="LEONEL"/>
        <s v="JORDI"/>
        <s v="ESTEBAN"/>
        <s v="JONATHAN"/>
        <s v="FELIPE"/>
        <s v="JOSE"/>
        <s v="FELIX"/>
        <s v="PABLO"/>
        <s v="MANUEL"/>
        <s v="LORENZO"/>
        <s v="ISAAC"/>
        <s v="MARIA"/>
        <s v="ANGEL"/>
        <s v="ADOLFO"/>
        <s v="ERNESTO"/>
        <s v="RAFAEL"/>
        <s v="TOMAS"/>
        <s v="MARCOS"/>
        <s v="MARIO"/>
        <s v="ARTURO"/>
        <s v="EUGENIO"/>
        <s v="JUAN"/>
        <s v="GONZALO"/>
        <s v="ANTONIO"/>
        <s v="EMILIO"/>
        <s v="AGUSTIN"/>
        <s v="JUAN PABLO"/>
        <s v="FRANCISCO"/>
        <s v="MARC"/>
        <s v="ROBERTO"/>
        <s v="CARLOS"/>
        <s v="JOEL"/>
        <s v="MARIANO"/>
        <s v="OSCAR"/>
        <s v="ALEXANDER"/>
        <s v="BORJA"/>
        <s v="RAUL"/>
        <s v="ALEX"/>
        <s v="IVAN"/>
        <s v="SAMUEL"/>
        <s v="ANDRES"/>
        <s v="NORA"/>
        <s v="ANDRÉS"/>
        <s v="CRISTIAN"/>
        <s v="JAVIER"/>
        <s v="DOMINGO"/>
        <s v="NICOLAS"/>
        <s v="HECTOR"/>
        <s v="RICARDO"/>
        <s v="ALBERTO"/>
        <s v="RUBEN"/>
        <s v="SEBASTIAN"/>
        <s v="MOHAMED"/>
        <s v="MARCO"/>
        <s v="SERGIO"/>
        <s v="RAMON"/>
        <s v="GREGORIO"/>
        <s v="JOAN"/>
        <s v="ALFONSO"/>
        <s v="GUILLERMO"/>
        <s v="CHRISTIAN"/>
        <s v="MATEO"/>
        <s v="JULIAN"/>
        <s v="CRISTOBAL"/>
        <s v="RODRIGO"/>
        <s v="JESUS"/>
        <s v="JORGE"/>
        <s v="JULIO"/>
        <s v="MARIA MÓNICA"/>
        <s v="IGNACIO"/>
        <s v="GABRIEL"/>
        <s v="MARTIN"/>
        <s v="FERNANDO"/>
        <s v="ALEJANDRO"/>
        <s v="SANTIAGO"/>
        <s v="LUCAS"/>
        <s v="PEDRO"/>
        <s v="ENRIQUE"/>
        <s v="VICTOR"/>
        <s v="ALFREDO"/>
        <s v="DARIO"/>
        <s v="DIEGO"/>
        <s v="ISMAEL"/>
        <s v="JAIME"/>
        <s v="SALVADOR"/>
        <s v="ADRIAN"/>
      </sharedItems>
    </cacheField>
    <cacheField name="Mail" numFmtId="0">
      <sharedItems/>
    </cacheField>
    <cacheField name="País de orígen" numFmtId="0">
      <sharedItems count="11">
        <s v="COLOMBIA"/>
        <s v="VENEZUELA"/>
        <s v="BRASIL"/>
        <s v="ARGENTINA"/>
        <s v="ECUADOR"/>
        <s v="URUGUAY"/>
        <s v="CHILE"/>
        <s v="BOLIVIA"/>
        <s v="PERU"/>
        <s v="OTRO PAÍS DEL MUNDO"/>
        <s v="PARAGUAY"/>
      </sharedItems>
    </cacheField>
    <cacheField name="Sector" numFmtId="0">
      <sharedItems/>
    </cacheField>
    <cacheField name="Intención frente a los proyectos" numFmtId="0">
      <sharedItems/>
    </cacheField>
    <cacheField name="Detalle inversión" numFmtId="0">
      <sharedItems/>
    </cacheField>
    <cacheField name="Conoce algún proyecto o no" numFmtId="0">
      <sharedItems/>
    </cacheField>
    <cacheField name="Calificación Feria (1-10)" numFmtId="0">
      <sharedItems containsSemiMixedTypes="0" containsString="0" containsNumber="1" containsInteger="1" minValue="3" maxValue="9"/>
    </cacheField>
    <cacheField name="Calificación Proyectos (1-10)" numFmtId="0">
      <sharedItems containsSemiMixedTypes="0" containsString="0" containsNumber="1" containsInteger="1" minValue="2" maxValue="10"/>
    </cacheField>
    <cacheField name="Expectativa inversión 2018" numFmtId="166">
      <sharedItems containsMixedTypes="1" containsNumber="1" containsInteger="1" minValue="1000000" maxValue="100000000"/>
    </cacheField>
    <cacheField name="Inversión real 2018" numFmtId="166">
      <sharedItems containsMixedTypes="1" containsNumber="1" containsInteger="1" minValue="1160848" maxValue="99989764"/>
    </cacheField>
    <cacheField name="Inversión real 2017" numFmtId="166">
      <sharedItems containsMixedTypes="1" containsNumber="1" containsInteger="1" minValue="904543" maxValue="99819688"/>
    </cacheField>
    <cacheField name="Inversión real 2016" numFmtId="166">
      <sharedItems containsMixedTypes="1" containsNumber="1" containsInteger="1" minValue="151779" maxValue="99564796"/>
    </cacheField>
  </cacheFields>
  <extLst>
    <ext xmlns:x14="http://schemas.microsoft.com/office/spreadsheetml/2009/9/main" uri="{725AE2AE-9491-48be-B2B4-4EB974FC3084}">
      <x14:pivotCacheDefinition pivotCacheId="68043804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rge Silva" refreshedDate="46076.970271180558" createdVersion="8" refreshedVersion="8" minRefreshableVersion="3" recordCount="320" xr:uid="{3D9202D2-337C-4447-89A6-9D3C203E7638}">
  <cacheSource type="worksheet">
    <worksheetSource ref="A11:N331" sheet="TABLADIN"/>
  </cacheSource>
  <cacheFields count="14">
    <cacheField name="Código" numFmtId="0">
      <sharedItems containsSemiMixedTypes="0" containsString="0" containsNumber="1" containsInteger="1" minValue="1" maxValue="320"/>
    </cacheField>
    <cacheField name="Nombre" numFmtId="0">
      <sharedItems/>
    </cacheField>
    <cacheField name="Mail" numFmtId="0">
      <sharedItems/>
    </cacheField>
    <cacheField name="País de orígen" numFmtId="0">
      <sharedItems/>
    </cacheField>
    <cacheField name="Sector" numFmtId="0">
      <sharedItems count="5">
        <s v="Educación"/>
        <s v="Tecnología"/>
        <s v="Construcción"/>
        <s v="Agroindustrial"/>
        <s v="Sector Real"/>
      </sharedItems>
    </cacheField>
    <cacheField name="Intención frente a los proyectos" numFmtId="0">
      <sharedItems/>
    </cacheField>
    <cacheField name="Detalle inversión" numFmtId="0">
      <sharedItems/>
    </cacheField>
    <cacheField name="Conoce algún proyecto o no" numFmtId="0">
      <sharedItems count="2">
        <s v="NO"/>
        <s v="SI"/>
      </sharedItems>
    </cacheField>
    <cacheField name="Calificación Feria (1-10)" numFmtId="0">
      <sharedItems containsSemiMixedTypes="0" containsString="0" containsNumber="1" containsInteger="1" minValue="3" maxValue="9"/>
    </cacheField>
    <cacheField name="Calificación Proyectos (1-10)" numFmtId="0">
      <sharedItems containsSemiMixedTypes="0" containsString="0" containsNumber="1" containsInteger="1" minValue="2" maxValue="10" count="9">
        <n v="8"/>
        <n v="7"/>
        <n v="10"/>
        <n v="9"/>
        <n v="3"/>
        <n v="5"/>
        <n v="6"/>
        <n v="2"/>
        <n v="4"/>
      </sharedItems>
    </cacheField>
    <cacheField name="Expectativa inversión 2018" numFmtId="0">
      <sharedItems containsMixedTypes="1" containsNumber="1" containsInteger="1" minValue="1000000" maxValue="100000000"/>
    </cacheField>
    <cacheField name="Inversión real 2018" numFmtId="0">
      <sharedItems containsMixedTypes="1" containsNumber="1" containsInteger="1" minValue="1160848" maxValue="99989764"/>
    </cacheField>
    <cacheField name="Inversión real 2017" numFmtId="0">
      <sharedItems containsMixedTypes="1" containsNumber="1" containsInteger="1" minValue="904543" maxValue="99819688"/>
    </cacheField>
    <cacheField name="Inversión real 2016" numFmtId="0">
      <sharedItems containsMixedTypes="1" containsNumber="1" containsInteger="1" minValue="151779" maxValue="99564796"/>
    </cacheField>
  </cacheFields>
  <extLst>
    <ext xmlns:x14="http://schemas.microsoft.com/office/spreadsheetml/2009/9/main" uri="{725AE2AE-9491-48be-B2B4-4EB974FC3084}">
      <x14:pivotCacheDefinition pivotCacheId="1370903876"/>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rge Silva" refreshedDate="46085.901735185187" backgroundQuery="1" createdVersion="8" refreshedVersion="8" minRefreshableVersion="3" recordCount="0" supportSubquery="1" supportAdvancedDrill="1" xr:uid="{CB947A21-1660-41C3-8513-F0177375C59E}">
  <cacheSource type="external" connectionId="3"/>
  <cacheFields count="2">
    <cacheField name="[Measures].[Suma de Ingreso Neto]" caption="Suma de Ingreso Neto" numFmtId="0" hierarchy="12" level="32767"/>
    <cacheField name="[tablapaises].[Pais].[Pais]" caption="Pais" numFmtId="0" hierarchy="8" level="1">
      <sharedItems count="43">
        <s v="Argentina"/>
        <s v="Australia"/>
        <s v="Austria"/>
        <s v="Belgica"/>
        <s v="Brazil"/>
        <s v="Bulgaria"/>
        <s v="Canada"/>
        <s v="Chile"/>
        <s v="Colombia"/>
        <s v="Costa Rica"/>
        <s v="Croatia"/>
        <s v="Czech Republic"/>
        <s v="Dinamarca"/>
        <s v="Dominican Republic"/>
        <s v="Ecuador"/>
        <s v="España"/>
        <s v="Estonia"/>
        <s v="Finlandia"/>
        <s v="Francia"/>
        <s v="Germany"/>
        <s v="Grecia"/>
        <s v="Holanda"/>
        <s v="Honduras"/>
        <s v="Hong Kong"/>
        <s v="Hungria"/>
        <s v="Irlanda"/>
        <s v="Italia"/>
        <s v="Latvia"/>
        <s v="Lithuania"/>
        <s v="Luxembourg"/>
        <s v="Mexico"/>
        <s v="Norway"/>
        <s v="Peru"/>
        <s v="Polonia"/>
        <s v="Portugal"/>
        <s v="Slovakia"/>
        <s v="Slovenia"/>
        <s v="Suecia"/>
        <s v="Suiza"/>
        <s v="Ucrania"/>
        <s v="UK"/>
        <s v="Ustados Unidos"/>
        <s v="Venezuela"/>
      </sharedItems>
    </cacheField>
  </cacheFields>
  <cacheHierarchies count="13">
    <cacheHierarchy uniqueName="[tabladatos2].[Producto]" caption="Producto" attribute="1" defaultMemberUniqueName="[tabladatos2].[Producto].[All]" allUniqueName="[tabladatos2].[Producto].[All]" dimensionUniqueName="[tabladatos2]" displayFolder="" count="0" memberValueDatatype="130" unbalanced="0"/>
    <cacheHierarchy uniqueName="[tabladatos2].[Fecha]" caption="Fecha" attribute="1" defaultMemberUniqueName="[tabladatos2].[Fecha].[All]" allUniqueName="[tabladatos2].[Fecha].[All]" dimensionUniqueName="[tabladatos2]" displayFolder="" count="0" memberValueDatatype="20" unbalanced="0"/>
    <cacheHierarchy uniqueName="[tabladatos2].[Unidades]" caption="Unidades" attribute="1" defaultMemberUniqueName="[tabladatos2].[Unidades].[All]" allUniqueName="[tabladatos2].[Unidades].[All]" dimensionUniqueName="[tabladatos2]" displayFolder="" count="0" memberValueDatatype="20" unbalanced="0"/>
    <cacheHierarchy uniqueName="[tabladatos2].[Venta Bruto]" caption="Venta Bruto" attribute="1" defaultMemberUniqueName="[tabladatos2].[Venta Bruto].[All]" allUniqueName="[tabladatos2].[Venta Bruto].[All]" dimensionUniqueName="[tabladatos2]" displayFolder="" count="0" memberValueDatatype="5" unbalanced="0"/>
    <cacheHierarchy uniqueName="[tabladatos2].[Coste de Producto]" caption="Coste de Producto" attribute="1" defaultMemberUniqueName="[tabladatos2].[Coste de Producto].[All]" allUniqueName="[tabladatos2].[Coste de Producto].[All]" dimensionUniqueName="[tabladatos2]" displayFolder="" count="0" memberValueDatatype="5" unbalanced="0"/>
    <cacheHierarchy uniqueName="[tabladatos2].[Ingreso Neto]" caption="Ingreso Neto" attribute="1" defaultMemberUniqueName="[tabladatos2].[Ingreso Neto].[All]" allUniqueName="[tabladatos2].[Ingreso Neto].[All]" dimensionUniqueName="[tabladatos2]" displayFolder="" count="0" memberValueDatatype="5" unbalanced="0"/>
    <cacheHierarchy uniqueName="[tabladatos2].[Codigo]" caption="Codigo" attribute="1" defaultMemberUniqueName="[tabladatos2].[Codigo].[All]" allUniqueName="[tabladatos2].[Codigo].[All]" dimensionUniqueName="[tabladatos2]" displayFolder="" count="0" memberValueDatatype="130" unbalanced="0"/>
    <cacheHierarchy uniqueName="[tablapaises].[Codigo]" caption="Codigo" attribute="1" defaultMemberUniqueName="[tablapaises].[Codigo].[All]" allUniqueName="[tablapaises].[Codigo].[All]" dimensionUniqueName="[tablapaises]" displayFolder="" count="0" memberValueDatatype="130" unbalanced="0"/>
    <cacheHierarchy uniqueName="[tablapaises].[Pais]" caption="Pais" attribute="1" defaultMemberUniqueName="[tablapaises].[Pais].[All]" allUniqueName="[tablapaises].[Pais].[All]" dimensionUniqueName="[tablapaises]" displayFolder="" count="2" memberValueDatatype="130" unbalanced="0">
      <fieldsUsage count="2">
        <fieldUsage x="-1"/>
        <fieldUsage x="1"/>
      </fieldsUsage>
    </cacheHierarchy>
    <cacheHierarchy uniqueName="[Measures].[__XL_Count tabladatos2]" caption="__XL_Count tabladatos2" measure="1" displayFolder="" measureGroup="tabladatos2" count="0" hidden="1"/>
    <cacheHierarchy uniqueName="[Measures].[__XL_Count tablapaises]" caption="__XL_Count tablapaises" measure="1" displayFolder="" measureGroup="tablapaises" count="0" hidden="1"/>
    <cacheHierarchy uniqueName="[Measures].[__No measures defined]" caption="__No measures defined" measure="1" displayFolder="" count="0" hidden="1"/>
    <cacheHierarchy uniqueName="[Measures].[Suma de Ingreso Neto]" caption="Suma de Ingreso Neto" measure="1" displayFolder="" measureGroup="tabladatos2" count="0" oneField="1" hidden="1">
      <fieldsUsage count="1">
        <fieldUsage x="0"/>
      </fieldsUsage>
      <extLst>
        <ext xmlns:x15="http://schemas.microsoft.com/office/spreadsheetml/2010/11/main" uri="{B97F6D7D-B522-45F9-BDA1-12C45D357490}">
          <x15:cacheHierarchy aggregatedColumn="5"/>
        </ext>
      </extLst>
    </cacheHierarchy>
  </cacheHierarchies>
  <kpis count="0"/>
  <dimensions count="3">
    <dimension measure="1" name="Measures" uniqueName="[Measures]" caption="Measures"/>
    <dimension name="tabladatos2" uniqueName="[tabladatos2]" caption="tabladatos2"/>
    <dimension name="tablapaises" uniqueName="[tablapaises]" caption="tablapaises"/>
  </dimensions>
  <measureGroups count="2">
    <measureGroup name="tabladatos2" caption="tabladatos2"/>
    <measureGroup name="tablapaises" caption="tablapaises"/>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rge Silva" refreshedDate="46116.571248726854" createdVersion="8" refreshedVersion="8" minRefreshableVersion="3" recordCount="933" xr:uid="{B7C79C0F-AF56-4CDF-BE97-3755ADCE51E0}">
  <cacheSource type="worksheet">
    <worksheetSource name="DASHBOARD"/>
  </cacheSource>
  <cacheFields count="13">
    <cacheField name="FACTURA" numFmtId="0">
      <sharedItems containsSemiMixedTypes="0" containsString="0" containsNumber="1" containsInteger="1" minValue="1001" maxValue="1933"/>
    </cacheField>
    <cacheField name="FECHA" numFmtId="14">
      <sharedItems containsSemiMixedTypes="0" containsNonDate="0" containsDate="1" containsString="0" minDate="2020-01-01T00:00:00" maxDate="2021-12-29T00:00:00" count="503">
        <d v="2020-01-01T00:00:00"/>
        <d v="2020-01-02T00:00:00"/>
        <d v="2020-01-03T00:00:00"/>
        <d v="2020-01-04T00:00:00"/>
        <d v="2020-01-06T00:00:00"/>
        <d v="2020-01-07T00:00:00"/>
        <d v="2020-01-09T00:00:00"/>
        <d v="2020-01-11T00:00:00"/>
        <d v="2020-01-12T00:00:00"/>
        <d v="2020-01-13T00:00:00"/>
        <d v="2020-01-15T00:00:00"/>
        <d v="2020-01-19T00:00:00"/>
        <d v="2020-01-20T00:00:00"/>
        <d v="2020-01-22T00:00:00"/>
        <d v="2020-01-23T00:00:00"/>
        <d v="2020-01-24T00:00:00"/>
        <d v="2020-01-25T00:00:00"/>
        <d v="2020-01-26T00:00:00"/>
        <d v="2020-01-27T00:00:00"/>
        <d v="2020-01-28T00:00:00"/>
        <d v="2020-01-31T00:00:00"/>
        <d v="2020-02-01T00:00:00"/>
        <d v="2020-02-02T00:00:00"/>
        <d v="2020-02-03T00:00:00"/>
        <d v="2020-02-04T00:00:00"/>
        <d v="2020-02-08T00:00:00"/>
        <d v="2020-02-11T00:00:00"/>
        <d v="2020-02-14T00:00:00"/>
        <d v="2020-02-16T00:00:00"/>
        <d v="2020-02-18T00:00:00"/>
        <d v="2020-02-19T00:00:00"/>
        <d v="2020-02-20T00:00:00"/>
        <d v="2020-02-22T00:00:00"/>
        <d v="2020-02-23T00:00:00"/>
        <d v="2020-02-24T00:00:00"/>
        <d v="2020-02-25T00:00:00"/>
        <d v="2020-02-26T00:00:00"/>
        <d v="2020-02-27T00:00:00"/>
        <d v="2020-02-28T00:00:00"/>
        <d v="2020-03-01T00:00:00"/>
        <d v="2020-03-02T00:00:00"/>
        <d v="2020-03-04T00:00:00"/>
        <d v="2020-03-05T00:00:00"/>
        <d v="2020-03-07T00:00:00"/>
        <d v="2020-03-08T00:00:00"/>
        <d v="2020-03-10T00:00:00"/>
        <d v="2020-03-11T00:00:00"/>
        <d v="2020-03-12T00:00:00"/>
        <d v="2020-03-13T00:00:00"/>
        <d v="2020-03-14T00:00:00"/>
        <d v="2020-03-17T00:00:00"/>
        <d v="2020-03-18T00:00:00"/>
        <d v="2020-03-19T00:00:00"/>
        <d v="2020-03-20T00:00:00"/>
        <d v="2020-03-22T00:00:00"/>
        <d v="2020-03-23T00:00:00"/>
        <d v="2020-03-25T00:00:00"/>
        <d v="2020-03-26T00:00:00"/>
        <d v="2020-03-27T00:00:00"/>
        <d v="2020-03-29T00:00:00"/>
        <d v="2020-03-30T00:00:00"/>
        <d v="2020-03-31T00:00:00"/>
        <d v="2020-04-02T00:00:00"/>
        <d v="2020-04-03T00:00:00"/>
        <d v="2020-04-04T00:00:00"/>
        <d v="2020-04-06T00:00:00"/>
        <d v="2020-04-08T00:00:00"/>
        <d v="2020-04-12T00:00:00"/>
        <d v="2020-04-13T00:00:00"/>
        <d v="2020-04-14T00:00:00"/>
        <d v="2020-04-17T00:00:00"/>
        <d v="2020-04-21T00:00:00"/>
        <d v="2020-04-22T00:00:00"/>
        <d v="2020-04-23T00:00:00"/>
        <d v="2020-04-24T00:00:00"/>
        <d v="2020-04-25T00:00:00"/>
        <d v="2020-04-27T00:00:00"/>
        <d v="2020-04-28T00:00:00"/>
        <d v="2020-05-01T00:00:00"/>
        <d v="2020-05-02T00:00:00"/>
        <d v="2020-05-03T00:00:00"/>
        <d v="2020-05-05T00:00:00"/>
        <d v="2020-05-06T00:00:00"/>
        <d v="2020-05-07T00:00:00"/>
        <d v="2020-05-10T00:00:00"/>
        <d v="2020-05-11T00:00:00"/>
        <d v="2020-05-13T00:00:00"/>
        <d v="2020-05-14T00:00:00"/>
        <d v="2020-05-16T00:00:00"/>
        <d v="2020-05-17T00:00:00"/>
        <d v="2020-05-18T00:00:00"/>
        <d v="2020-05-19T00:00:00"/>
        <d v="2020-05-22T00:00:00"/>
        <d v="2020-05-24T00:00:00"/>
        <d v="2020-05-26T00:00:00"/>
        <d v="2020-05-27T00:00:00"/>
        <d v="2020-05-28T00:00:00"/>
        <d v="2020-05-29T00:00:00"/>
        <d v="2020-05-30T00:00:00"/>
        <d v="2020-05-31T00:00:00"/>
        <d v="2020-06-01T00:00:00"/>
        <d v="2020-06-03T00:00:00"/>
        <d v="2020-06-04T00:00:00"/>
        <d v="2020-06-05T00:00:00"/>
        <d v="2020-06-07T00:00:00"/>
        <d v="2020-06-08T00:00:00"/>
        <d v="2020-06-09T00:00:00"/>
        <d v="2020-06-10T00:00:00"/>
        <d v="2020-06-11T00:00:00"/>
        <d v="2020-06-17T00:00:00"/>
        <d v="2020-06-19T00:00:00"/>
        <d v="2020-06-20T00:00:00"/>
        <d v="2020-06-22T00:00:00"/>
        <d v="2020-06-24T00:00:00"/>
        <d v="2020-06-26T00:00:00"/>
        <d v="2020-06-27T00:00:00"/>
        <d v="2020-06-28T00:00:00"/>
        <d v="2020-06-29T00:00:00"/>
        <d v="2020-06-30T00:00:00"/>
        <d v="2020-07-01T00:00:00"/>
        <d v="2020-07-02T00:00:00"/>
        <d v="2020-07-03T00:00:00"/>
        <d v="2020-07-04T00:00:00"/>
        <d v="2020-07-05T00:00:00"/>
        <d v="2020-07-07T00:00:00"/>
        <d v="2020-07-08T00:00:00"/>
        <d v="2020-07-09T00:00:00"/>
        <d v="2020-07-10T00:00:00"/>
        <d v="2020-07-11T00:00:00"/>
        <d v="2020-07-12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5T00:00:00"/>
        <d v="2020-08-06T00:00:00"/>
        <d v="2020-08-08T00:00:00"/>
        <d v="2020-08-10T00:00:00"/>
        <d v="2020-08-13T00:00:00"/>
        <d v="2020-08-17T00:00:00"/>
        <d v="2020-08-18T00:00:00"/>
        <d v="2020-08-19T00:00:00"/>
        <d v="2020-08-21T00:00:00"/>
        <d v="2020-08-22T00:00:00"/>
        <d v="2020-08-24T00:00:00"/>
        <d v="2020-08-26T00:00:00"/>
        <d v="2020-08-28T00:00:00"/>
        <d v="2020-08-30T00:00:00"/>
        <d v="2020-08-31T00:00:00"/>
        <d v="2020-09-01T00:00:00"/>
        <d v="2020-09-02T00:00:00"/>
        <d v="2020-09-03T00:00:00"/>
        <d v="2020-09-04T00:00:00"/>
        <d v="2020-09-05T00:00:00"/>
        <d v="2020-09-09T00:00:00"/>
        <d v="2020-09-11T00:00:00"/>
        <d v="2020-09-12T00:00:00"/>
        <d v="2020-09-13T00:00:00"/>
        <d v="2020-09-14T00:00:00"/>
        <d v="2020-09-15T00:00:00"/>
        <d v="2020-09-16T00:00:00"/>
        <d v="2020-09-17T00:00:00"/>
        <d v="2020-09-19T00:00:00"/>
        <d v="2020-09-20T00:00:00"/>
        <d v="2020-09-24T00:00:00"/>
        <d v="2020-09-28T00:00:00"/>
        <d v="2020-10-01T00:00:00"/>
        <d v="2020-10-03T00:00:00"/>
        <d v="2020-10-04T00:00:00"/>
        <d v="2020-10-05T00:00:00"/>
        <d v="2020-10-06T00:00:00"/>
        <d v="2020-10-08T00:00:00"/>
        <d v="2020-10-10T00:00:00"/>
        <d v="2020-10-11T00:00:00"/>
        <d v="2020-10-13T00:00:00"/>
        <d v="2020-10-14T00:00:00"/>
        <d v="2020-10-15T00:00:00"/>
        <d v="2020-10-17T00:00:00"/>
        <d v="2020-10-18T00:00:00"/>
        <d v="2020-10-19T00:00:00"/>
        <d v="2020-10-20T00:00:00"/>
        <d v="2020-10-21T00:00:00"/>
        <d v="2020-10-23T00:00:00"/>
        <d v="2020-10-24T00:00:00"/>
        <d v="2020-10-25T00:00:00"/>
        <d v="2020-10-26T00:00:00"/>
        <d v="2020-10-27T00:00:00"/>
        <d v="2020-10-28T00:00:00"/>
        <d v="2020-10-30T00:00:00"/>
        <d v="2020-11-01T00:00:00"/>
        <d v="2020-11-04T00:00:00"/>
        <d v="2020-11-07T00:00:00"/>
        <d v="2020-11-08T00:00:00"/>
        <d v="2020-11-09T00:00:00"/>
        <d v="2020-11-10T00:00:00"/>
        <d v="2020-11-11T00:00:00"/>
        <d v="2020-11-12T00:00:00"/>
        <d v="2020-11-13T00:00:00"/>
        <d v="2020-11-14T00:00:00"/>
        <d v="2020-11-16T00:00:00"/>
        <d v="2020-11-17T00:00:00"/>
        <d v="2020-11-18T00:00:00"/>
        <d v="2020-11-21T00:00:00"/>
        <d v="2020-11-24T00:00:00"/>
        <d v="2020-11-26T00:00:00"/>
        <d v="2020-11-27T00:00:00"/>
        <d v="2020-11-30T00:00:00"/>
        <d v="2020-12-02T00:00:00"/>
        <d v="2020-12-03T00:00:00"/>
        <d v="2020-12-05T00:00:00"/>
        <d v="2020-12-07T00:00:00"/>
        <d v="2020-12-08T00:00:00"/>
        <d v="2020-12-09T00:00:00"/>
        <d v="2020-12-10T00:00:00"/>
        <d v="2020-12-12T00:00:00"/>
        <d v="2020-12-13T00:00:00"/>
        <d v="2020-12-15T00:00:00"/>
        <d v="2020-12-16T00:00:00"/>
        <d v="2020-12-19T00:00:00"/>
        <d v="2020-12-20T00:00:00"/>
        <d v="2020-12-22T00:00:00"/>
        <d v="2020-12-27T00:00:00"/>
        <d v="2020-12-28T00:00:00"/>
        <d v="2020-12-29T00:00:00"/>
        <d v="2020-12-30T00:00:00"/>
        <d v="2020-12-31T00:00:00"/>
        <d v="2021-01-01T00:00:00"/>
        <d v="2021-01-02T00:00:00"/>
        <d v="2021-01-03T00:00:00"/>
        <d v="2021-01-04T00:00:00"/>
        <d v="2021-01-05T00:00:00"/>
        <d v="2021-01-08T00:00:00"/>
        <d v="2021-01-10T00:00:00"/>
        <d v="2021-01-11T00:00:00"/>
        <d v="2021-01-12T00:00:00"/>
        <d v="2021-01-13T00:00:00"/>
        <d v="2021-01-15T00:00:00"/>
        <d v="2021-01-17T00:00:00"/>
        <d v="2021-01-18T00:00:00"/>
        <d v="2021-01-19T00:00:00"/>
        <d v="2021-01-20T00:00:00"/>
        <d v="2021-01-21T00:00:00"/>
        <d v="2021-01-23T00:00:00"/>
        <d v="2021-01-24T00:00:00"/>
        <d v="2021-01-25T00:00:00"/>
        <d v="2021-01-27T00:00:00"/>
        <d v="2021-01-29T00:00:00"/>
        <d v="2021-01-30T00:00:00"/>
        <d v="2021-02-01T00:00:00"/>
        <d v="2021-02-08T00:00:00"/>
        <d v="2021-02-09T00:00:00"/>
        <d v="2021-02-12T00:00:00"/>
        <d v="2021-02-15T00:00:00"/>
        <d v="2021-02-16T00:00:00"/>
        <d v="2021-02-18T00:00:00"/>
        <d v="2021-02-19T00:00:00"/>
        <d v="2021-02-20T00:00:00"/>
        <d v="2021-02-21T00:00:00"/>
        <d v="2021-02-22T00:00:00"/>
        <d v="2021-02-23T00:00:00"/>
        <d v="2021-02-24T00:00:00"/>
        <d v="2021-02-25T00:00:00"/>
        <d v="2021-02-27T00:00:00"/>
        <d v="2021-03-01T00:00:00"/>
        <d v="2021-03-02T00:00:00"/>
        <d v="2021-03-03T00:00:00"/>
        <d v="2021-03-05T00:00:00"/>
        <d v="2021-03-08T00:00:00"/>
        <d v="2021-03-09T00:00:00"/>
        <d v="2021-03-10T00:00:00"/>
        <d v="2021-03-11T00:00:00"/>
        <d v="2021-03-12T00:00:00"/>
        <d v="2021-03-13T00:00:00"/>
        <d v="2021-03-16T00:00:00"/>
        <d v="2021-03-18T00:00:00"/>
        <d v="2021-03-19T00:00:00"/>
        <d v="2021-03-20T00:00:00"/>
        <d v="2021-03-21T00:00:00"/>
        <d v="2021-03-22T00:00:00"/>
        <d v="2021-03-23T00:00:00"/>
        <d v="2021-03-24T00:00:00"/>
        <d v="2021-03-25T00:00:00"/>
        <d v="2021-03-26T00:00:00"/>
        <d v="2021-03-27T00:00:00"/>
        <d v="2021-03-28T00:00:00"/>
        <d v="2021-03-29T00:00:00"/>
        <d v="2021-03-30T00:00:00"/>
        <d v="2021-04-01T00:00:00"/>
        <d v="2021-04-04T00:00:00"/>
        <d v="2021-04-05T00:00:00"/>
        <d v="2021-04-07T00:00:00"/>
        <d v="2021-04-09T00:00:00"/>
        <d v="2021-04-10T00:00:00"/>
        <d v="2021-04-11T00:00:00"/>
        <d v="2021-04-12T00:00:00"/>
        <d v="2021-04-13T00:00:00"/>
        <d v="2021-04-14T00:00:00"/>
        <d v="2021-04-15T00:00:00"/>
        <d v="2021-04-17T00:00:00"/>
        <d v="2021-04-18T00:00:00"/>
        <d v="2021-04-21T00:00:00"/>
        <d v="2021-04-22T00:00:00"/>
        <d v="2021-04-23T00:00:00"/>
        <d v="2021-04-24T00:00:00"/>
        <d v="2021-04-25T00:00:00"/>
        <d v="2021-04-26T00:00:00"/>
        <d v="2021-04-27T00:00:00"/>
        <d v="2021-04-28T00:00:00"/>
        <d v="2021-05-01T00:00:00"/>
        <d v="2021-05-02T00:00:00"/>
        <d v="2021-05-03T00:00:00"/>
        <d v="2021-05-04T00:00:00"/>
        <d v="2021-05-05T00:00:00"/>
        <d v="2021-05-06T00:00:00"/>
        <d v="2021-05-07T00:00:00"/>
        <d v="2021-05-08T00:00:00"/>
        <d v="2021-05-09T00:00:00"/>
        <d v="2021-05-13T00:00:00"/>
        <d v="2021-05-14T00:00:00"/>
        <d v="2021-05-15T00:00:00"/>
        <d v="2021-05-18T00:00:00"/>
        <d v="2021-05-19T00:00:00"/>
        <d v="2021-05-21T00:00:00"/>
        <d v="2021-05-22T00:00:00"/>
        <d v="2021-05-23T00:00:00"/>
        <d v="2021-05-24T00:00:00"/>
        <d v="2021-05-25T00:00:00"/>
        <d v="2021-05-26T00:00:00"/>
        <d v="2021-05-27T00:00:00"/>
        <d v="2021-05-29T00:00:00"/>
        <d v="2021-05-30T00:00:00"/>
        <d v="2021-05-31T00:00:00"/>
        <d v="2021-06-01T00:00:00"/>
        <d v="2021-06-02T00:00:00"/>
        <d v="2021-06-04T00:00:00"/>
        <d v="2021-06-06T00:00:00"/>
        <d v="2021-06-07T00:00:00"/>
        <d v="2021-06-08T00:00:00"/>
        <d v="2021-06-09T00:00:00"/>
        <d v="2021-06-10T00:00:00"/>
        <d v="2021-06-12T00:00:00"/>
        <d v="2021-06-14T00:00:00"/>
        <d v="2021-06-17T00:00:00"/>
        <d v="2021-06-19T00:00:00"/>
        <d v="2021-06-20T00:00:00"/>
        <d v="2021-06-21T00:00:00"/>
        <d v="2021-06-22T00:00:00"/>
        <d v="2021-06-23T00:00:00"/>
        <d v="2021-06-24T00:00:00"/>
        <d v="2021-06-25T00:00:00"/>
        <d v="2021-06-28T00:00:00"/>
        <d v="2021-06-29T00:00:00"/>
        <d v="2021-07-02T00:00:00"/>
        <d v="2021-07-03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8T00:00:00"/>
        <d v="2021-09-19T00:00:00"/>
        <d v="2021-09-20T00:00:00"/>
        <d v="2021-09-21T00:00:00"/>
        <d v="2021-09-22T00:00:00"/>
        <d v="2021-09-23T00:00:00"/>
        <d v="2021-09-24T00:00:00"/>
        <d v="2021-09-25T00:00:00"/>
        <d v="2021-09-27T00:00:00"/>
        <d v="2021-09-29T00:00:00"/>
        <d v="2021-10-03T00:00:00"/>
        <d v="2021-10-04T00:00:00"/>
        <d v="2021-10-05T00:00:00"/>
        <d v="2021-10-07T00:00:00"/>
        <d v="2021-10-08T00:00:00"/>
        <d v="2021-10-10T00:00:00"/>
        <d v="2021-10-13T00:00:00"/>
        <d v="2021-10-14T00:00:00"/>
        <d v="2021-10-17T00:00:00"/>
        <d v="2021-10-18T00:00:00"/>
        <d v="2021-10-19T00:00:00"/>
        <d v="2021-10-20T00:00:00"/>
        <d v="2021-10-28T00:00:00"/>
        <d v="2021-10-29T00:00:00"/>
        <d v="2021-10-30T00:00:00"/>
        <d v="2021-10-31T00:00:00"/>
        <d v="2021-11-01T00:00:00"/>
        <d v="2021-11-02T00:00:00"/>
        <d v="2021-11-05T00:00:00"/>
        <d v="2021-11-06T00:00:00"/>
        <d v="2021-11-08T00:00:00"/>
        <d v="2021-11-10T00:00:00"/>
        <d v="2021-11-11T00:00:00"/>
        <d v="2021-11-13T00:00:00"/>
        <d v="2021-11-15T00:00:00"/>
        <d v="2021-11-16T00:00:00"/>
        <d v="2021-11-17T00:00:00"/>
        <d v="2021-11-19T00:00:00"/>
        <d v="2021-11-20T00:00:00"/>
        <d v="2021-11-22T00:00:00"/>
        <d v="2021-11-23T00:00:00"/>
        <d v="2021-11-24T00:00:00"/>
        <d v="2021-11-25T00:00:00"/>
        <d v="2021-11-27T00:00:00"/>
        <d v="2021-11-28T00:00:00"/>
        <d v="2021-11-29T00:00:00"/>
        <d v="2021-12-03T00:00:00"/>
        <d v="2021-12-04T00:00:00"/>
        <d v="2021-12-05T00:00:00"/>
        <d v="2021-12-08T00:00:00"/>
        <d v="2021-12-12T00:00:00"/>
        <d v="2021-12-14T00:00:00"/>
        <d v="2021-12-15T00:00:00"/>
        <d v="2021-12-17T00:00:00"/>
        <d v="2021-12-18T00:00:00"/>
        <d v="2021-12-19T00:00:00"/>
        <d v="2021-12-20T00:00:00"/>
        <d v="2021-12-21T00:00:00"/>
        <d v="2021-12-22T00:00:00"/>
        <d v="2021-12-23T00:00:00"/>
        <d v="2021-12-24T00:00:00"/>
        <d v="2021-12-28T00:00:00"/>
      </sharedItems>
      <fieldGroup par="12"/>
    </cacheField>
    <cacheField name="COMERCIAL" numFmtId="0">
      <sharedItems count="5">
        <s v="Maria Garcia"/>
        <s v="Luis Valle"/>
        <s v="Pablo Lopez"/>
        <s v="Ana Fernandez"/>
        <s v="Mario Perez"/>
      </sharedItems>
    </cacheField>
    <cacheField name="MARCA" numFmtId="0">
      <sharedItems count="5">
        <s v="Samsung"/>
        <s v="One Plus"/>
        <s v="Xiaomi"/>
        <s v="PocoPhone"/>
        <s v="Apple"/>
      </sharedItems>
    </cacheField>
    <cacheField name="DECRIPCION" numFmtId="0">
      <sharedItems count="5">
        <s v="Auriculares"/>
        <s v="Movil"/>
        <s v="Funda movil"/>
        <s v="Cargador"/>
        <s v="Protector pantalla"/>
      </sharedItems>
    </cacheField>
    <cacheField name="Cantidad" numFmtId="0">
      <sharedItems containsSemiMixedTypes="0" containsString="0" containsNumber="1" containsInteger="1" minValue="1" maxValue="20"/>
    </cacheField>
    <cacheField name="PVP" numFmtId="172">
      <sharedItems containsSemiMixedTypes="0" containsString="0" containsNumber="1" minValue="5" maxValue="596"/>
    </cacheField>
    <cacheField name="Venta" numFmtId="172">
      <sharedItems containsSemiMixedTypes="0" containsString="0" containsNumber="1" minValue="5" maxValue="2250"/>
    </cacheField>
    <cacheField name="Coste/ ud" numFmtId="172">
      <sharedItems containsSemiMixedTypes="0" containsString="0" containsNumber="1" minValue="2.5" maxValue="298"/>
    </cacheField>
    <cacheField name="Beneficio" numFmtId="172">
      <sharedItems containsSemiMixedTypes="0" containsString="0" containsNumber="1" minValue="2.5" maxValue="1125" count="427">
        <n v="495"/>
        <n v="150"/>
        <n v="40"/>
        <n v="284.33"/>
        <n v="122.5"/>
        <n v="45"/>
        <n v="281"/>
        <n v="102"/>
        <n v="23.5"/>
        <n v="65"/>
        <n v="15"/>
        <n v="12"/>
        <n v="161.33000000000001"/>
        <n v="94"/>
        <n v="135"/>
        <n v="12.5"/>
        <n v="107.33"/>
        <n v="61.67"/>
        <n v="164.5"/>
        <n v="31.5"/>
        <n v="13.5"/>
        <n v="20"/>
        <n v="225.67"/>
        <n v="123.5"/>
        <n v="56"/>
        <n v="10.5"/>
        <n v="302.67"/>
        <n v="228"/>
        <n v="34"/>
        <n v="118"/>
        <n v="471.33"/>
        <n v="35"/>
        <n v="28"/>
        <n v="61.5"/>
        <n v="87.5"/>
        <n v="16"/>
        <n v="89"/>
        <n v="10"/>
        <n v="30"/>
        <n v="230"/>
        <n v="25"/>
        <n v="100"/>
        <n v="73"/>
        <n v="273"/>
        <n v="328"/>
        <n v="270.67"/>
        <n v="19"/>
        <n v="62.5"/>
        <n v="280"/>
        <n v="36"/>
        <n v="294"/>
        <n v="46.5"/>
        <n v="32"/>
        <n v="524.1"/>
        <n v="5"/>
        <n v="90"/>
        <n v="80"/>
        <n v="70"/>
        <n v="219.33"/>
        <n v="301"/>
        <n v="368.67"/>
        <n v="240"/>
        <n v="150.5"/>
        <n v="21.5"/>
        <n v="172"/>
        <n v="72"/>
        <n v="6"/>
        <n v="227.33"/>
        <n v="265.67"/>
        <n v="410.77"/>
        <n v="100.67"/>
        <n v="4.5"/>
        <n v="23"/>
        <n v="18.5"/>
        <n v="40.5"/>
        <n v="22"/>
        <n v="24"/>
        <n v="157"/>
        <n v="536.91999999999996"/>
        <n v="84"/>
        <n v="63"/>
        <n v="143.33000000000001"/>
        <n v="50"/>
        <n v="16.5"/>
        <n v="389.33"/>
        <n v="225"/>
        <n v="308.67"/>
        <n v="610"/>
        <n v="137.5"/>
        <n v="42"/>
        <n v="17.5"/>
        <n v="27"/>
        <n v="69"/>
        <n v="328.72"/>
        <n v="76"/>
        <n v="595"/>
        <n v="112.5"/>
        <n v="3.5"/>
        <n v="66"/>
        <n v="58.5"/>
        <n v="98"/>
        <n v="85"/>
        <n v="479.33"/>
        <n v="62"/>
        <n v="33"/>
        <n v="81"/>
        <n v="360"/>
        <n v="284.87"/>
        <n v="120"/>
        <n v="174"/>
        <n v="49.5"/>
        <n v="132"/>
        <n v="28.5"/>
        <n v="140"/>
        <n v="293.33"/>
        <n v="13"/>
        <n v="97"/>
        <n v="109.33"/>
        <n v="42.5"/>
        <n v="169.5"/>
        <n v="52.5"/>
        <n v="251.33"/>
        <n v="486"/>
        <n v="24.5"/>
        <n v="255.5"/>
        <n v="7"/>
        <n v="165"/>
        <n v="18"/>
        <n v="115.5"/>
        <n v="110"/>
        <n v="260.67"/>
        <n v="160"/>
        <n v="316"/>
        <n v="82.5"/>
        <n v="48"/>
        <n v="264"/>
        <n v="85.5"/>
        <n v="105"/>
        <n v="9"/>
        <n v="187.5"/>
        <n v="405.33"/>
        <n v="75"/>
        <n v="74.33"/>
        <n v="102.5"/>
        <n v="424"/>
        <n v="55.5"/>
        <n v="205"/>
        <n v="119"/>
        <n v="129.66999999999999"/>
        <n v="14"/>
        <n v="77"/>
        <n v="39"/>
        <n v="220.67"/>
        <n v="112"/>
        <n v="51"/>
        <n v="420"/>
        <n v="190"/>
        <n v="374.36"/>
        <n v="226.5"/>
        <n v="78.67"/>
        <n v="231.33"/>
        <n v="156"/>
        <n v="298"/>
        <n v="37.5"/>
        <n v="222"/>
        <n v="387"/>
        <n v="126"/>
        <n v="101.5"/>
        <n v="232.5"/>
        <n v="200.33"/>
        <n v="137"/>
        <n v="157.5"/>
        <n v="3"/>
        <n v="73.67"/>
        <n v="44"/>
        <n v="232.67"/>
        <n v="114"/>
        <n v="50.33"/>
        <n v="246.67"/>
        <n v="381.5"/>
        <n v="68"/>
        <n v="195.5"/>
        <n v="95"/>
        <n v="141"/>
        <n v="410"/>
        <n v="378"/>
        <n v="283.33"/>
        <n v="282"/>
        <n v="320"/>
        <n v="115.67"/>
        <n v="212.67"/>
        <n v="175"/>
        <n v="370"/>
        <n v="285"/>
        <n v="74"/>
        <n v="162"/>
        <n v="936"/>
        <n v="173.33"/>
        <n v="180"/>
        <n v="263.85000000000002"/>
        <n v="325"/>
        <n v="94.5"/>
        <n v="55"/>
        <n v="22.5"/>
        <n v="143.5"/>
        <n v="837"/>
        <n v="214.5"/>
        <n v="138"/>
        <n v="72.5"/>
        <n v="91.33"/>
        <n v="57.5"/>
        <n v="60"/>
        <n v="176"/>
        <n v="286.67"/>
        <n v="220.5"/>
        <n v="144"/>
        <n v="198"/>
        <n v="207"/>
        <n v="340"/>
        <n v="21"/>
        <n v="109.67"/>
        <n v="488"/>
        <n v="4"/>
        <n v="78"/>
        <n v="54"/>
        <n v="133.33000000000001"/>
        <n v="125"/>
        <n v="92.33"/>
        <n v="278"/>
        <n v="103.5"/>
        <n v="38"/>
        <n v="19.5"/>
        <n v="324"/>
        <n v="202.67"/>
        <n v="67.5"/>
        <n v="139.5"/>
        <n v="250"/>
        <n v="66.5"/>
        <n v="596"/>
        <n v="155"/>
        <n v="465.5"/>
        <n v="315.89999999999998"/>
        <n v="161"/>
        <n v="14.5"/>
        <n v="1055"/>
        <n v="324.67"/>
        <n v="189"/>
        <n v="11"/>
        <n v="192"/>
        <n v="186"/>
        <n v="270"/>
        <n v="154"/>
        <n v="232"/>
        <n v="315"/>
        <n v="121.5"/>
        <n v="134"/>
        <n v="870"/>
        <n v="144.66999999999999"/>
        <n v="256.67"/>
        <n v="76.5"/>
        <n v="268"/>
        <n v="141.66999999999999"/>
        <n v="282.5"/>
        <n v="47.5"/>
        <n v="557.33000000000004"/>
        <n v="161.5"/>
        <n v="27.5"/>
        <n v="120.33"/>
        <n v="292"/>
        <n v="304.67"/>
        <n v="510"/>
        <n v="304"/>
        <n v="366.67"/>
        <n v="224"/>
        <n v="314.67"/>
        <n v="864"/>
        <n v="1125"/>
        <n v="376.67"/>
        <n v="288"/>
        <n v="402"/>
        <n v="391.28"/>
        <n v="330.67"/>
        <n v="55.33"/>
        <n v="228.72"/>
        <n v="278.67"/>
        <n v="117.5"/>
        <n v="62.33"/>
        <n v="31"/>
        <n v="164"/>
        <n v="330"/>
        <n v="282.33"/>
        <n v="255"/>
        <n v="624"/>
        <n v="46"/>
        <n v="147.33000000000001"/>
        <n v="147"/>
        <n v="175.5"/>
        <n v="572.5"/>
        <n v="67.33"/>
        <n v="7.5"/>
        <n v="352"/>
        <n v="174.67"/>
        <n v="1088"/>
        <n v="40.33"/>
        <n v="548.21"/>
        <n v="99"/>
        <n v="90.33"/>
        <n v="287.33"/>
        <n v="87"/>
        <n v="17"/>
        <n v="116"/>
        <n v="909"/>
        <n v="222.5"/>
        <n v="414.67"/>
        <n v="92"/>
        <n v="167"/>
        <n v="562.66999999999996"/>
        <n v="535.33000000000004"/>
        <n v="136"/>
        <n v="74.5"/>
        <n v="396"/>
        <n v="243.08"/>
        <n v="244"/>
        <n v="142"/>
        <n v="49"/>
        <n v="41"/>
        <n v="371.33"/>
        <n v="93"/>
        <n v="511.28"/>
        <n v="115"/>
        <n v="125.67"/>
        <n v="498.46"/>
        <n v="220"/>
        <n v="607.5"/>
        <n v="554.87"/>
        <n v="200"/>
        <n v="365"/>
        <n v="400.5"/>
        <n v="183"/>
        <n v="32.5"/>
        <n v="88"/>
        <n v="216"/>
        <n v="124.5"/>
        <n v="168"/>
        <n v="117"/>
        <n v="257"/>
        <n v="217"/>
        <n v="165.5"/>
        <n v="122"/>
        <n v="170"/>
        <n v="162.5"/>
        <n v="356"/>
        <n v="247.5"/>
        <n v="83"/>
        <n v="82"/>
        <n v="267"/>
        <n v="269"/>
        <n v="2.5"/>
        <n v="435"/>
        <n v="153"/>
        <n v="371"/>
        <n v="104.5"/>
        <n v="187"/>
        <n v="108"/>
        <n v="38.5"/>
        <n v="171.5"/>
        <n v="152.5"/>
        <n v="430"/>
        <n v="97.5"/>
        <n v="178.5"/>
        <n v="80.5"/>
        <n v="177"/>
        <n v="283"/>
        <n v="9.5"/>
        <n v="106"/>
        <n v="375"/>
        <n v="470"/>
        <n v="212"/>
        <n v="186.5"/>
        <n v="121"/>
        <n v="103"/>
        <n v="159.5"/>
        <n v="109"/>
        <n v="127.5"/>
        <n v="47"/>
        <n v="460"/>
        <n v="203"/>
        <n v="64.5"/>
        <n v="355"/>
        <n v="283.5"/>
        <n v="254"/>
        <n v="133"/>
        <n v="245"/>
        <n v="29"/>
        <n v="45.5"/>
        <n v="11.5"/>
        <n v="149.5"/>
        <n v="142.5"/>
        <n v="242.5"/>
        <n v="364"/>
        <n v="116.5"/>
        <n v="182"/>
        <n v="171"/>
        <n v="290"/>
        <n v="43"/>
        <n v="277"/>
        <n v="221"/>
        <n v="313"/>
        <n v="302"/>
        <n v="185.5"/>
        <n v="104"/>
        <n v="37"/>
        <n v="59.5"/>
        <n v="64"/>
        <n v="380"/>
        <n v="219"/>
        <n v="210"/>
        <n v="128.5"/>
        <n v="301.5"/>
        <n v="8.5"/>
        <n v="177.5"/>
        <n v="71.5"/>
        <n v="234.5"/>
        <n v="107.5"/>
        <n v="127"/>
        <n v="241"/>
        <n v="379"/>
      </sharedItems>
    </cacheField>
    <cacheField name="Meses (FECHA)" numFmtId="0" databaseField="0">
      <fieldGroup base="1">
        <rangePr groupBy="months" startDate="2020-01-01T00:00:00" endDate="2021-12-29T00:00:00"/>
        <groupItems count="14">
          <s v="&lt;01/01/2020"/>
          <s v="ene"/>
          <s v="feb"/>
          <s v="mar"/>
          <s v="abr"/>
          <s v="may"/>
          <s v="jun"/>
          <s v="jul"/>
          <s v="ago"/>
          <s v="sep"/>
          <s v="oct"/>
          <s v="nov"/>
          <s v="dic"/>
          <s v="&gt;29/12/2021"/>
        </groupItems>
      </fieldGroup>
    </cacheField>
    <cacheField name="Trimestres (FECHA)" numFmtId="0" databaseField="0">
      <fieldGroup base="1">
        <rangePr groupBy="quarters" startDate="2020-01-01T00:00:00" endDate="2021-12-29T00:00:00"/>
        <groupItems count="6">
          <s v="&lt;01/01/2020"/>
          <s v="Trim.1"/>
          <s v="Trim.2"/>
          <s v="Trim.3"/>
          <s v="Trim.4"/>
          <s v="&gt;29/12/2021"/>
        </groupItems>
      </fieldGroup>
    </cacheField>
    <cacheField name="Años (FECHA)" numFmtId="0" databaseField="0">
      <fieldGroup base="1">
        <rangePr groupBy="years" startDate="2020-01-01T00:00:00" endDate="2021-12-29T00:00:00"/>
        <groupItems count="4">
          <s v="&lt;01/01/2020"/>
          <s v="2020"/>
          <s v="2021"/>
          <s v="&gt;29/12/2021"/>
        </groupItems>
      </fieldGroup>
    </cacheField>
  </cacheFields>
  <extLst>
    <ext xmlns:x14="http://schemas.microsoft.com/office/spreadsheetml/2009/9/main" uri="{725AE2AE-9491-48be-B2B4-4EB974FC3084}">
      <x14:pivotCacheDefinition pivotCacheId="13900913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s v="ALBERT@gmail.com"/>
    <x v="0"/>
    <s v="Educación"/>
    <s v="Conocimiento"/>
    <s v="Académico"/>
    <s v="NO"/>
    <n v="3"/>
    <n v="8"/>
    <s v="$ - "/>
    <s v=" $ - "/>
    <n v="96781441"/>
    <n v="47643060"/>
  </r>
  <r>
    <x v="1"/>
    <s v="JOAQUIN@gmail.com"/>
    <x v="0"/>
    <s v="Tecnología"/>
    <s v="Inversión"/>
    <s v="Socio capitalista"/>
    <s v="SI"/>
    <n v="8"/>
    <n v="7"/>
    <n v="10000000"/>
    <n v="40848959"/>
    <n v="92963332"/>
    <n v="47565587"/>
  </r>
  <r>
    <x v="2"/>
    <s v="CESAR@gmail.com"/>
    <x v="0"/>
    <s v="Construcción"/>
    <s v="Trabajo"/>
    <s v="Ofreciendo trabajo"/>
    <s v="NO"/>
    <n v="5"/>
    <n v="10"/>
    <s v="$ - "/>
    <s v=" $ - "/>
    <n v="49599457"/>
    <s v=" $ - "/>
  </r>
  <r>
    <x v="3"/>
    <s v="HUGO@gmail.com"/>
    <x v="0"/>
    <s v="Tecnología"/>
    <s v="Inversión"/>
    <s v="Socio de proyecto"/>
    <s v="NO"/>
    <n v="4"/>
    <n v="8"/>
    <n v="10000000"/>
    <n v="78308880"/>
    <n v="3248026"/>
    <n v="27143270"/>
  </r>
  <r>
    <x v="4"/>
    <s v="VALENTINA@gmail.com"/>
    <x v="0"/>
    <s v="Construcción"/>
    <s v="Inversión"/>
    <s v="Socio capitalista"/>
    <s v="NO"/>
    <n v="4"/>
    <n v="9"/>
    <n v="50000000"/>
    <n v="2910571"/>
    <n v="37561085"/>
    <n v="19598007"/>
  </r>
  <r>
    <x v="5"/>
    <s v="GERMAN@gmail.com"/>
    <x v="0"/>
    <s v="Tecnología"/>
    <s v="Inversión"/>
    <s v="Socio de proyecto"/>
    <s v="NO"/>
    <n v="9"/>
    <n v="7"/>
    <n v="90000000"/>
    <n v="50075523"/>
    <n v="59142617"/>
    <n v="95314026"/>
  </r>
  <r>
    <x v="6"/>
    <s v="DAVID@gmail.com"/>
    <x v="0"/>
    <s v="Tecnología"/>
    <s v="Trabajo"/>
    <s v="Ofreciendo trabajo"/>
    <s v="NO"/>
    <n v="5"/>
    <n v="9"/>
    <s v="$ - "/>
    <s v=" $ - "/>
    <s v=" $ - "/>
    <n v="67714973"/>
  </r>
  <r>
    <x v="7"/>
    <s v="MIGUEL@gmail.com"/>
    <x v="0"/>
    <s v="Tecnología"/>
    <s v="Inversión"/>
    <s v="Socio capitalista"/>
    <s v="SI"/>
    <n v="8"/>
    <n v="10"/>
    <n v="1000000"/>
    <n v="5305190"/>
    <n v="53291805"/>
    <n v="84809282"/>
  </r>
  <r>
    <x v="8"/>
    <s v="VICENTE@gmail.com"/>
    <x v="0"/>
    <s v="Agroindustrial"/>
    <s v="Trabajo"/>
    <s v="Ofreciendo trabajo"/>
    <s v="SI"/>
    <n v="8"/>
    <n v="3"/>
    <s v="$ - "/>
    <s v=" $ - "/>
    <n v="50085574"/>
    <n v="42495353"/>
  </r>
  <r>
    <x v="9"/>
    <s v="ALVARO@gmail.com"/>
    <x v="0"/>
    <s v="Sector Real"/>
    <s v="Inversión"/>
    <s v="Socio de proyecto"/>
    <s v="NO"/>
    <n v="5"/>
    <n v="9"/>
    <n v="10000000"/>
    <n v="38941670"/>
    <n v="67846781"/>
    <n v="87726693"/>
  </r>
  <r>
    <x v="10"/>
    <s v="LUIS@gmail.com"/>
    <x v="1"/>
    <s v="Tecnología"/>
    <s v="Inversión"/>
    <s v="Socio de proyecto"/>
    <s v="NO"/>
    <n v="4"/>
    <n v="5"/>
    <n v="1000000"/>
    <n v="28926771"/>
    <n v="56939610"/>
    <n v="92726884"/>
  </r>
  <r>
    <x v="11"/>
    <s v="DANIEL@gmail.com"/>
    <x v="0"/>
    <s v="Tecnología"/>
    <s v="Inversión"/>
    <s v="Socio de proyecto"/>
    <s v="NO"/>
    <n v="3"/>
    <n v="8"/>
    <n v="1000000"/>
    <n v="34252074"/>
    <s v=" $ - "/>
    <n v="22994819"/>
  </r>
  <r>
    <x v="12"/>
    <s v="JOSEP@gmail.com"/>
    <x v="0"/>
    <s v="Construcción"/>
    <s v="Trabajo"/>
    <s v="Buscando trabajo"/>
    <s v="NO"/>
    <n v="7"/>
    <n v="9"/>
    <s v="$ - "/>
    <s v=" $ - "/>
    <n v="45347826"/>
    <n v="14301768"/>
  </r>
  <r>
    <x v="13"/>
    <s v="EDUARDO@gmail.com"/>
    <x v="0"/>
    <s v="Tecnología"/>
    <s v="Trabajo"/>
    <s v="Buscando trabajo"/>
    <s v="SI"/>
    <n v="4"/>
    <n v="8"/>
    <s v="$ - "/>
    <s v=" $ - "/>
    <n v="71453938"/>
    <n v="38593802"/>
  </r>
  <r>
    <x v="14"/>
    <s v="LEONEL@gmail.com"/>
    <x v="0"/>
    <s v="Sector Real"/>
    <s v="Inversión"/>
    <s v="Socio capitalista"/>
    <s v="NO"/>
    <n v="9"/>
    <n v="10"/>
    <n v="20000000"/>
    <n v="32346156"/>
    <n v="22346275"/>
    <n v="73743047"/>
  </r>
  <r>
    <x v="15"/>
    <s v="JORDI@gmail.com"/>
    <x v="0"/>
    <s v="Educación"/>
    <s v="Conocimiento"/>
    <s v="Académico"/>
    <s v="NO"/>
    <n v="4"/>
    <n v="6"/>
    <s v="$ - "/>
    <s v=" $ - "/>
    <n v="96357193"/>
    <n v="67901582"/>
  </r>
  <r>
    <x v="16"/>
    <s v="ESTEBAN@gmail.com"/>
    <x v="0"/>
    <s v="Tecnología"/>
    <s v="Inversión"/>
    <s v="Socio capitalista"/>
    <s v="NO"/>
    <n v="5"/>
    <n v="7"/>
    <n v="100000000"/>
    <n v="72903049"/>
    <n v="67375493"/>
    <n v="4753995"/>
  </r>
  <r>
    <x v="17"/>
    <s v="JONATHAN@gmail.com"/>
    <x v="0"/>
    <s v="Educación"/>
    <s v="Conocimiento"/>
    <s v="Académico"/>
    <s v="NO"/>
    <n v="6"/>
    <n v="7"/>
    <s v="$ - "/>
    <s v=" $ - "/>
    <n v="80671052"/>
    <n v="58339670"/>
  </r>
  <r>
    <x v="18"/>
    <s v="FELIPE@gmail.com"/>
    <x v="2"/>
    <s v="Sector Real"/>
    <s v="Trabajo"/>
    <s v="Buscando trabajo"/>
    <s v="SI"/>
    <n v="9"/>
    <n v="8"/>
    <s v="$ - "/>
    <s v=" $ - "/>
    <s v=" $ - "/>
    <n v="44898366"/>
  </r>
  <r>
    <x v="19"/>
    <s v="JOSE@gmail.com"/>
    <x v="0"/>
    <s v="Tecnología"/>
    <s v="Inversión"/>
    <s v="Socio de proyecto"/>
    <s v="NO"/>
    <n v="5"/>
    <n v="6"/>
    <n v="1000000"/>
    <n v="96696256"/>
    <n v="62106884"/>
    <n v="85228190"/>
  </r>
  <r>
    <x v="20"/>
    <s v="FELIX@gmail.com"/>
    <x v="0"/>
    <s v="Tecnología"/>
    <s v="Inversión"/>
    <s v="Socio de proyecto"/>
    <s v="NO"/>
    <n v="6"/>
    <n v="7"/>
    <n v="10000000"/>
    <n v="51531809"/>
    <n v="99819688"/>
    <n v="24233431"/>
  </r>
  <r>
    <x v="21"/>
    <s v="PABLO@gmail.com"/>
    <x v="0"/>
    <s v="Agroindustrial"/>
    <s v="Inversión"/>
    <s v="Socio capitalista"/>
    <s v="SI"/>
    <n v="6"/>
    <n v="10"/>
    <s v="$ - "/>
    <s v=" $ - "/>
    <n v="34214902"/>
    <n v="24896611"/>
  </r>
  <r>
    <x v="22"/>
    <s v="MANUEL@gmail.com"/>
    <x v="3"/>
    <s v="Sector Real"/>
    <s v="Trabajo"/>
    <s v="Ofreciendo trabajo"/>
    <s v="NO"/>
    <n v="8"/>
    <n v="5"/>
    <s v="$ - "/>
    <s v=" $ - "/>
    <n v="7121108"/>
    <n v="6991703"/>
  </r>
  <r>
    <x v="23"/>
    <s v="LORENZO@gmail.com"/>
    <x v="0"/>
    <s v="Agroindustrial"/>
    <s v="Inversión"/>
    <s v="Socio capitalista"/>
    <s v="NO"/>
    <n v="7"/>
    <n v="10"/>
    <n v="20000000"/>
    <n v="93037614"/>
    <n v="48185946"/>
    <n v="75039300"/>
  </r>
  <r>
    <x v="24"/>
    <s v="ISAAC@gmail.com"/>
    <x v="0"/>
    <s v="Tecnología"/>
    <s v="Inversión"/>
    <s v="Socio capitalista"/>
    <s v="NO"/>
    <n v="9"/>
    <n v="10"/>
    <n v="90000000"/>
    <n v="62088180"/>
    <n v="18047519"/>
    <n v="3738158"/>
  </r>
  <r>
    <x v="25"/>
    <s v="MARIA@gmail.com"/>
    <x v="0"/>
    <s v="Sector Real"/>
    <s v="Inversión"/>
    <s v="Socio capitalista"/>
    <s v="NO"/>
    <n v="3"/>
    <n v="9"/>
    <n v="1000000"/>
    <n v="1160848"/>
    <n v="32268145"/>
    <n v="13339687"/>
  </r>
  <r>
    <x v="26"/>
    <s v="ANGEL@gmail.com"/>
    <x v="0"/>
    <s v="Tecnología"/>
    <s v="Trabajo"/>
    <s v="Ofreciendo trabajo"/>
    <s v="NO"/>
    <n v="6"/>
    <n v="2"/>
    <s v="$ - "/>
    <s v=" $ - "/>
    <n v="21224611"/>
    <n v="62562457"/>
  </r>
  <r>
    <x v="27"/>
    <s v="ADOLFO@gmail.com"/>
    <x v="0"/>
    <s v="Sector Real"/>
    <s v="Trabajo"/>
    <s v="Ofreciendo trabajo"/>
    <s v="NO"/>
    <n v="9"/>
    <n v="9"/>
    <s v="$ - "/>
    <s v=" $ - "/>
    <n v="85434615"/>
    <n v="79508333"/>
  </r>
  <r>
    <x v="28"/>
    <s v="ERNESTO@gmail.com"/>
    <x v="0"/>
    <s v="Tecnología"/>
    <s v="Inversión"/>
    <s v="Socio de proyecto"/>
    <s v="NO"/>
    <n v="8"/>
    <n v="7"/>
    <n v="90000000"/>
    <n v="23888885"/>
    <n v="68725539"/>
    <n v="78613526"/>
  </r>
  <r>
    <x v="29"/>
    <s v="RAFAEL@gmail.com"/>
    <x v="0"/>
    <s v="Sector Real"/>
    <s v="Inversión"/>
    <s v="Socio capitalista"/>
    <s v="SI"/>
    <n v="8"/>
    <n v="8"/>
    <n v="10000000"/>
    <n v="23464528"/>
    <n v="904543"/>
    <s v=" $ - "/>
  </r>
  <r>
    <x v="30"/>
    <s v="TOMAS@gmail.com"/>
    <x v="0"/>
    <s v="Agroindustrial"/>
    <s v="Trabajo"/>
    <s v="Ofreciendo trabajo"/>
    <s v="NO"/>
    <n v="6"/>
    <n v="8"/>
    <s v="$ - "/>
    <s v=" $ - "/>
    <n v="66204884"/>
    <n v="27801447"/>
  </r>
  <r>
    <x v="31"/>
    <s v="MARCOS@gmail.com"/>
    <x v="2"/>
    <s v="Sector Real"/>
    <s v="Trabajo"/>
    <s v="Buscando trabajo"/>
    <s v="SI"/>
    <n v="3"/>
    <n v="5"/>
    <s v="$ - "/>
    <s v=" $ - "/>
    <n v="30987169"/>
    <n v="7339680"/>
  </r>
  <r>
    <x v="32"/>
    <s v="MARIO@gmail.com"/>
    <x v="0"/>
    <s v="Tecnología"/>
    <s v="Inversión"/>
    <s v="Socio capitalista"/>
    <s v="NO"/>
    <n v="6"/>
    <n v="7"/>
    <n v="10000000"/>
    <n v="22390348"/>
    <n v="24476166"/>
    <s v=" $ - "/>
  </r>
  <r>
    <x v="33"/>
    <s v="ARTURO@gmail.com"/>
    <x v="0"/>
    <s v="Sector Real"/>
    <s v="Inversión"/>
    <s v="Socio de proyecto"/>
    <s v="NO"/>
    <n v="6"/>
    <n v="10"/>
    <n v="20000000"/>
    <n v="31670482"/>
    <n v="15619630"/>
    <n v="59838390"/>
  </r>
  <r>
    <x v="34"/>
    <s v="EUGENIO@gmail.com"/>
    <x v="0"/>
    <s v="Construcción"/>
    <s v="Inversión"/>
    <s v="Socio de proyecto"/>
    <s v="NO"/>
    <n v="8"/>
    <n v="5"/>
    <n v="20000000"/>
    <n v="81056910"/>
    <n v="96438403"/>
    <n v="90723423"/>
  </r>
  <r>
    <x v="35"/>
    <s v="JUAN@gmail.com"/>
    <x v="0"/>
    <s v="Tecnología"/>
    <s v="Conocimiento"/>
    <s v="Otro tipo"/>
    <s v="NO"/>
    <n v="5"/>
    <n v="7"/>
    <s v="$ - "/>
    <s v=" $ - "/>
    <s v=" $ - "/>
    <n v="52936315"/>
  </r>
  <r>
    <x v="36"/>
    <s v="GONZALO@gmail.com"/>
    <x v="0"/>
    <s v="Tecnología"/>
    <s v="Inversión"/>
    <s v="Socio capitalista"/>
    <s v="NO"/>
    <n v="9"/>
    <n v="7"/>
    <n v="30000000"/>
    <n v="91413171"/>
    <n v="13211402"/>
    <s v=" $ - "/>
  </r>
  <r>
    <x v="37"/>
    <s v="ANTONIO@gmail.com"/>
    <x v="0"/>
    <s v="Construcción"/>
    <s v="Inversión"/>
    <s v="Socio de proyecto"/>
    <s v="NO"/>
    <n v="4"/>
    <n v="7"/>
    <n v="1000000"/>
    <n v="87347043"/>
    <n v="50796112"/>
    <n v="72757830"/>
  </r>
  <r>
    <x v="38"/>
    <s v="EMILIO@gmail.com"/>
    <x v="0"/>
    <s v="Sector Real"/>
    <s v="Trabajo"/>
    <s v="Buscando trabajo"/>
    <s v="NO"/>
    <n v="4"/>
    <n v="9"/>
    <s v="$ - "/>
    <s v=" $ - "/>
    <n v="38721754"/>
    <n v="77230635"/>
  </r>
  <r>
    <x v="39"/>
    <s v="AGUSTIN@gmail.com"/>
    <x v="0"/>
    <s v="Tecnología"/>
    <s v="Inversión"/>
    <s v="Socio de proyecto"/>
    <s v="NO"/>
    <n v="9"/>
    <n v="5"/>
    <n v="10000000"/>
    <n v="43538967"/>
    <n v="5161300"/>
    <n v="85417673"/>
  </r>
  <r>
    <x v="40"/>
    <s v="JUAN PABLO@gmail.com"/>
    <x v="0"/>
    <s v="Tecnología"/>
    <s v="Inversión"/>
    <s v="Socio de proyecto"/>
    <s v="SI"/>
    <n v="6"/>
    <n v="10"/>
    <n v="1000000"/>
    <n v="95899452"/>
    <n v="2565664"/>
    <n v="39602953"/>
  </r>
  <r>
    <x v="41"/>
    <s v="FRANCISCO@gmail.com"/>
    <x v="0"/>
    <s v="Tecnología"/>
    <s v="Inversión"/>
    <s v="Socio de proyecto"/>
    <s v="SI"/>
    <n v="8"/>
    <n v="8"/>
    <n v="1000000"/>
    <n v="81347428"/>
    <n v="10860215"/>
    <n v="28637290"/>
  </r>
  <r>
    <x v="42"/>
    <s v="MARC@gmail.com"/>
    <x v="0"/>
    <s v="Sector Real"/>
    <s v="Inversión"/>
    <s v="Socio de proyecto"/>
    <s v="SI"/>
    <n v="6"/>
    <n v="10"/>
    <n v="30000000"/>
    <n v="52442860"/>
    <n v="2659881"/>
    <n v="80287314"/>
  </r>
  <r>
    <x v="43"/>
    <s v="ROBERTO@gmail.com"/>
    <x v="0"/>
    <s v="Tecnología"/>
    <s v="Inversión"/>
    <s v="Socio de proyecto"/>
    <s v="SI"/>
    <n v="7"/>
    <n v="5"/>
    <n v="10000000"/>
    <n v="96199053"/>
    <n v="31746355"/>
    <n v="80063468"/>
  </r>
  <r>
    <x v="44"/>
    <s v="CARLOS@gmail.com"/>
    <x v="0"/>
    <s v="Tecnología"/>
    <s v="Inversión"/>
    <s v="Socio de proyecto"/>
    <s v="NO"/>
    <n v="5"/>
    <n v="7"/>
    <n v="1000000"/>
    <n v="71783742"/>
    <n v="64667814"/>
    <n v="70653180"/>
  </r>
  <r>
    <x v="45"/>
    <s v="JOEL@gmail.com"/>
    <x v="0"/>
    <s v="Sector Real"/>
    <s v="Inversión"/>
    <s v="Socio de proyecto"/>
    <s v="NO"/>
    <n v="3"/>
    <n v="8"/>
    <n v="90000000"/>
    <n v="94913746"/>
    <n v="74083223"/>
    <n v="31617670"/>
  </r>
  <r>
    <x v="46"/>
    <s v="MARIANO@gmail.com"/>
    <x v="0"/>
    <s v="Sector Real"/>
    <s v="Trabajo"/>
    <s v="Ofreciendo trabajo"/>
    <s v="NO"/>
    <n v="7"/>
    <n v="9"/>
    <s v="$ - "/>
    <s v=" $ - "/>
    <n v="67753952"/>
    <n v="77205812"/>
  </r>
  <r>
    <x v="47"/>
    <s v="OSCAR@gmail.com"/>
    <x v="2"/>
    <s v="Tecnología"/>
    <s v="Inversión"/>
    <s v="Socio de proyecto"/>
    <s v="SI"/>
    <n v="5"/>
    <n v="6"/>
    <n v="30000000"/>
    <n v="33477783"/>
    <s v=" $ - "/>
    <n v="27651635"/>
  </r>
  <r>
    <x v="48"/>
    <s v="ALEXANDER@gmail.com"/>
    <x v="0"/>
    <s v="Construcción"/>
    <s v="Inversión"/>
    <s v="Socio capitalista"/>
    <s v="SI"/>
    <n v="9"/>
    <n v="9"/>
    <n v="50000000"/>
    <n v="2702447"/>
    <s v=" $ - "/>
    <n v="44671760"/>
  </r>
  <r>
    <x v="49"/>
    <s v="BORJA@gmail.com"/>
    <x v="4"/>
    <s v="Tecnología"/>
    <s v="Inversión"/>
    <s v="Socio capitalista"/>
    <s v="NO"/>
    <n v="6"/>
    <n v="8"/>
    <n v="50000000"/>
    <n v="70787848"/>
    <n v="33368202"/>
    <n v="43277527"/>
  </r>
  <r>
    <x v="50"/>
    <s v="RAUL@gmail.com"/>
    <x v="2"/>
    <s v="Tecnología"/>
    <s v="Trabajo"/>
    <s v="Ofreciendo trabajo"/>
    <s v="SI"/>
    <n v="7"/>
    <n v="5"/>
    <s v="$ - "/>
    <s v=" $ - "/>
    <n v="46563396"/>
    <n v="63313535"/>
  </r>
  <r>
    <x v="51"/>
    <s v="ALEX@gmail.com"/>
    <x v="5"/>
    <s v="Tecnología"/>
    <s v="Inversión"/>
    <s v="Socio capitalista"/>
    <s v="NO"/>
    <n v="5"/>
    <n v="6"/>
    <n v="20000000"/>
    <n v="40064620"/>
    <n v="98137438"/>
    <s v=" $ - "/>
  </r>
  <r>
    <x v="52"/>
    <s v="IVAN@gmail.com"/>
    <x v="0"/>
    <s v="Tecnología"/>
    <s v="Inversión"/>
    <s v="Socio de proyecto"/>
    <s v="NO"/>
    <n v="4"/>
    <n v="6"/>
    <n v="30000000"/>
    <n v="45289360"/>
    <s v=" $ - "/>
    <n v="46980526"/>
  </r>
  <r>
    <x v="53"/>
    <s v="SAMUEL@gmail.com"/>
    <x v="0"/>
    <s v="Sector Real"/>
    <s v="Inversión"/>
    <s v="Socio de proyecto"/>
    <s v="NO"/>
    <n v="7"/>
    <n v="5"/>
    <n v="30000000"/>
    <n v="34397393"/>
    <n v="72192037"/>
    <n v="21247716"/>
  </r>
  <r>
    <x v="54"/>
    <s v="ANDRES@gmail.com"/>
    <x v="0"/>
    <s v="Tecnología"/>
    <s v="Trabajo"/>
    <s v="Buscando trabajo"/>
    <s v="SI"/>
    <n v="3"/>
    <n v="9"/>
    <s v="$ - "/>
    <s v=" $ - "/>
    <n v="69870077"/>
    <n v="98441580"/>
  </r>
  <r>
    <x v="55"/>
    <s v="NORA@gmail.com"/>
    <x v="6"/>
    <s v="Sector Real"/>
    <s v="Inversión"/>
    <s v="Socio de proyecto"/>
    <s v="NO"/>
    <n v="3"/>
    <n v="6"/>
    <n v="1000000"/>
    <n v="34126405"/>
    <n v="88265167"/>
    <n v="56002928"/>
  </r>
  <r>
    <x v="56"/>
    <s v="ANDRÉS@gmail.com"/>
    <x v="0"/>
    <s v="Tecnología"/>
    <s v="Inversión"/>
    <s v="Socio capitalista"/>
    <s v="NO"/>
    <n v="7"/>
    <n v="10"/>
    <n v="1000000"/>
    <n v="53008255"/>
    <n v="46917910"/>
    <n v="47557281"/>
  </r>
  <r>
    <x v="57"/>
    <s v="CRISTIAN@gmail.com"/>
    <x v="0"/>
    <s v="Tecnología"/>
    <s v="Trabajo"/>
    <s v="Buscando trabajo"/>
    <s v="NO"/>
    <n v="5"/>
    <n v="9"/>
    <s v="$ - "/>
    <s v=" $ - "/>
    <s v=" $ - "/>
    <n v="22675260"/>
  </r>
  <r>
    <x v="58"/>
    <s v="JAVIER@gmail.com"/>
    <x v="7"/>
    <s v="Tecnología"/>
    <s v="Inversión"/>
    <s v="Socio capitalista"/>
    <s v="NO"/>
    <n v="9"/>
    <n v="5"/>
    <n v="100000000"/>
    <n v="94688720"/>
    <n v="86323763"/>
    <n v="20929788"/>
  </r>
  <r>
    <x v="59"/>
    <s v="DOMINGO@gmail.com"/>
    <x v="0"/>
    <s v="Educación"/>
    <s v="Conocimiento"/>
    <s v="Académico"/>
    <s v="NO"/>
    <n v="4"/>
    <n v="8"/>
    <s v="$ - "/>
    <s v=" $ - "/>
    <n v="96750826"/>
    <n v="31435769"/>
  </r>
  <r>
    <x v="60"/>
    <s v="NICOLAS@gmail.com"/>
    <x v="0"/>
    <s v="Sector Real"/>
    <s v="Inversión"/>
    <s v="Socio capitalista"/>
    <s v="NO"/>
    <n v="5"/>
    <n v="10"/>
    <n v="10000000"/>
    <n v="89686683"/>
    <n v="62448793"/>
    <n v="26812600"/>
  </r>
  <r>
    <x v="61"/>
    <s v="HECTOR@gmail.com"/>
    <x v="0"/>
    <s v="Tecnología"/>
    <s v="Inversión"/>
    <s v="Socio de proyecto"/>
    <s v="NO"/>
    <n v="3"/>
    <n v="10"/>
    <n v="30000000"/>
    <n v="32890743"/>
    <s v=" $ - "/>
    <n v="39864620"/>
  </r>
  <r>
    <x v="62"/>
    <s v="RICARDO@gmail.com"/>
    <x v="0"/>
    <s v="Sector Real"/>
    <s v="Inversión"/>
    <s v="Socio capitalista"/>
    <s v="NO"/>
    <n v="3"/>
    <n v="10"/>
    <n v="10000000"/>
    <n v="32370896"/>
    <n v="96066942"/>
    <n v="3767736"/>
  </r>
  <r>
    <x v="63"/>
    <s v="ALBERTO@gmail.com"/>
    <x v="0"/>
    <s v="Sector Real"/>
    <s v="Trabajo"/>
    <s v="Ofreciendo trabajo"/>
    <s v="NO"/>
    <n v="5"/>
    <n v="5"/>
    <s v="$ - "/>
    <s v=" $ - "/>
    <n v="24514428"/>
    <n v="27890231"/>
  </r>
  <r>
    <x v="64"/>
    <s v="RUBEN@gmail.com"/>
    <x v="0"/>
    <s v="Tecnología"/>
    <s v="Inversión"/>
    <s v="Socio capitalista"/>
    <s v="SI"/>
    <n v="7"/>
    <n v="7"/>
    <n v="10000000"/>
    <n v="31953589"/>
    <n v="40068224"/>
    <n v="80951038"/>
  </r>
  <r>
    <x v="65"/>
    <s v="SEBASTIAN@gmail.com"/>
    <x v="0"/>
    <s v="Tecnología"/>
    <s v="Inversión"/>
    <s v="Socio capitalista"/>
    <s v="NO"/>
    <n v="7"/>
    <n v="5"/>
    <n v="50000000"/>
    <n v="78205651"/>
    <n v="62381180"/>
    <n v="6508585"/>
  </r>
  <r>
    <x v="66"/>
    <s v="MOHAMED@gmail.com"/>
    <x v="0"/>
    <s v="Agroindustrial"/>
    <s v="Trabajo"/>
    <s v="Buscando trabajo"/>
    <s v="NO"/>
    <n v="5"/>
    <n v="4"/>
    <s v="$ - "/>
    <s v=" $ - "/>
    <n v="34584522"/>
    <s v=" $ - "/>
  </r>
  <r>
    <x v="67"/>
    <s v="MARCO@gmail.com"/>
    <x v="8"/>
    <s v="Tecnología"/>
    <s v="Conocimiento"/>
    <s v="Otro tipo"/>
    <s v="NO"/>
    <n v="7"/>
    <n v="7"/>
    <s v="$ - "/>
    <s v=" $ - "/>
    <n v="76942676"/>
    <n v="74216691"/>
  </r>
  <r>
    <x v="68"/>
    <s v="SERGIO@gmail.com"/>
    <x v="2"/>
    <s v="Sector Real"/>
    <s v="Inversión"/>
    <s v="Socio de proyecto"/>
    <s v="SI"/>
    <n v="8"/>
    <n v="9"/>
    <n v="5000000"/>
    <n v="70270294"/>
    <n v="19588762"/>
    <n v="78634577"/>
  </r>
  <r>
    <x v="69"/>
    <s v="RAMON@gmail.com"/>
    <x v="0"/>
    <s v="Agroindustrial"/>
    <s v="Trabajo"/>
    <s v="Buscando trabajo"/>
    <s v="NO"/>
    <n v="3"/>
    <n v="5"/>
    <s v="$ - "/>
    <s v=" $ - "/>
    <n v="85955846"/>
    <n v="25891596"/>
  </r>
  <r>
    <x v="70"/>
    <s v="GREGORIO@gmail.com"/>
    <x v="0"/>
    <s v="Agroindustrial"/>
    <s v="Inversión"/>
    <s v="Socio de proyecto"/>
    <s v="SI"/>
    <n v="8"/>
    <n v="10"/>
    <n v="20000000"/>
    <n v="62745331"/>
    <n v="39843357"/>
    <n v="64840967"/>
  </r>
  <r>
    <x v="71"/>
    <s v="JOAN@gmail.com"/>
    <x v="0"/>
    <s v="Tecnología"/>
    <s v="Trabajo"/>
    <s v="Ofreciendo trabajo"/>
    <s v="NO"/>
    <n v="5"/>
    <n v="7"/>
    <s v="$ - "/>
    <s v=" $ - "/>
    <n v="82583322"/>
    <n v="809058"/>
  </r>
  <r>
    <x v="72"/>
    <s v="ALFONSO@gmail.com"/>
    <x v="0"/>
    <s v="Tecnología"/>
    <s v="Inversión"/>
    <s v="Socio de proyecto"/>
    <s v="SI"/>
    <n v="6"/>
    <n v="6"/>
    <n v="10000000"/>
    <n v="59890317"/>
    <n v="42451842"/>
    <s v=" $ - "/>
  </r>
  <r>
    <x v="73"/>
    <s v="GUILLERMO@gmail.com"/>
    <x v="0"/>
    <s v="Agroindustrial"/>
    <s v="Inversión"/>
    <s v="Socio capitalista"/>
    <s v="NO"/>
    <n v="3"/>
    <n v="6"/>
    <n v="10000000"/>
    <n v="97449662"/>
    <n v="49624160"/>
    <n v="17854677"/>
  </r>
  <r>
    <x v="74"/>
    <s v="CHRISTIAN@gmail.com"/>
    <x v="0"/>
    <s v="Construcción"/>
    <s v="Trabajo"/>
    <s v="Ofreciendo trabajo"/>
    <s v="NO"/>
    <n v="8"/>
    <n v="10"/>
    <s v="$ - "/>
    <s v=" $ - "/>
    <n v="44422091"/>
    <n v="8898260"/>
  </r>
  <r>
    <x v="75"/>
    <s v="MATEO@gmail.com"/>
    <x v="5"/>
    <s v="Tecnología"/>
    <s v="Trabajo"/>
    <s v="Buscando trabajo"/>
    <s v="NO"/>
    <n v="5"/>
    <n v="7"/>
    <s v="$ - "/>
    <s v=" $ - "/>
    <s v=" $ - "/>
    <n v="63436099"/>
  </r>
  <r>
    <x v="76"/>
    <s v="JULIAN@gmail.com"/>
    <x v="0"/>
    <s v="Tecnología"/>
    <s v="Inversión"/>
    <s v="Socio capitalista"/>
    <s v="SI"/>
    <n v="8"/>
    <n v="9"/>
    <n v="10000000"/>
    <n v="99989764"/>
    <n v="8030175"/>
    <n v="37676206"/>
  </r>
  <r>
    <x v="77"/>
    <s v="CRISTOBAL@gmail.com"/>
    <x v="0"/>
    <s v="Tecnología"/>
    <s v="Trabajo"/>
    <s v="Buscando trabajo"/>
    <s v="SI"/>
    <n v="4"/>
    <n v="5"/>
    <s v="$ - "/>
    <s v=" $ - "/>
    <n v="12862402"/>
    <n v="68922404"/>
  </r>
  <r>
    <x v="78"/>
    <s v="RODRIGO@gmail.com"/>
    <x v="0"/>
    <s v="Sector Real"/>
    <s v="Trabajo"/>
    <s v="Buscando trabajo"/>
    <s v="SI"/>
    <n v="9"/>
    <n v="9"/>
    <s v="$ - "/>
    <s v=" $ - "/>
    <n v="46914257"/>
    <n v="43734508"/>
  </r>
  <r>
    <x v="79"/>
    <s v="JESUS@gmail.com"/>
    <x v="9"/>
    <s v="Educación"/>
    <s v="Conocimiento"/>
    <s v="Académico"/>
    <s v="NO"/>
    <n v="6"/>
    <n v="10"/>
    <s v="$ - "/>
    <s v=" $ - "/>
    <n v="95212463"/>
    <s v=" $ - "/>
  </r>
  <r>
    <x v="80"/>
    <s v="JORGE@gmail.com"/>
    <x v="6"/>
    <s v="Tecnología"/>
    <s v="Inversión"/>
    <s v="Socio capitalista"/>
    <s v="NO"/>
    <n v="3"/>
    <n v="9"/>
    <n v="5000000"/>
    <n v="32915397"/>
    <n v="74493461"/>
    <n v="151779"/>
  </r>
  <r>
    <x v="81"/>
    <s v="JULIO@gmail.com"/>
    <x v="0"/>
    <s v="Sector Real"/>
    <s v="Trabajo"/>
    <s v="Buscando trabajo"/>
    <s v="NO"/>
    <n v="3"/>
    <n v="7"/>
    <s v="$ - "/>
    <s v=" $ - "/>
    <n v="43223505"/>
    <s v=" $ - "/>
  </r>
  <r>
    <x v="82"/>
    <s v="MARIA MÓNICA@gmail.com"/>
    <x v="0"/>
    <s v="Tecnología"/>
    <s v="Trabajo"/>
    <s v="Buscando trabajo"/>
    <s v="NO"/>
    <n v="7"/>
    <n v="10"/>
    <s v="$ - "/>
    <s v=" $ - "/>
    <n v="14141858"/>
    <n v="87162317"/>
  </r>
  <r>
    <x v="83"/>
    <s v="IGNACIO@gmail.com"/>
    <x v="0"/>
    <s v="Tecnología"/>
    <s v="Trabajo"/>
    <s v="Buscando trabajo"/>
    <s v="NO"/>
    <n v="3"/>
    <n v="7"/>
    <s v="$ - "/>
    <s v=" $ - "/>
    <n v="29525162"/>
    <s v=" $ - "/>
  </r>
  <r>
    <x v="84"/>
    <s v="GABRIEL@gmail.com"/>
    <x v="0"/>
    <s v="Tecnología"/>
    <s v="Trabajo"/>
    <s v="Ofreciendo trabajo"/>
    <s v="SI"/>
    <n v="7"/>
    <n v="4"/>
    <s v="$ - "/>
    <s v=" $ - "/>
    <n v="29366791"/>
    <n v="89805774"/>
  </r>
  <r>
    <x v="85"/>
    <s v="MARTIN@gmail.com"/>
    <x v="0"/>
    <s v="Tecnología"/>
    <s v="Trabajo"/>
    <s v="Buscando trabajo"/>
    <s v="SI"/>
    <n v="9"/>
    <n v="5"/>
    <s v="$ - "/>
    <s v=" $ - "/>
    <n v="73195518"/>
    <n v="10695678"/>
  </r>
  <r>
    <x v="86"/>
    <s v="FERNANDO@gmail.com"/>
    <x v="0"/>
    <s v="Tecnología"/>
    <s v="Trabajo"/>
    <s v="Buscando trabajo"/>
    <s v="NO"/>
    <n v="3"/>
    <n v="6"/>
    <s v="$ - "/>
    <s v=" $ - "/>
    <n v="1432950"/>
    <n v="29672451"/>
  </r>
  <r>
    <x v="87"/>
    <s v="ALEJANDRO@gmail.com"/>
    <x v="0"/>
    <s v="Tecnología"/>
    <s v="Inversión"/>
    <s v="Socio capitalista"/>
    <s v="SI"/>
    <n v="8"/>
    <n v="7"/>
    <n v="1000000"/>
    <n v="77159264"/>
    <s v=" $ - "/>
    <n v="97234303"/>
  </r>
  <r>
    <x v="88"/>
    <s v="SANTIAGO@gmail.com"/>
    <x v="6"/>
    <s v="Tecnología"/>
    <s v="Inversión"/>
    <s v="Socio capitalista"/>
    <s v="NO"/>
    <n v="7"/>
    <n v="10"/>
    <n v="100000000"/>
    <n v="12451199"/>
    <n v="74231711"/>
    <n v="42951226"/>
  </r>
  <r>
    <x v="89"/>
    <s v="LUCAS@gmail.com"/>
    <x v="0"/>
    <s v="Construcción"/>
    <s v="Inversión"/>
    <s v="Socio capitalista"/>
    <s v="SI"/>
    <n v="3"/>
    <n v="9"/>
    <n v="90000000"/>
    <n v="13287929"/>
    <n v="27090183"/>
    <n v="79518711"/>
  </r>
  <r>
    <x v="90"/>
    <s v="PEDRO@gmail.com"/>
    <x v="6"/>
    <s v="Educación"/>
    <s v="Conocimiento"/>
    <s v="Académico"/>
    <s v="NO"/>
    <n v="6"/>
    <n v="5"/>
    <s v="$ - "/>
    <s v=" $ - "/>
    <n v="20898506"/>
    <n v="24525645"/>
  </r>
  <r>
    <x v="91"/>
    <s v="ENRIQUE@gmail.com"/>
    <x v="0"/>
    <s v="Tecnología"/>
    <s v="Inversión"/>
    <s v="Socio capitalista"/>
    <s v="NO"/>
    <n v="8"/>
    <n v="7"/>
    <n v="5000000"/>
    <n v="37959268"/>
    <n v="69132389"/>
    <n v="99564796"/>
  </r>
  <r>
    <x v="92"/>
    <s v="VICTOR@gmail.com"/>
    <x v="0"/>
    <s v="Tecnología"/>
    <s v="Trabajo"/>
    <s v="Buscando trabajo"/>
    <s v="SI"/>
    <n v="3"/>
    <n v="6"/>
    <s v="$ - "/>
    <s v=" $ - "/>
    <n v="26450622"/>
    <n v="4227264"/>
  </r>
  <r>
    <x v="93"/>
    <s v="ALFREDO@gmail.com"/>
    <x v="10"/>
    <s v="Tecnología"/>
    <s v="Trabajo"/>
    <s v="Buscando trabajo"/>
    <s v="SI"/>
    <n v="6"/>
    <n v="5"/>
    <s v="$ - "/>
    <s v=" $ - "/>
    <s v=" $ - "/>
    <n v="54376640"/>
  </r>
  <r>
    <x v="94"/>
    <s v="DARIO@gmail.com"/>
    <x v="0"/>
    <s v="Tecnología"/>
    <s v="Inversión"/>
    <s v="Socio de proyecto"/>
    <s v="NO"/>
    <n v="7"/>
    <n v="9"/>
    <n v="90000000"/>
    <n v="29991873"/>
    <n v="39252741"/>
    <n v="15542722"/>
  </r>
  <r>
    <x v="95"/>
    <s v="DIEGO@gmail.com"/>
    <x v="0"/>
    <s v="Tecnología"/>
    <s v="Inversión"/>
    <s v="Socio de proyecto"/>
    <s v="NO"/>
    <n v="6"/>
    <n v="10"/>
    <n v="10000000"/>
    <n v="7303129"/>
    <n v="3765621"/>
    <n v="18125151"/>
  </r>
  <r>
    <x v="96"/>
    <s v="ISMAEL@gmail.com"/>
    <x v="2"/>
    <s v="Tecnología"/>
    <s v="Inversión"/>
    <s v="Socio de proyecto"/>
    <s v="NO"/>
    <n v="3"/>
    <n v="9"/>
    <n v="30000000"/>
    <n v="44457754"/>
    <s v=" $ - "/>
    <n v="62249765"/>
  </r>
  <r>
    <x v="97"/>
    <s v="JAIME@gmail.com"/>
    <x v="0"/>
    <s v="Tecnología"/>
    <s v="Inversión"/>
    <s v="Socio capitalista"/>
    <s v="NO"/>
    <n v="4"/>
    <n v="10"/>
    <n v="10000000"/>
    <n v="54467236"/>
    <s v=" $ - "/>
    <n v="1234692"/>
  </r>
  <r>
    <x v="98"/>
    <s v="SALVADOR@gmail.com"/>
    <x v="0"/>
    <s v="Tecnología"/>
    <s v="Inversión"/>
    <s v="Socio de proyecto"/>
    <s v="NO"/>
    <n v="4"/>
    <n v="10"/>
    <n v="10000000"/>
    <n v="17991607"/>
    <s v=" $ - "/>
    <n v="174626"/>
  </r>
  <r>
    <x v="99"/>
    <s v="ADRIAN@gmail.com"/>
    <x v="0"/>
    <s v="Tecnología"/>
    <s v="Trabajo"/>
    <s v="Ofreciendo trabajo"/>
    <s v="NO"/>
    <n v="5"/>
    <n v="10"/>
    <s v="$ - "/>
    <s v=" $ - "/>
    <n v="24965127"/>
    <n v="4112978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0">
  <r>
    <n v="1"/>
    <s v="VALENTINA"/>
    <s v="ALBERT@gmail.com"/>
    <s v="COLOMBIA"/>
    <x v="0"/>
    <s v="Conocimiento"/>
    <s v="Académico"/>
    <x v="0"/>
    <n v="3"/>
    <x v="0"/>
    <s v="$ - "/>
    <s v=" $ - "/>
    <n v="96781441"/>
    <n v="47643060"/>
  </r>
  <r>
    <n v="2"/>
    <s v="GUILLERMO"/>
    <s v="JOAQUIN@gmail.com"/>
    <s v="COLOMBIA"/>
    <x v="1"/>
    <s v="Inversión"/>
    <s v="Socio capitalista"/>
    <x v="1"/>
    <n v="8"/>
    <x v="1"/>
    <n v="10000000"/>
    <n v="40848959"/>
    <n v="92963332"/>
    <n v="47565587"/>
  </r>
  <r>
    <n v="3"/>
    <s v="JOSEP"/>
    <s v="CESAR@gmail.com"/>
    <s v="COLOMBIA"/>
    <x v="2"/>
    <s v="Trabajo"/>
    <s v="Ofreciendo trabajo"/>
    <x v="0"/>
    <n v="5"/>
    <x v="2"/>
    <s v="$ - "/>
    <s v=" $ - "/>
    <n v="49599457"/>
    <s v=" $ - "/>
  </r>
  <r>
    <n v="4"/>
    <s v="FERNANDO"/>
    <s v="HUGO@gmail.com"/>
    <s v="COLOMBIA"/>
    <x v="1"/>
    <s v="Inversión"/>
    <s v="Socio de proyecto"/>
    <x v="0"/>
    <n v="4"/>
    <x v="0"/>
    <n v="10000000"/>
    <n v="78308880"/>
    <n v="3248026"/>
    <n v="27143270"/>
  </r>
  <r>
    <n v="5"/>
    <s v="CHRISTIAN"/>
    <s v="VALENTINA@gmail.com"/>
    <s v="COLOMBIA"/>
    <x v="2"/>
    <s v="Inversión"/>
    <s v="Socio capitalista"/>
    <x v="0"/>
    <n v="4"/>
    <x v="3"/>
    <n v="50000000"/>
    <n v="2910571"/>
    <n v="37561085"/>
    <n v="19598007"/>
  </r>
  <r>
    <n v="6"/>
    <s v="ALBERTO"/>
    <s v="GERMAN@gmail.com"/>
    <s v="COLOMBIA"/>
    <x v="1"/>
    <s v="Inversión"/>
    <s v="Socio de proyecto"/>
    <x v="0"/>
    <n v="9"/>
    <x v="1"/>
    <n v="90000000"/>
    <n v="50075523"/>
    <n v="59142617"/>
    <n v="95314026"/>
  </r>
  <r>
    <n v="7"/>
    <s v="NORA"/>
    <s v="DAVID@gmail.com"/>
    <s v="COLOMBIA"/>
    <x v="1"/>
    <s v="Trabajo"/>
    <s v="Ofreciendo trabajo"/>
    <x v="0"/>
    <n v="5"/>
    <x v="3"/>
    <s v="$ - "/>
    <s v=" $ - "/>
    <s v=" $ - "/>
    <n v="67714973"/>
  </r>
  <r>
    <n v="8"/>
    <s v="MIGUEL"/>
    <s v="MIGUEL@gmail.com"/>
    <s v="COLOMBIA"/>
    <x v="1"/>
    <s v="Inversión"/>
    <s v="Socio capitalista"/>
    <x v="1"/>
    <n v="8"/>
    <x v="2"/>
    <n v="1000000"/>
    <n v="5305190"/>
    <n v="53291805"/>
    <n v="84809282"/>
  </r>
  <r>
    <n v="9"/>
    <s v="RAUL"/>
    <s v="VICENTE@gmail.com"/>
    <s v="COLOMBIA"/>
    <x v="3"/>
    <s v="Trabajo"/>
    <s v="Ofreciendo trabajo"/>
    <x v="1"/>
    <n v="8"/>
    <x v="4"/>
    <s v="$ - "/>
    <s v=" $ - "/>
    <n v="50085574"/>
    <n v="42495353"/>
  </r>
  <r>
    <n v="10"/>
    <s v="ADOLFO"/>
    <s v="ALVARO@gmail.com"/>
    <s v="COLOMBIA"/>
    <x v="4"/>
    <s v="Inversión"/>
    <s v="Socio de proyecto"/>
    <x v="0"/>
    <n v="5"/>
    <x v="3"/>
    <n v="10000000"/>
    <n v="38941670"/>
    <n v="67846781"/>
    <n v="87726693"/>
  </r>
  <r>
    <n v="11"/>
    <s v="EDUARDO"/>
    <s v="LUIS@gmail.com"/>
    <s v="VENEZUELA"/>
    <x v="1"/>
    <s v="Inversión"/>
    <s v="Socio de proyecto"/>
    <x v="0"/>
    <n v="4"/>
    <x v="5"/>
    <n v="1000000"/>
    <n v="28926771"/>
    <n v="56939610"/>
    <n v="92726884"/>
  </r>
  <r>
    <n v="12"/>
    <s v="ISAAC"/>
    <s v="DANIEL@gmail.com"/>
    <s v="COLOMBIA"/>
    <x v="1"/>
    <s v="Inversión"/>
    <s v="Socio de proyecto"/>
    <x v="0"/>
    <n v="3"/>
    <x v="0"/>
    <n v="1000000"/>
    <n v="34252074"/>
    <s v=" $ - "/>
    <n v="22994819"/>
  </r>
  <r>
    <n v="13"/>
    <s v="ANTONIO"/>
    <s v="JOSEP@gmail.com"/>
    <s v="COLOMBIA"/>
    <x v="2"/>
    <s v="Trabajo"/>
    <s v="Buscando trabajo"/>
    <x v="0"/>
    <n v="7"/>
    <x v="3"/>
    <s v="$ - "/>
    <s v=" $ - "/>
    <n v="45347826"/>
    <n v="14301768"/>
  </r>
  <r>
    <n v="14"/>
    <s v="RUBEN"/>
    <s v="EDUARDO@gmail.com"/>
    <s v="COLOMBIA"/>
    <x v="1"/>
    <s v="Trabajo"/>
    <s v="Buscando trabajo"/>
    <x v="1"/>
    <n v="4"/>
    <x v="0"/>
    <s v="$ - "/>
    <s v=" $ - "/>
    <n v="71453938"/>
    <n v="38593802"/>
  </r>
  <r>
    <n v="15"/>
    <s v="RICARDO"/>
    <s v="LEONEL@gmail.com"/>
    <s v="COLOMBIA"/>
    <x v="4"/>
    <s v="Inversión"/>
    <s v="Socio capitalista"/>
    <x v="0"/>
    <n v="9"/>
    <x v="2"/>
    <n v="20000000"/>
    <n v="32346156"/>
    <n v="22346275"/>
    <n v="73743047"/>
  </r>
  <r>
    <n v="16"/>
    <s v="FRANCISCO"/>
    <s v="JORDI@gmail.com"/>
    <s v="COLOMBIA"/>
    <x v="0"/>
    <s v="Conocimiento"/>
    <s v="Académico"/>
    <x v="0"/>
    <n v="4"/>
    <x v="6"/>
    <s v="$ - "/>
    <s v=" $ - "/>
    <n v="96357193"/>
    <n v="67901582"/>
  </r>
  <r>
    <n v="17"/>
    <s v="MARTIN"/>
    <s v="ESTEBAN@gmail.com"/>
    <s v="COLOMBIA"/>
    <x v="1"/>
    <s v="Inversión"/>
    <s v="Socio capitalista"/>
    <x v="0"/>
    <n v="5"/>
    <x v="1"/>
    <n v="100000000"/>
    <n v="72903049"/>
    <n v="67375493"/>
    <n v="4753995"/>
  </r>
  <r>
    <n v="18"/>
    <s v="ANDRÉS"/>
    <s v="JONATHAN@gmail.com"/>
    <s v="COLOMBIA"/>
    <x v="0"/>
    <s v="Conocimiento"/>
    <s v="Académico"/>
    <x v="0"/>
    <n v="6"/>
    <x v="1"/>
    <s v="$ - "/>
    <s v=" $ - "/>
    <n v="80671052"/>
    <n v="58339670"/>
  </r>
  <r>
    <n v="19"/>
    <s v="JUAN PABLO"/>
    <s v="FELIPE@gmail.com"/>
    <s v="BRASIL"/>
    <x v="4"/>
    <s v="Trabajo"/>
    <s v="Buscando trabajo"/>
    <x v="1"/>
    <n v="9"/>
    <x v="0"/>
    <s v="$ - "/>
    <s v=" $ - "/>
    <s v=" $ - "/>
    <n v="44898366"/>
  </r>
  <r>
    <n v="20"/>
    <s v="ROBERTO"/>
    <s v="JOSE@gmail.com"/>
    <s v="COLOMBIA"/>
    <x v="1"/>
    <s v="Inversión"/>
    <s v="Socio de proyecto"/>
    <x v="0"/>
    <n v="5"/>
    <x v="6"/>
    <n v="1000000"/>
    <n v="96696256"/>
    <n v="62106884"/>
    <n v="85228190"/>
  </r>
  <r>
    <n v="21"/>
    <s v="EMILIO"/>
    <s v="FELIX@gmail.com"/>
    <s v="COLOMBIA"/>
    <x v="1"/>
    <s v="Inversión"/>
    <s v="Socio de proyecto"/>
    <x v="0"/>
    <n v="6"/>
    <x v="1"/>
    <n v="10000000"/>
    <n v="51531809"/>
    <n v="99819688"/>
    <n v="24233431"/>
  </r>
  <r>
    <n v="22"/>
    <s v="LEONEL"/>
    <s v="PABLO@gmail.com"/>
    <s v="COLOMBIA"/>
    <x v="3"/>
    <s v="Inversión"/>
    <s v="Socio capitalista"/>
    <x v="1"/>
    <n v="6"/>
    <x v="2"/>
    <s v="$ - "/>
    <s v=" $ - "/>
    <n v="34214902"/>
    <n v="24896611"/>
  </r>
  <r>
    <n v="23"/>
    <s v="JOAN"/>
    <s v="MANUEL@gmail.com"/>
    <s v="ARGENTINA"/>
    <x v="4"/>
    <s v="Trabajo"/>
    <s v="Ofreciendo trabajo"/>
    <x v="0"/>
    <n v="8"/>
    <x v="5"/>
    <s v="$ - "/>
    <s v=" $ - "/>
    <n v="7121108"/>
    <n v="6991703"/>
  </r>
  <r>
    <n v="24"/>
    <s v="SERGIO"/>
    <s v="LORENZO@gmail.com"/>
    <s v="COLOMBIA"/>
    <x v="3"/>
    <s v="Inversión"/>
    <s v="Socio capitalista"/>
    <x v="0"/>
    <n v="7"/>
    <x v="2"/>
    <n v="20000000"/>
    <n v="93037614"/>
    <n v="48185946"/>
    <n v="75039300"/>
  </r>
  <r>
    <n v="25"/>
    <s v="EUGENIO"/>
    <s v="ISAAC@gmail.com"/>
    <s v="COLOMBIA"/>
    <x v="1"/>
    <s v="Inversión"/>
    <s v="Socio capitalista"/>
    <x v="0"/>
    <n v="9"/>
    <x v="2"/>
    <n v="90000000"/>
    <n v="62088180"/>
    <n v="18047519"/>
    <n v="3738158"/>
  </r>
  <r>
    <n v="26"/>
    <s v="SEBASTIAN"/>
    <s v="MARIA@gmail.com"/>
    <s v="COLOMBIA"/>
    <x v="4"/>
    <s v="Inversión"/>
    <s v="Socio capitalista"/>
    <x v="0"/>
    <n v="3"/>
    <x v="3"/>
    <n v="1000000"/>
    <n v="1160848"/>
    <n v="32268145"/>
    <n v="13339687"/>
  </r>
  <r>
    <n v="27"/>
    <s v="SAMUEL"/>
    <s v="ANGEL@gmail.com"/>
    <s v="COLOMBIA"/>
    <x v="1"/>
    <s v="Trabajo"/>
    <s v="Ofreciendo trabajo"/>
    <x v="0"/>
    <n v="6"/>
    <x v="7"/>
    <s v="$ - "/>
    <s v=" $ - "/>
    <n v="21224611"/>
    <n v="62562457"/>
  </r>
  <r>
    <n v="28"/>
    <s v="ENRIQUE"/>
    <s v="ADOLFO@gmail.com"/>
    <s v="COLOMBIA"/>
    <x v="4"/>
    <s v="Trabajo"/>
    <s v="Ofreciendo trabajo"/>
    <x v="0"/>
    <n v="9"/>
    <x v="3"/>
    <s v="$ - "/>
    <s v=" $ - "/>
    <n v="85434615"/>
    <n v="79508333"/>
  </r>
  <r>
    <n v="29"/>
    <s v="DIEGO"/>
    <s v="ERNESTO@gmail.com"/>
    <s v="COLOMBIA"/>
    <x v="1"/>
    <s v="Inversión"/>
    <s v="Socio de proyecto"/>
    <x v="0"/>
    <n v="8"/>
    <x v="1"/>
    <n v="90000000"/>
    <n v="23888885"/>
    <n v="68725539"/>
    <n v="78613526"/>
  </r>
  <r>
    <n v="30"/>
    <s v="PEDRO"/>
    <s v="RAFAEL@gmail.com"/>
    <s v="COLOMBIA"/>
    <x v="4"/>
    <s v="Inversión"/>
    <s v="Socio capitalista"/>
    <x v="1"/>
    <n v="8"/>
    <x v="0"/>
    <n v="10000000"/>
    <n v="23464528"/>
    <n v="904543"/>
    <s v=" $ - "/>
  </r>
  <r>
    <n v="31"/>
    <s v="ALBERT"/>
    <s v="TOMAS@gmail.com"/>
    <s v="COLOMBIA"/>
    <x v="3"/>
    <s v="Trabajo"/>
    <s v="Ofreciendo trabajo"/>
    <x v="0"/>
    <n v="6"/>
    <x v="0"/>
    <s v="$ - "/>
    <s v=" $ - "/>
    <n v="66204884"/>
    <n v="27801447"/>
  </r>
  <r>
    <n v="32"/>
    <s v="JORGE"/>
    <s v="MARCOS@gmail.com"/>
    <s v="BRASIL"/>
    <x v="4"/>
    <s v="Trabajo"/>
    <s v="Buscando trabajo"/>
    <x v="1"/>
    <n v="3"/>
    <x v="5"/>
    <s v="$ - "/>
    <s v=" $ - "/>
    <n v="30987169"/>
    <n v="7339680"/>
  </r>
  <r>
    <n v="33"/>
    <s v="RAMON"/>
    <s v="MARIO@gmail.com"/>
    <s v="COLOMBIA"/>
    <x v="1"/>
    <s v="Inversión"/>
    <s v="Socio capitalista"/>
    <x v="0"/>
    <n v="6"/>
    <x v="1"/>
    <n v="10000000"/>
    <n v="22390348"/>
    <n v="24476166"/>
    <s v=" $ - "/>
  </r>
  <r>
    <n v="34"/>
    <s v="HUGO"/>
    <s v="ARTURO@gmail.com"/>
    <s v="COLOMBIA"/>
    <x v="4"/>
    <s v="Inversión"/>
    <s v="Socio de proyecto"/>
    <x v="0"/>
    <n v="6"/>
    <x v="2"/>
    <n v="20000000"/>
    <n v="31670482"/>
    <n v="15619630"/>
    <n v="59838390"/>
  </r>
  <r>
    <n v="35"/>
    <s v="MARIA"/>
    <s v="EUGENIO@gmail.com"/>
    <s v="COLOMBIA"/>
    <x v="2"/>
    <s v="Inversión"/>
    <s v="Socio de proyecto"/>
    <x v="0"/>
    <n v="8"/>
    <x v="5"/>
    <n v="20000000"/>
    <n v="81056910"/>
    <n v="96438403"/>
    <n v="90723423"/>
  </r>
  <r>
    <n v="36"/>
    <s v="FELIX"/>
    <s v="JUAN@gmail.com"/>
    <s v="COLOMBIA"/>
    <x v="1"/>
    <s v="Conocimiento"/>
    <s v="Otro tipo"/>
    <x v="0"/>
    <n v="5"/>
    <x v="1"/>
    <s v="$ - "/>
    <s v=" $ - "/>
    <s v=" $ - "/>
    <n v="52936315"/>
  </r>
  <r>
    <n v="37"/>
    <s v="VICTOR"/>
    <s v="GONZALO@gmail.com"/>
    <s v="COLOMBIA"/>
    <x v="1"/>
    <s v="Inversión"/>
    <s v="Socio capitalista"/>
    <x v="0"/>
    <n v="9"/>
    <x v="1"/>
    <n v="30000000"/>
    <n v="91413171"/>
    <n v="13211402"/>
    <s v=" $ - "/>
  </r>
  <r>
    <n v="38"/>
    <s v="JORDI"/>
    <s v="ANTONIO@gmail.com"/>
    <s v="COLOMBIA"/>
    <x v="2"/>
    <s v="Inversión"/>
    <s v="Socio de proyecto"/>
    <x v="0"/>
    <n v="4"/>
    <x v="1"/>
    <n v="1000000"/>
    <n v="87347043"/>
    <n v="50796112"/>
    <n v="72757830"/>
  </r>
  <r>
    <n v="39"/>
    <s v="MARIA MÓNICA"/>
    <s v="EMILIO@gmail.com"/>
    <s v="COLOMBIA"/>
    <x v="4"/>
    <s v="Trabajo"/>
    <s v="Buscando trabajo"/>
    <x v="0"/>
    <n v="4"/>
    <x v="3"/>
    <s v="$ - "/>
    <s v=" $ - "/>
    <n v="38721754"/>
    <n v="77230635"/>
  </r>
  <r>
    <n v="40"/>
    <s v="CRISTOBAL"/>
    <s v="AGUSTIN@gmail.com"/>
    <s v="COLOMBIA"/>
    <x v="1"/>
    <s v="Inversión"/>
    <s v="Socio de proyecto"/>
    <x v="0"/>
    <n v="9"/>
    <x v="5"/>
    <n v="10000000"/>
    <n v="43538967"/>
    <n v="5161300"/>
    <n v="85417673"/>
  </r>
  <r>
    <n v="41"/>
    <s v="NICOLAS"/>
    <s v="JUAN PABLO@gmail.com"/>
    <s v="COLOMBIA"/>
    <x v="1"/>
    <s v="Inversión"/>
    <s v="Socio de proyecto"/>
    <x v="1"/>
    <n v="6"/>
    <x v="2"/>
    <n v="1000000"/>
    <n v="95899452"/>
    <n v="2565664"/>
    <n v="39602953"/>
  </r>
  <r>
    <n v="42"/>
    <s v="FELIPE"/>
    <s v="FRANCISCO@gmail.com"/>
    <s v="COLOMBIA"/>
    <x v="1"/>
    <s v="Inversión"/>
    <s v="Socio de proyecto"/>
    <x v="1"/>
    <n v="8"/>
    <x v="0"/>
    <n v="1000000"/>
    <n v="81347428"/>
    <n v="10860215"/>
    <n v="28637290"/>
  </r>
  <r>
    <n v="43"/>
    <s v="ISMAEL"/>
    <s v="MARC@gmail.com"/>
    <s v="COLOMBIA"/>
    <x v="4"/>
    <s v="Inversión"/>
    <s v="Socio de proyecto"/>
    <x v="1"/>
    <n v="6"/>
    <x v="2"/>
    <n v="30000000"/>
    <n v="52442860"/>
    <n v="2659881"/>
    <n v="80287314"/>
  </r>
  <r>
    <n v="44"/>
    <s v="ALEJANDRO"/>
    <s v="ROBERTO@gmail.com"/>
    <s v="COLOMBIA"/>
    <x v="1"/>
    <s v="Inversión"/>
    <s v="Socio de proyecto"/>
    <x v="1"/>
    <n v="7"/>
    <x v="5"/>
    <n v="10000000"/>
    <n v="96199053"/>
    <n v="31746355"/>
    <n v="80063468"/>
  </r>
  <r>
    <n v="45"/>
    <s v="MATEO"/>
    <s v="CARLOS@gmail.com"/>
    <s v="COLOMBIA"/>
    <x v="1"/>
    <s v="Inversión"/>
    <s v="Socio de proyecto"/>
    <x v="0"/>
    <n v="5"/>
    <x v="1"/>
    <n v="1000000"/>
    <n v="71783742"/>
    <n v="64667814"/>
    <n v="70653180"/>
  </r>
  <r>
    <n v="46"/>
    <s v="CRISTIAN"/>
    <s v="JOEL@gmail.com"/>
    <s v="COLOMBIA"/>
    <x v="4"/>
    <s v="Inversión"/>
    <s v="Socio de proyecto"/>
    <x v="0"/>
    <n v="3"/>
    <x v="0"/>
    <n v="90000000"/>
    <n v="94913746"/>
    <n v="74083223"/>
    <n v="31617670"/>
  </r>
  <r>
    <n v="47"/>
    <s v="DAVID"/>
    <s v="MARIANO@gmail.com"/>
    <s v="COLOMBIA"/>
    <x v="4"/>
    <s v="Trabajo"/>
    <s v="Ofreciendo trabajo"/>
    <x v="0"/>
    <n v="7"/>
    <x v="3"/>
    <s v="$ - "/>
    <s v=" $ - "/>
    <n v="67753952"/>
    <n v="77205812"/>
  </r>
  <r>
    <n v="48"/>
    <s v="SALVADOR"/>
    <s v="OSCAR@gmail.com"/>
    <s v="BRASIL"/>
    <x v="1"/>
    <s v="Inversión"/>
    <s v="Socio de proyecto"/>
    <x v="1"/>
    <n v="5"/>
    <x v="6"/>
    <n v="30000000"/>
    <n v="33477783"/>
    <s v=" $ - "/>
    <n v="27651635"/>
  </r>
  <r>
    <n v="49"/>
    <s v="ALFREDO"/>
    <s v="ALEXANDER@gmail.com"/>
    <s v="COLOMBIA"/>
    <x v="2"/>
    <s v="Inversión"/>
    <s v="Socio capitalista"/>
    <x v="1"/>
    <n v="9"/>
    <x v="3"/>
    <n v="50000000"/>
    <n v="2702447"/>
    <s v=" $ - "/>
    <n v="44671760"/>
  </r>
  <r>
    <n v="50"/>
    <s v="OSCAR"/>
    <s v="BORJA@gmail.com"/>
    <s v="ECUADOR"/>
    <x v="1"/>
    <s v="Inversión"/>
    <s v="Socio capitalista"/>
    <x v="0"/>
    <n v="6"/>
    <x v="0"/>
    <n v="50000000"/>
    <n v="70787848"/>
    <n v="33368202"/>
    <n v="43277527"/>
  </r>
  <r>
    <n v="51"/>
    <s v="JUAN"/>
    <s v="RAUL@gmail.com"/>
    <s v="BRASIL"/>
    <x v="1"/>
    <s v="Trabajo"/>
    <s v="Ofreciendo trabajo"/>
    <x v="1"/>
    <n v="7"/>
    <x v="5"/>
    <s v="$ - "/>
    <s v=" $ - "/>
    <n v="46563396"/>
    <n v="63313535"/>
  </r>
  <r>
    <n v="52"/>
    <s v="IVAN"/>
    <s v="ALEX@gmail.com"/>
    <s v="URUGUAY"/>
    <x v="1"/>
    <s v="Inversión"/>
    <s v="Socio capitalista"/>
    <x v="0"/>
    <n v="5"/>
    <x v="6"/>
    <n v="20000000"/>
    <n v="40064620"/>
    <n v="98137438"/>
    <s v=" $ - "/>
  </r>
  <r>
    <n v="53"/>
    <s v="ALEXANDER"/>
    <s v="IVAN@gmail.com"/>
    <s v="COLOMBIA"/>
    <x v="1"/>
    <s v="Inversión"/>
    <s v="Socio de proyecto"/>
    <x v="0"/>
    <n v="4"/>
    <x v="6"/>
    <n v="30000000"/>
    <n v="45289360"/>
    <s v=" $ - "/>
    <n v="46980526"/>
  </r>
  <r>
    <n v="54"/>
    <s v="JAIME"/>
    <s v="SAMUEL@gmail.com"/>
    <s v="COLOMBIA"/>
    <x v="4"/>
    <s v="Inversión"/>
    <s v="Socio de proyecto"/>
    <x v="0"/>
    <n v="7"/>
    <x v="5"/>
    <n v="30000000"/>
    <n v="34397393"/>
    <n v="72192037"/>
    <n v="21247716"/>
  </r>
  <r>
    <n v="55"/>
    <s v="HECTOR"/>
    <s v="ANDRES@gmail.com"/>
    <s v="COLOMBIA"/>
    <x v="1"/>
    <s v="Trabajo"/>
    <s v="Buscando trabajo"/>
    <x v="1"/>
    <n v="3"/>
    <x v="3"/>
    <s v="$ - "/>
    <s v=" $ - "/>
    <n v="69870077"/>
    <n v="98441580"/>
  </r>
  <r>
    <n v="56"/>
    <s v="ERNESTO"/>
    <s v="NORA@gmail.com"/>
    <s v="CHILE"/>
    <x v="4"/>
    <s v="Inversión"/>
    <s v="Socio de proyecto"/>
    <x v="0"/>
    <n v="3"/>
    <x v="6"/>
    <n v="1000000"/>
    <n v="34126405"/>
    <n v="88265167"/>
    <n v="56002928"/>
  </r>
  <r>
    <n v="57"/>
    <s v="MARCO"/>
    <s v="ANDRÉS@gmail.com"/>
    <s v="COLOMBIA"/>
    <x v="1"/>
    <s v="Inversión"/>
    <s v="Socio capitalista"/>
    <x v="0"/>
    <n v="7"/>
    <x v="2"/>
    <n v="1000000"/>
    <n v="53008255"/>
    <n v="46917910"/>
    <n v="47557281"/>
  </r>
  <r>
    <n v="58"/>
    <s v="JAVIER"/>
    <s v="CRISTIAN@gmail.com"/>
    <s v="COLOMBIA"/>
    <x v="1"/>
    <s v="Trabajo"/>
    <s v="Buscando trabajo"/>
    <x v="0"/>
    <n v="5"/>
    <x v="3"/>
    <s v="$ - "/>
    <s v=" $ - "/>
    <s v=" $ - "/>
    <n v="22675260"/>
  </r>
  <r>
    <n v="59"/>
    <s v="ESTEBAN"/>
    <s v="JAVIER@gmail.com"/>
    <s v="BOLIVIA"/>
    <x v="1"/>
    <s v="Inversión"/>
    <s v="Socio capitalista"/>
    <x v="0"/>
    <n v="9"/>
    <x v="5"/>
    <n v="100000000"/>
    <n v="94688720"/>
    <n v="86323763"/>
    <n v="20929788"/>
  </r>
  <r>
    <n v="60"/>
    <s v="MARCOS"/>
    <s v="DOMINGO@gmail.com"/>
    <s v="COLOMBIA"/>
    <x v="0"/>
    <s v="Conocimiento"/>
    <s v="Académico"/>
    <x v="0"/>
    <n v="4"/>
    <x v="0"/>
    <s v="$ - "/>
    <s v=" $ - "/>
    <n v="96750826"/>
    <n v="31435769"/>
  </r>
  <r>
    <n v="61"/>
    <s v="ADRIAN"/>
    <s v="NICOLAS@gmail.com"/>
    <s v="COLOMBIA"/>
    <x v="4"/>
    <s v="Inversión"/>
    <s v="Socio capitalista"/>
    <x v="0"/>
    <n v="5"/>
    <x v="2"/>
    <n v="10000000"/>
    <n v="89686683"/>
    <n v="62448793"/>
    <n v="26812600"/>
  </r>
  <r>
    <n v="62"/>
    <s v="DANIEL"/>
    <s v="HECTOR@gmail.com"/>
    <s v="COLOMBIA"/>
    <x v="1"/>
    <s v="Inversión"/>
    <s v="Socio de proyecto"/>
    <x v="0"/>
    <n v="3"/>
    <x v="2"/>
    <n v="30000000"/>
    <n v="32890743"/>
    <s v=" $ - "/>
    <n v="39864620"/>
  </r>
  <r>
    <n v="63"/>
    <s v="GREGORIO"/>
    <s v="RICARDO@gmail.com"/>
    <s v="COLOMBIA"/>
    <x v="4"/>
    <s v="Inversión"/>
    <s v="Socio capitalista"/>
    <x v="0"/>
    <n v="3"/>
    <x v="2"/>
    <n v="10000000"/>
    <n v="32370896"/>
    <n v="96066942"/>
    <n v="3767736"/>
  </r>
  <r>
    <n v="64"/>
    <s v="BORJA"/>
    <s v="ALBERTO@gmail.com"/>
    <s v="COLOMBIA"/>
    <x v="4"/>
    <s v="Trabajo"/>
    <s v="Ofreciendo trabajo"/>
    <x v="0"/>
    <n v="5"/>
    <x v="5"/>
    <s v="$ - "/>
    <s v=" $ - "/>
    <n v="24514428"/>
    <n v="27890231"/>
  </r>
  <r>
    <n v="65"/>
    <s v="PABLO"/>
    <s v="RUBEN@gmail.com"/>
    <s v="COLOMBIA"/>
    <x v="1"/>
    <s v="Inversión"/>
    <s v="Socio capitalista"/>
    <x v="1"/>
    <n v="7"/>
    <x v="1"/>
    <n v="10000000"/>
    <n v="31953589"/>
    <n v="40068224"/>
    <n v="80951038"/>
  </r>
  <r>
    <n v="66"/>
    <s v="JOAQUIN"/>
    <s v="SEBASTIAN@gmail.com"/>
    <s v="COLOMBIA"/>
    <x v="1"/>
    <s v="Inversión"/>
    <s v="Socio capitalista"/>
    <x v="0"/>
    <n v="7"/>
    <x v="5"/>
    <n v="50000000"/>
    <n v="78205651"/>
    <n v="62381180"/>
    <n v="6508585"/>
  </r>
  <r>
    <n v="67"/>
    <s v="RODRIGO"/>
    <s v="MOHAMED@gmail.com"/>
    <s v="COLOMBIA"/>
    <x v="3"/>
    <s v="Trabajo"/>
    <s v="Buscando trabajo"/>
    <x v="0"/>
    <n v="5"/>
    <x v="8"/>
    <s v="$ - "/>
    <s v=" $ - "/>
    <n v="34584522"/>
    <s v=" $ - "/>
  </r>
  <r>
    <n v="68"/>
    <s v="AGUSTIN"/>
    <s v="MARCO@gmail.com"/>
    <s v="PERU"/>
    <x v="1"/>
    <s v="Conocimiento"/>
    <s v="Otro tipo"/>
    <x v="0"/>
    <n v="7"/>
    <x v="1"/>
    <s v="$ - "/>
    <s v=" $ - "/>
    <n v="76942676"/>
    <n v="74216691"/>
  </r>
  <r>
    <n v="69"/>
    <s v="MANUEL"/>
    <s v="SERGIO@gmail.com"/>
    <s v="BRASIL"/>
    <x v="4"/>
    <s v="Inversión"/>
    <s v="Socio de proyecto"/>
    <x v="1"/>
    <n v="8"/>
    <x v="3"/>
    <n v="5000000"/>
    <n v="70270294"/>
    <n v="19588762"/>
    <n v="78634577"/>
  </r>
  <r>
    <n v="70"/>
    <s v="LORENZO"/>
    <s v="RAMON@gmail.com"/>
    <s v="COLOMBIA"/>
    <x v="3"/>
    <s v="Trabajo"/>
    <s v="Buscando trabajo"/>
    <x v="0"/>
    <n v="3"/>
    <x v="5"/>
    <s v="$ - "/>
    <s v=" $ - "/>
    <n v="85955846"/>
    <n v="25891596"/>
  </r>
  <r>
    <n v="71"/>
    <s v="SANTIAGO"/>
    <s v="GREGORIO@gmail.com"/>
    <s v="COLOMBIA"/>
    <x v="3"/>
    <s v="Inversión"/>
    <s v="Socio de proyecto"/>
    <x v="1"/>
    <n v="8"/>
    <x v="2"/>
    <n v="20000000"/>
    <n v="62745331"/>
    <n v="39843357"/>
    <n v="64840967"/>
  </r>
  <r>
    <n v="72"/>
    <s v="JONATHAN"/>
    <s v="JOAN@gmail.com"/>
    <s v="COLOMBIA"/>
    <x v="1"/>
    <s v="Trabajo"/>
    <s v="Ofreciendo trabajo"/>
    <x v="0"/>
    <n v="5"/>
    <x v="1"/>
    <s v="$ - "/>
    <s v=" $ - "/>
    <n v="82583322"/>
    <n v="809058"/>
  </r>
  <r>
    <n v="73"/>
    <s v="CARLOS"/>
    <s v="ALFONSO@gmail.com"/>
    <s v="COLOMBIA"/>
    <x v="1"/>
    <s v="Inversión"/>
    <s v="Socio de proyecto"/>
    <x v="1"/>
    <n v="6"/>
    <x v="6"/>
    <n v="10000000"/>
    <n v="59890317"/>
    <n v="42451842"/>
    <s v=" $ - "/>
  </r>
  <r>
    <n v="74"/>
    <s v="VICENTE"/>
    <s v="GUILLERMO@gmail.com"/>
    <s v="COLOMBIA"/>
    <x v="3"/>
    <s v="Inversión"/>
    <s v="Socio capitalista"/>
    <x v="0"/>
    <n v="3"/>
    <x v="6"/>
    <n v="10000000"/>
    <n v="97449662"/>
    <n v="49624160"/>
    <n v="17854677"/>
  </r>
  <r>
    <n v="75"/>
    <s v="ALVARO"/>
    <s v="CHRISTIAN@gmail.com"/>
    <s v="COLOMBIA"/>
    <x v="2"/>
    <s v="Trabajo"/>
    <s v="Ofreciendo trabajo"/>
    <x v="0"/>
    <n v="8"/>
    <x v="2"/>
    <s v="$ - "/>
    <s v=" $ - "/>
    <n v="44422091"/>
    <n v="8898260"/>
  </r>
  <r>
    <n v="76"/>
    <s v="MARIO"/>
    <s v="MATEO@gmail.com"/>
    <s v="URUGUAY"/>
    <x v="1"/>
    <s v="Trabajo"/>
    <s v="Buscando trabajo"/>
    <x v="0"/>
    <n v="5"/>
    <x v="1"/>
    <s v="$ - "/>
    <s v=" $ - "/>
    <s v=" $ - "/>
    <n v="63436099"/>
  </r>
  <r>
    <n v="77"/>
    <s v="RAFAEL"/>
    <s v="JULIAN@gmail.com"/>
    <s v="COLOMBIA"/>
    <x v="1"/>
    <s v="Inversión"/>
    <s v="Socio capitalista"/>
    <x v="1"/>
    <n v="8"/>
    <x v="3"/>
    <n v="10000000"/>
    <n v="99989764"/>
    <n v="8030175"/>
    <n v="37676206"/>
  </r>
  <r>
    <n v="78"/>
    <s v="ALEX"/>
    <s v="CRISTOBAL@gmail.com"/>
    <s v="COLOMBIA"/>
    <x v="1"/>
    <s v="Trabajo"/>
    <s v="Buscando trabajo"/>
    <x v="1"/>
    <n v="4"/>
    <x v="5"/>
    <s v="$ - "/>
    <s v=" $ - "/>
    <n v="12862402"/>
    <n v="68922404"/>
  </r>
  <r>
    <n v="79"/>
    <s v="IGNACIO"/>
    <s v="RODRIGO@gmail.com"/>
    <s v="COLOMBIA"/>
    <x v="4"/>
    <s v="Trabajo"/>
    <s v="Buscando trabajo"/>
    <x v="1"/>
    <n v="9"/>
    <x v="3"/>
    <s v="$ - "/>
    <s v=" $ - "/>
    <n v="46914257"/>
    <n v="43734508"/>
  </r>
  <r>
    <n v="80"/>
    <s v="GONZALO"/>
    <s v="JESUS@gmail.com"/>
    <s v="OTRO PAÍS DEL MUNDO"/>
    <x v="0"/>
    <s v="Conocimiento"/>
    <s v="Académico"/>
    <x v="0"/>
    <n v="6"/>
    <x v="2"/>
    <s v="$ - "/>
    <s v=" $ - "/>
    <n v="95212463"/>
    <s v=" $ - "/>
  </r>
  <r>
    <n v="81"/>
    <s v="JESUS"/>
    <s v="JORGE@gmail.com"/>
    <s v="CHILE"/>
    <x v="1"/>
    <s v="Inversión"/>
    <s v="Socio capitalista"/>
    <x v="0"/>
    <n v="3"/>
    <x v="3"/>
    <n v="5000000"/>
    <n v="32915397"/>
    <n v="74493461"/>
    <n v="151779"/>
  </r>
  <r>
    <n v="82"/>
    <s v="ALFONSO"/>
    <s v="JULIO@gmail.com"/>
    <s v="COLOMBIA"/>
    <x v="4"/>
    <s v="Trabajo"/>
    <s v="Buscando trabajo"/>
    <x v="0"/>
    <n v="3"/>
    <x v="1"/>
    <s v="$ - "/>
    <s v=" $ - "/>
    <n v="43223505"/>
    <s v=" $ - "/>
  </r>
  <r>
    <n v="83"/>
    <s v="JULIO"/>
    <s v="MARIA MÓNICA@gmail.com"/>
    <s v="COLOMBIA"/>
    <x v="1"/>
    <s v="Trabajo"/>
    <s v="Buscando trabajo"/>
    <x v="0"/>
    <n v="7"/>
    <x v="2"/>
    <s v="$ - "/>
    <s v=" $ - "/>
    <n v="14141858"/>
    <n v="87162317"/>
  </r>
  <r>
    <n v="84"/>
    <s v="CESAR"/>
    <s v="IGNACIO@gmail.com"/>
    <s v="COLOMBIA"/>
    <x v="1"/>
    <s v="Trabajo"/>
    <s v="Buscando trabajo"/>
    <x v="0"/>
    <n v="3"/>
    <x v="1"/>
    <s v="$ - "/>
    <s v=" $ - "/>
    <n v="29525162"/>
    <s v=" $ - "/>
  </r>
  <r>
    <n v="85"/>
    <s v="MOHAMED"/>
    <s v="GABRIEL@gmail.com"/>
    <s v="COLOMBIA"/>
    <x v="1"/>
    <s v="Trabajo"/>
    <s v="Ofreciendo trabajo"/>
    <x v="1"/>
    <n v="7"/>
    <x v="8"/>
    <s v="$ - "/>
    <s v=" $ - "/>
    <n v="29366791"/>
    <n v="89805774"/>
  </r>
  <r>
    <n v="86"/>
    <s v="MARC"/>
    <s v="MARTIN@gmail.com"/>
    <s v="COLOMBIA"/>
    <x v="1"/>
    <s v="Trabajo"/>
    <s v="Buscando trabajo"/>
    <x v="1"/>
    <n v="9"/>
    <x v="5"/>
    <s v="$ - "/>
    <s v=" $ - "/>
    <n v="73195518"/>
    <n v="10695678"/>
  </r>
  <r>
    <n v="87"/>
    <s v="MARIANO"/>
    <s v="FERNANDO@gmail.com"/>
    <s v="COLOMBIA"/>
    <x v="1"/>
    <s v="Trabajo"/>
    <s v="Buscando trabajo"/>
    <x v="0"/>
    <n v="3"/>
    <x v="6"/>
    <s v="$ - "/>
    <s v=" $ - "/>
    <n v="1432950"/>
    <n v="29672451"/>
  </r>
  <r>
    <n v="88"/>
    <s v="JOEL"/>
    <s v="ALEJANDRO@gmail.com"/>
    <s v="COLOMBIA"/>
    <x v="1"/>
    <s v="Inversión"/>
    <s v="Socio capitalista"/>
    <x v="1"/>
    <n v="8"/>
    <x v="1"/>
    <n v="1000000"/>
    <n v="77159264"/>
    <s v=" $ - "/>
    <n v="97234303"/>
  </r>
  <r>
    <n v="89"/>
    <s v="ANDRES"/>
    <s v="SANTIAGO@gmail.com"/>
    <s v="CHILE"/>
    <x v="1"/>
    <s v="Inversión"/>
    <s v="Socio capitalista"/>
    <x v="0"/>
    <n v="7"/>
    <x v="2"/>
    <n v="100000000"/>
    <n v="12451199"/>
    <n v="74231711"/>
    <n v="42951226"/>
  </r>
  <r>
    <n v="90"/>
    <s v="ANGEL"/>
    <s v="LUCAS@gmail.com"/>
    <s v="COLOMBIA"/>
    <x v="2"/>
    <s v="Inversión"/>
    <s v="Socio capitalista"/>
    <x v="1"/>
    <n v="3"/>
    <x v="3"/>
    <n v="90000000"/>
    <n v="13287929"/>
    <n v="27090183"/>
    <n v="79518711"/>
  </r>
  <r>
    <n v="91"/>
    <s v="GERMAN"/>
    <s v="PEDRO@gmail.com"/>
    <s v="CHILE"/>
    <x v="0"/>
    <s v="Conocimiento"/>
    <s v="Académico"/>
    <x v="0"/>
    <n v="6"/>
    <x v="5"/>
    <s v="$ - "/>
    <s v=" $ - "/>
    <n v="20898506"/>
    <n v="24525645"/>
  </r>
  <r>
    <n v="92"/>
    <s v="JOSE"/>
    <s v="ENRIQUE@gmail.com"/>
    <s v="COLOMBIA"/>
    <x v="1"/>
    <s v="Inversión"/>
    <s v="Socio capitalista"/>
    <x v="0"/>
    <n v="8"/>
    <x v="1"/>
    <n v="5000000"/>
    <n v="37959268"/>
    <n v="69132389"/>
    <n v="99564796"/>
  </r>
  <r>
    <n v="93"/>
    <s v="ARTURO"/>
    <s v="VICTOR@gmail.com"/>
    <s v="COLOMBIA"/>
    <x v="1"/>
    <s v="Trabajo"/>
    <s v="Buscando trabajo"/>
    <x v="1"/>
    <n v="3"/>
    <x v="6"/>
    <s v="$ - "/>
    <s v=" $ - "/>
    <n v="26450622"/>
    <n v="4227264"/>
  </r>
  <r>
    <n v="94"/>
    <s v="LUCAS"/>
    <s v="ALFREDO@gmail.com"/>
    <s v="PARAGUAY"/>
    <x v="1"/>
    <s v="Trabajo"/>
    <s v="Buscando trabajo"/>
    <x v="1"/>
    <n v="6"/>
    <x v="5"/>
    <s v="$ - "/>
    <s v=" $ - "/>
    <s v=" $ - "/>
    <n v="54376640"/>
  </r>
  <r>
    <n v="95"/>
    <s v="LUIS"/>
    <s v="DARIO@gmail.com"/>
    <s v="COLOMBIA"/>
    <x v="1"/>
    <s v="Inversión"/>
    <s v="Socio de proyecto"/>
    <x v="0"/>
    <n v="7"/>
    <x v="3"/>
    <n v="90000000"/>
    <n v="29991873"/>
    <n v="39252741"/>
    <n v="15542722"/>
  </r>
  <r>
    <n v="96"/>
    <s v="JULIAN"/>
    <s v="DIEGO@gmail.com"/>
    <s v="COLOMBIA"/>
    <x v="1"/>
    <s v="Inversión"/>
    <s v="Socio de proyecto"/>
    <x v="0"/>
    <n v="6"/>
    <x v="2"/>
    <n v="10000000"/>
    <n v="7303129"/>
    <n v="3765621"/>
    <n v="18125151"/>
  </r>
  <r>
    <n v="97"/>
    <s v="TOMAS"/>
    <s v="ISMAEL@gmail.com"/>
    <s v="BRASIL"/>
    <x v="1"/>
    <s v="Inversión"/>
    <s v="Socio de proyecto"/>
    <x v="0"/>
    <n v="3"/>
    <x v="3"/>
    <n v="30000000"/>
    <n v="44457754"/>
    <s v=" $ - "/>
    <n v="62249765"/>
  </r>
  <r>
    <n v="98"/>
    <s v="DOMINGO"/>
    <s v="JAIME@gmail.com"/>
    <s v="COLOMBIA"/>
    <x v="1"/>
    <s v="Inversión"/>
    <s v="Socio capitalista"/>
    <x v="0"/>
    <n v="4"/>
    <x v="2"/>
    <n v="10000000"/>
    <n v="54467236"/>
    <s v=" $ - "/>
    <n v="1234692"/>
  </r>
  <r>
    <n v="99"/>
    <s v="DARIO"/>
    <s v="SALVADOR@gmail.com"/>
    <s v="COLOMBIA"/>
    <x v="1"/>
    <s v="Inversión"/>
    <s v="Socio de proyecto"/>
    <x v="0"/>
    <n v="4"/>
    <x v="2"/>
    <n v="10000000"/>
    <n v="17991607"/>
    <s v=" $ - "/>
    <n v="174626"/>
  </r>
  <r>
    <n v="100"/>
    <s v="GABRIEL"/>
    <s v="ADRIAN@gmail.com"/>
    <s v="COLOMBIA"/>
    <x v="1"/>
    <s v="Trabajo"/>
    <s v="Ofreciendo trabajo"/>
    <x v="0"/>
    <n v="5"/>
    <x v="2"/>
    <s v="$ - "/>
    <s v=" $ - "/>
    <n v="24965127"/>
    <n v="41129782"/>
  </r>
  <r>
    <n v="101"/>
    <s v="ANDRÉS"/>
    <s v="ANDRÉS@gmail.com"/>
    <s v="COLOMBIA"/>
    <x v="2"/>
    <s v="Inversión"/>
    <s v="Socio de proyecto"/>
    <x v="0"/>
    <n v="6"/>
    <x v="1"/>
    <n v="1000000"/>
    <n v="87347043"/>
    <n v="50796112"/>
    <n v="72757830"/>
  </r>
  <r>
    <n v="102"/>
    <s v="JUAN PABLO"/>
    <s v="JUAN PABLO@gmail.com"/>
    <s v="COLOMBIA"/>
    <x v="4"/>
    <s v="Trabajo"/>
    <s v="Buscando trabajo"/>
    <x v="0"/>
    <n v="9"/>
    <x v="1"/>
    <s v="$ - "/>
    <s v=" $ - "/>
    <n v="38721754"/>
    <n v="77230635"/>
  </r>
  <r>
    <n v="103"/>
    <s v="ROBERTO"/>
    <s v="ROBERTO@gmail.com"/>
    <s v="COLOMBIA"/>
    <x v="1"/>
    <s v="Inversión"/>
    <s v="Socio de proyecto"/>
    <x v="0"/>
    <n v="5"/>
    <x v="1"/>
    <n v="10000000"/>
    <n v="43538967"/>
    <n v="5161300"/>
    <n v="85417673"/>
  </r>
  <r>
    <n v="104"/>
    <s v="EMILIO"/>
    <s v="EMILIO@gmail.com"/>
    <s v="ARGENTINA"/>
    <x v="1"/>
    <s v="Inversión"/>
    <s v="Socio de proyecto"/>
    <x v="1"/>
    <n v="6"/>
    <x v="3"/>
    <n v="1000000"/>
    <n v="95899452"/>
    <n v="2565664"/>
    <n v="39602953"/>
  </r>
  <r>
    <n v="105"/>
    <s v="LEONEL"/>
    <s v="LEONEL@gmail.com"/>
    <s v="COLOMBIA"/>
    <x v="1"/>
    <s v="Inversión"/>
    <s v="Socio de proyecto"/>
    <x v="1"/>
    <n v="6"/>
    <x v="5"/>
    <n v="1000000"/>
    <n v="81347428"/>
    <n v="10860215"/>
    <n v="28637290"/>
  </r>
  <r>
    <n v="106"/>
    <s v="JOAN"/>
    <s v="JOAN@gmail.com"/>
    <s v="COLOMBIA"/>
    <x v="4"/>
    <s v="Inversión"/>
    <s v="Socio de proyecto"/>
    <x v="1"/>
    <n v="8"/>
    <x v="2"/>
    <n v="30000000"/>
    <n v="52442860"/>
    <n v="2659881"/>
    <n v="80287314"/>
  </r>
  <r>
    <n v="107"/>
    <s v="SERGIO"/>
    <s v="SERGIO@gmail.com"/>
    <s v="COLOMBIA"/>
    <x v="1"/>
    <s v="Inversión"/>
    <s v="Socio de proyecto"/>
    <x v="1"/>
    <n v="7"/>
    <x v="0"/>
    <n v="10000000"/>
    <n v="96199053"/>
    <n v="31746355"/>
    <n v="80063468"/>
  </r>
  <r>
    <n v="108"/>
    <s v="EUGENIO"/>
    <s v="EUGENIO@gmail.com"/>
    <s v="COLOMBIA"/>
    <x v="1"/>
    <s v="Inversión"/>
    <s v="Socio de proyecto"/>
    <x v="0"/>
    <n v="9"/>
    <x v="2"/>
    <n v="1000000"/>
    <n v="71783742"/>
    <n v="64667814"/>
    <n v="70653180"/>
  </r>
  <r>
    <n v="109"/>
    <s v="SEBASTIAN"/>
    <s v="SEBASTIAN@gmail.com"/>
    <s v="COLOMBIA"/>
    <x v="4"/>
    <s v="Inversión"/>
    <s v="Socio de proyecto"/>
    <x v="0"/>
    <n v="3"/>
    <x v="5"/>
    <n v="90000000"/>
    <n v="94913746"/>
    <n v="74083223"/>
    <n v="31617670"/>
  </r>
  <r>
    <n v="110"/>
    <s v="SAMUEL"/>
    <s v="SAMUEL@gmail.com"/>
    <s v="COLOMBIA"/>
    <x v="4"/>
    <s v="Trabajo"/>
    <s v="Ofreciendo trabajo"/>
    <x v="0"/>
    <n v="6"/>
    <x v="1"/>
    <s v="$ - "/>
    <s v=" $ - "/>
    <n v="67753952"/>
    <n v="77205812"/>
  </r>
  <r>
    <n v="111"/>
    <s v="ENRIQUE"/>
    <s v="ENRIQUE@gmail.com"/>
    <s v="COLOMBIA"/>
    <x v="1"/>
    <s v="Inversión"/>
    <s v="Socio de proyecto"/>
    <x v="1"/>
    <n v="9"/>
    <x v="0"/>
    <n v="30000000"/>
    <n v="33477783"/>
    <s v=" $ - "/>
    <n v="27651635"/>
  </r>
  <r>
    <n v="112"/>
    <s v="DIEGO"/>
    <s v="DIEGO@gmail.com"/>
    <s v="COLOMBIA"/>
    <x v="2"/>
    <s v="Inversión"/>
    <s v="Socio capitalista"/>
    <x v="1"/>
    <n v="8"/>
    <x v="3"/>
    <n v="50000000"/>
    <n v="2702447"/>
    <s v=" $ - "/>
    <n v="44671760"/>
  </r>
  <r>
    <n v="113"/>
    <s v="PEDRO"/>
    <s v="PEDRO@gmail.com"/>
    <s v="BRASIL"/>
    <x v="1"/>
    <s v="Inversión"/>
    <s v="Socio capitalista"/>
    <x v="0"/>
    <n v="8"/>
    <x v="6"/>
    <n v="50000000"/>
    <n v="70787848"/>
    <n v="33368202"/>
    <n v="43277527"/>
  </r>
  <r>
    <n v="114"/>
    <s v="ALBERT"/>
    <s v="ALBERT@gmail.com"/>
    <s v="COLOMBIA"/>
    <x v="1"/>
    <s v="Trabajo"/>
    <s v="Ofreciendo trabajo"/>
    <x v="1"/>
    <n v="6"/>
    <x v="3"/>
    <s v="$ - "/>
    <s v=" $ - "/>
    <n v="46563396"/>
    <n v="63313535"/>
  </r>
  <r>
    <n v="115"/>
    <s v="JORGE"/>
    <s v="JORGE@gmail.com"/>
    <s v="COLOMBIA"/>
    <x v="1"/>
    <s v="Inversión"/>
    <s v="Socio capitalista"/>
    <x v="0"/>
    <n v="3"/>
    <x v="0"/>
    <n v="20000000"/>
    <n v="40064620"/>
    <n v="98137438"/>
    <s v=" $ - "/>
  </r>
  <r>
    <n v="116"/>
    <s v="RAMON"/>
    <s v="RAMON@gmail.com"/>
    <s v="COLOMBIA"/>
    <x v="1"/>
    <s v="Inversión"/>
    <s v="Socio de proyecto"/>
    <x v="0"/>
    <n v="6"/>
    <x v="5"/>
    <n v="30000000"/>
    <n v="45289360"/>
    <s v=" $ - "/>
    <n v="46980526"/>
  </r>
  <r>
    <n v="117"/>
    <s v="HUGO"/>
    <s v="HUGO@gmail.com"/>
    <s v="COLOMBIA"/>
    <x v="4"/>
    <s v="Inversión"/>
    <s v="Socio de proyecto"/>
    <x v="0"/>
    <n v="6"/>
    <x v="6"/>
    <n v="30000000"/>
    <n v="34397393"/>
    <n v="72192037"/>
    <n v="21247716"/>
  </r>
  <r>
    <n v="118"/>
    <s v="MARIA"/>
    <s v="MARIA@gmail.com"/>
    <s v="COLOMBIA"/>
    <x v="1"/>
    <s v="Trabajo"/>
    <s v="Buscando trabajo"/>
    <x v="1"/>
    <n v="8"/>
    <x v="6"/>
    <s v="$ - "/>
    <s v=" $ - "/>
    <n v="69870077"/>
    <n v="98441580"/>
  </r>
  <r>
    <n v="119"/>
    <s v="FELIX"/>
    <s v="FELIX@gmail.com"/>
    <s v="COLOMBIA"/>
    <x v="4"/>
    <s v="Inversión"/>
    <s v="Socio de proyecto"/>
    <x v="0"/>
    <n v="5"/>
    <x v="5"/>
    <n v="1000000"/>
    <n v="34126405"/>
    <n v="88265167"/>
    <n v="56002928"/>
  </r>
  <r>
    <n v="120"/>
    <s v="VICTOR"/>
    <s v="VICTOR@gmail.com"/>
    <s v="COLOMBIA"/>
    <x v="1"/>
    <s v="Inversión"/>
    <s v="Socio capitalista"/>
    <x v="0"/>
    <n v="9"/>
    <x v="3"/>
    <n v="1000000"/>
    <n v="53008255"/>
    <n v="46917910"/>
    <n v="47557281"/>
  </r>
  <r>
    <n v="121"/>
    <s v="JORDI"/>
    <s v="JORDI@gmail.com"/>
    <s v="COLOMBIA"/>
    <x v="1"/>
    <s v="Trabajo"/>
    <s v="Buscando trabajo"/>
    <x v="0"/>
    <n v="4"/>
    <x v="6"/>
    <s v="$ - "/>
    <s v=" $ - "/>
    <s v=" $ - "/>
    <n v="22675260"/>
  </r>
  <r>
    <n v="122"/>
    <s v="MARIA MÓNICA"/>
    <s v="MARIA MÓNICA@gmail.com"/>
    <s v="COLOMBIA"/>
    <x v="1"/>
    <s v="Inversión"/>
    <s v="Socio capitalista"/>
    <x v="0"/>
    <n v="4"/>
    <x v="2"/>
    <n v="100000000"/>
    <n v="94688720"/>
    <n v="86323763"/>
    <n v="20929788"/>
  </r>
  <r>
    <n v="123"/>
    <s v="CRISTOBAL"/>
    <s v="CRISTOBAL@gmail.com"/>
    <s v="COLOMBIA"/>
    <x v="0"/>
    <s v="Conocimiento"/>
    <s v="Académico"/>
    <x v="0"/>
    <n v="9"/>
    <x v="3"/>
    <s v="$ - "/>
    <s v=" $ - "/>
    <n v="96750826"/>
    <n v="31435769"/>
  </r>
  <r>
    <n v="124"/>
    <s v="NICOLAS"/>
    <s v="NICOLAS@gmail.com"/>
    <s v="COLOMBIA"/>
    <x v="4"/>
    <s v="Inversión"/>
    <s v="Socio capitalista"/>
    <x v="0"/>
    <n v="6"/>
    <x v="5"/>
    <n v="10000000"/>
    <n v="89686683"/>
    <n v="62448793"/>
    <n v="26812600"/>
  </r>
  <r>
    <n v="125"/>
    <s v="FELIPE"/>
    <s v="FELIPE@gmail.com"/>
    <s v="COLOMBIA"/>
    <x v="1"/>
    <s v="Inversión"/>
    <s v="Socio de proyecto"/>
    <x v="0"/>
    <n v="8"/>
    <x v="0"/>
    <n v="30000000"/>
    <n v="32890743"/>
    <s v=" $ - "/>
    <n v="39864620"/>
  </r>
  <r>
    <n v="126"/>
    <s v="ISMAEL"/>
    <s v="ISMAEL@gmail.com"/>
    <s v="COLOMBIA"/>
    <x v="4"/>
    <s v="Inversión"/>
    <s v="Socio capitalista"/>
    <x v="0"/>
    <n v="6"/>
    <x v="2"/>
    <n v="10000000"/>
    <n v="32370896"/>
    <n v="96066942"/>
    <n v="3767736"/>
  </r>
  <r>
    <n v="127"/>
    <s v="ALEJANDRO"/>
    <s v="ALEJANDRO@gmail.com"/>
    <s v="COLOMBIA"/>
    <x v="4"/>
    <s v="Trabajo"/>
    <s v="Ofreciendo trabajo"/>
    <x v="0"/>
    <n v="7"/>
    <x v="2"/>
    <s v="$ - "/>
    <s v=" $ - "/>
    <n v="24514428"/>
    <n v="27890231"/>
  </r>
  <r>
    <n v="128"/>
    <s v="MATEO"/>
    <s v="MATEO@gmail.com"/>
    <s v="COLOMBIA"/>
    <x v="1"/>
    <s v="Inversión"/>
    <s v="Socio capitalista"/>
    <x v="1"/>
    <n v="5"/>
    <x v="2"/>
    <n v="10000000"/>
    <n v="31953589"/>
    <n v="40068224"/>
    <n v="80951038"/>
  </r>
  <r>
    <n v="129"/>
    <s v="CRISTIAN"/>
    <s v="CRISTIAN@gmail.com"/>
    <s v="BRASIL"/>
    <x v="1"/>
    <s v="Inversión"/>
    <s v="Socio capitalista"/>
    <x v="0"/>
    <n v="3"/>
    <x v="5"/>
    <n v="50000000"/>
    <n v="78205651"/>
    <n v="62381180"/>
    <n v="6508585"/>
  </r>
  <r>
    <n v="130"/>
    <s v="DAVID"/>
    <s v="DAVID@gmail.com"/>
    <s v="COLOMBIA"/>
    <x v="3"/>
    <s v="Trabajo"/>
    <s v="Buscando trabajo"/>
    <x v="0"/>
    <n v="7"/>
    <x v="1"/>
    <s v="$ - "/>
    <s v=" $ - "/>
    <n v="34584522"/>
    <s v=" $ - "/>
  </r>
  <r>
    <n v="131"/>
    <s v="SALVADOR"/>
    <s v="SALVADOR@gmail.com"/>
    <s v="ECUADOR"/>
    <x v="1"/>
    <s v="Conocimiento"/>
    <s v="Otro tipo"/>
    <x v="0"/>
    <n v="5"/>
    <x v="5"/>
    <s v="$ - "/>
    <s v=" $ - "/>
    <n v="76942676"/>
    <n v="74216691"/>
  </r>
  <r>
    <n v="132"/>
    <s v="ALFREDO"/>
    <s v="ALFREDO@gmail.com"/>
    <s v="BRASIL"/>
    <x v="4"/>
    <s v="Inversión"/>
    <s v="Socio de proyecto"/>
    <x v="1"/>
    <n v="9"/>
    <x v="8"/>
    <n v="5000000"/>
    <n v="70270294"/>
    <n v="19588762"/>
    <n v="78634577"/>
  </r>
  <r>
    <n v="133"/>
    <s v="OSCAR"/>
    <s v="OSCAR@gmail.com"/>
    <s v="URUGUAY"/>
    <x v="3"/>
    <s v="Trabajo"/>
    <s v="Buscando trabajo"/>
    <x v="0"/>
    <n v="6"/>
    <x v="1"/>
    <s v="$ - "/>
    <s v=" $ - "/>
    <n v="85955846"/>
    <n v="25891596"/>
  </r>
  <r>
    <n v="134"/>
    <s v="JUAN"/>
    <s v="JUAN@gmail.com"/>
    <s v="COLOMBIA"/>
    <x v="3"/>
    <s v="Inversión"/>
    <s v="Socio de proyecto"/>
    <x v="1"/>
    <n v="7"/>
    <x v="3"/>
    <n v="20000000"/>
    <n v="62745331"/>
    <n v="39843357"/>
    <n v="64840967"/>
  </r>
  <r>
    <n v="135"/>
    <s v="IVAN"/>
    <s v="IVAN@gmail.com"/>
    <s v="COLOMBIA"/>
    <x v="1"/>
    <s v="Trabajo"/>
    <s v="Ofreciendo trabajo"/>
    <x v="0"/>
    <n v="5"/>
    <x v="5"/>
    <s v="$ - "/>
    <s v=" $ - "/>
    <n v="82583322"/>
    <n v="809058"/>
  </r>
  <r>
    <n v="136"/>
    <s v="ALEXANDER"/>
    <s v="ALEXANDER@gmail.com"/>
    <s v="COLOMBIA"/>
    <x v="1"/>
    <s v="Inversión"/>
    <s v="Socio de proyecto"/>
    <x v="1"/>
    <n v="4"/>
    <x v="2"/>
    <n v="10000000"/>
    <n v="59890317"/>
    <n v="42451842"/>
    <s v=" $ - "/>
  </r>
  <r>
    <n v="137"/>
    <s v="JAIME"/>
    <s v="JAIME@gmail.com"/>
    <s v="CHILE"/>
    <x v="3"/>
    <s v="Inversión"/>
    <s v="Socio capitalista"/>
    <x v="0"/>
    <n v="7"/>
    <x v="1"/>
    <n v="10000000"/>
    <n v="97449662"/>
    <n v="49624160"/>
    <n v="17854677"/>
  </r>
  <r>
    <n v="138"/>
    <s v="HECTOR"/>
    <s v="HECTOR@gmail.com"/>
    <s v="COLOMBIA"/>
    <x v="2"/>
    <s v="Trabajo"/>
    <s v="Ofreciendo trabajo"/>
    <x v="0"/>
    <n v="3"/>
    <x v="6"/>
    <s v="$ - "/>
    <s v=" $ - "/>
    <n v="44422091"/>
    <n v="8898260"/>
  </r>
  <r>
    <n v="139"/>
    <s v="ERNESTO"/>
    <s v="ERNESTO@gmail.com"/>
    <s v="COLOMBIA"/>
    <x v="1"/>
    <s v="Trabajo"/>
    <s v="Buscando trabajo"/>
    <x v="0"/>
    <n v="3"/>
    <x v="6"/>
    <s v="$ - "/>
    <s v=" $ - "/>
    <s v=" $ - "/>
    <n v="63436099"/>
  </r>
  <r>
    <n v="140"/>
    <s v="MARCO"/>
    <s v="MARCO@gmail.com"/>
    <s v="BOLIVIA"/>
    <x v="1"/>
    <s v="Inversión"/>
    <s v="Socio capitalista"/>
    <x v="1"/>
    <n v="7"/>
    <x v="2"/>
    <n v="10000000"/>
    <n v="99989764"/>
    <n v="8030175"/>
    <n v="37676206"/>
  </r>
  <r>
    <n v="141"/>
    <s v="JAVIER"/>
    <s v="JAVIER@gmail.com"/>
    <s v="COLOMBIA"/>
    <x v="1"/>
    <s v="Trabajo"/>
    <s v="Buscando trabajo"/>
    <x v="1"/>
    <n v="5"/>
    <x v="1"/>
    <s v="$ - "/>
    <s v=" $ - "/>
    <n v="12862402"/>
    <n v="68922404"/>
  </r>
  <r>
    <n v="142"/>
    <s v="ESTEBAN"/>
    <s v="ESTEBAN@gmail.com"/>
    <s v="COLOMBIA"/>
    <x v="4"/>
    <s v="Trabajo"/>
    <s v="Buscando trabajo"/>
    <x v="1"/>
    <n v="9"/>
    <x v="3"/>
    <s v="$ - "/>
    <s v=" $ - "/>
    <n v="46914257"/>
    <n v="43734508"/>
  </r>
  <r>
    <n v="143"/>
    <s v="MARCOS"/>
    <s v="MARCOS@gmail.com"/>
    <s v="COLOMBIA"/>
    <x v="0"/>
    <s v="Conocimiento"/>
    <s v="Académico"/>
    <x v="0"/>
    <n v="4"/>
    <x v="5"/>
    <s v="$ - "/>
    <s v=" $ - "/>
    <n v="95212463"/>
    <s v=" $ - "/>
  </r>
  <r>
    <n v="144"/>
    <s v="ADRIAN"/>
    <s v="ADRIAN@gmail.com"/>
    <s v="COLOMBIA"/>
    <x v="1"/>
    <s v="Inversión"/>
    <s v="Socio capitalista"/>
    <x v="0"/>
    <n v="5"/>
    <x v="3"/>
    <n v="5000000"/>
    <n v="32915397"/>
    <n v="74493461"/>
    <n v="151779"/>
  </r>
  <r>
    <n v="145"/>
    <s v="DANIEL"/>
    <s v="DANIEL@gmail.com"/>
    <s v="COLOMBIA"/>
    <x v="4"/>
    <s v="Trabajo"/>
    <s v="Buscando trabajo"/>
    <x v="0"/>
    <n v="3"/>
    <x v="2"/>
    <s v="$ - "/>
    <s v=" $ - "/>
    <n v="43223505"/>
    <s v=" $ - "/>
  </r>
  <r>
    <n v="146"/>
    <s v="GREGORIO"/>
    <s v="GREGORIO@gmail.com"/>
    <s v="COLOMBIA"/>
    <x v="1"/>
    <s v="Trabajo"/>
    <s v="Buscando trabajo"/>
    <x v="0"/>
    <n v="3"/>
    <x v="3"/>
    <s v="$ - "/>
    <s v=" $ - "/>
    <n v="14141858"/>
    <n v="87162317"/>
  </r>
  <r>
    <n v="147"/>
    <s v="BORJA"/>
    <s v="BORJA@gmail.com"/>
    <s v="COLOMBIA"/>
    <x v="1"/>
    <s v="Trabajo"/>
    <s v="Buscando trabajo"/>
    <x v="0"/>
    <n v="5"/>
    <x v="1"/>
    <s v="$ - "/>
    <s v=" $ - "/>
    <n v="29525162"/>
    <s v=" $ - "/>
  </r>
  <r>
    <n v="148"/>
    <s v="PABLO"/>
    <s v="PABLO@gmail.com"/>
    <s v="COLOMBIA"/>
    <x v="1"/>
    <s v="Trabajo"/>
    <s v="Ofreciendo trabajo"/>
    <x v="1"/>
    <n v="7"/>
    <x v="2"/>
    <s v="$ - "/>
    <s v=" $ - "/>
    <n v="29366791"/>
    <n v="89805774"/>
  </r>
  <r>
    <n v="149"/>
    <s v="JOAQUIN"/>
    <s v="JOAQUIN@gmail.com"/>
    <s v="PERU"/>
    <x v="1"/>
    <s v="Trabajo"/>
    <s v="Buscando trabajo"/>
    <x v="1"/>
    <n v="7"/>
    <x v="1"/>
    <s v="$ - "/>
    <s v=" $ - "/>
    <n v="73195518"/>
    <n v="10695678"/>
  </r>
  <r>
    <n v="150"/>
    <s v="RODRIGO"/>
    <s v="RODRIGO@gmail.com"/>
    <s v="BRASIL"/>
    <x v="1"/>
    <s v="Trabajo"/>
    <s v="Buscando trabajo"/>
    <x v="0"/>
    <n v="5"/>
    <x v="8"/>
    <s v="$ - "/>
    <s v=" $ - "/>
    <n v="1432950"/>
    <n v="29672451"/>
  </r>
  <r>
    <n v="151"/>
    <s v="AGUSTIN"/>
    <s v="AGUSTIN@gmail.com"/>
    <s v="COLOMBIA"/>
    <x v="1"/>
    <s v="Inversión"/>
    <s v="Socio capitalista"/>
    <x v="1"/>
    <n v="7"/>
    <x v="5"/>
    <n v="1000000"/>
    <n v="77159264"/>
    <s v=" $ - "/>
    <n v="97234303"/>
  </r>
  <r>
    <n v="152"/>
    <s v="MANUEL"/>
    <s v="MANUEL@gmail.com"/>
    <s v="COLOMBIA"/>
    <x v="1"/>
    <s v="Inversión"/>
    <s v="Socio capitalista"/>
    <x v="0"/>
    <n v="8"/>
    <x v="6"/>
    <n v="100000000"/>
    <n v="12451199"/>
    <n v="74231711"/>
    <n v="42951226"/>
  </r>
  <r>
    <n v="153"/>
    <s v="LORENZO"/>
    <s v="LORENZO@gmail.com"/>
    <s v="COLOMBIA"/>
    <x v="2"/>
    <s v="Inversión"/>
    <s v="Socio capitalista"/>
    <x v="1"/>
    <n v="3"/>
    <x v="1"/>
    <n v="90000000"/>
    <n v="13287929"/>
    <n v="27090183"/>
    <n v="79518711"/>
  </r>
  <r>
    <n v="154"/>
    <s v="SANTIAGO"/>
    <s v="SANTIAGO@gmail.com"/>
    <s v="COLOMBIA"/>
    <x v="0"/>
    <s v="Conocimiento"/>
    <s v="Académico"/>
    <x v="0"/>
    <n v="8"/>
    <x v="2"/>
    <s v="$ - "/>
    <s v=" $ - "/>
    <n v="20898506"/>
    <n v="24525645"/>
  </r>
  <r>
    <n v="155"/>
    <s v="JONATHAN"/>
    <s v="JONATHAN@gmail.com"/>
    <s v="COLOMBIA"/>
    <x v="1"/>
    <s v="Inversión"/>
    <s v="Socio capitalista"/>
    <x v="0"/>
    <n v="5"/>
    <x v="3"/>
    <n v="5000000"/>
    <n v="37959268"/>
    <n v="69132389"/>
    <n v="99564796"/>
  </r>
  <r>
    <n v="156"/>
    <s v="CARLOS"/>
    <s v="CARLOS@gmail.com"/>
    <s v="COLOMBIA"/>
    <x v="1"/>
    <s v="Trabajo"/>
    <s v="Buscando trabajo"/>
    <x v="1"/>
    <n v="6"/>
    <x v="5"/>
    <s v="$ - "/>
    <s v=" $ - "/>
    <n v="26450622"/>
    <n v="4227264"/>
  </r>
  <r>
    <n v="157"/>
    <s v="VICENTE"/>
    <s v="VICENTE@gmail.com"/>
    <s v="URUGUAY"/>
    <x v="1"/>
    <s v="Trabajo"/>
    <s v="Buscando trabajo"/>
    <x v="1"/>
    <n v="3"/>
    <x v="1"/>
    <s v="$ - "/>
    <s v=" $ - "/>
    <s v=" $ - "/>
    <n v="54376640"/>
  </r>
  <r>
    <n v="158"/>
    <s v="ALVARO"/>
    <s v="ALVARO@gmail.com"/>
    <s v="COLOMBIA"/>
    <x v="1"/>
    <s v="Inversión"/>
    <s v="Socio de proyecto"/>
    <x v="0"/>
    <n v="8"/>
    <x v="6"/>
    <n v="90000000"/>
    <n v="29991873"/>
    <n v="39252741"/>
    <n v="15542722"/>
  </r>
  <r>
    <n v="159"/>
    <s v="MARIO"/>
    <s v="MARIO@gmail.com"/>
    <s v="COLOMBIA"/>
    <x v="1"/>
    <s v="Inversión"/>
    <s v="Socio de proyecto"/>
    <x v="0"/>
    <n v="5"/>
    <x v="5"/>
    <n v="10000000"/>
    <n v="7303129"/>
    <n v="3765621"/>
    <n v="18125151"/>
  </r>
  <r>
    <n v="160"/>
    <s v="RAFAEL"/>
    <s v="RAFAEL@gmail.com"/>
    <s v="COLOMBIA"/>
    <x v="1"/>
    <s v="Inversión"/>
    <s v="Socio de proyecto"/>
    <x v="0"/>
    <n v="8"/>
    <x v="3"/>
    <n v="30000000"/>
    <n v="44457754"/>
    <s v=" $ - "/>
    <n v="62249765"/>
  </r>
  <r>
    <n v="161"/>
    <s v="ALEX"/>
    <s v="ALEX@gmail.com"/>
    <s v="OTRO PAÍS DEL MUNDO"/>
    <x v="1"/>
    <s v="Inversión"/>
    <s v="Socio capitalista"/>
    <x v="0"/>
    <n v="4"/>
    <x v="2"/>
    <n v="10000000"/>
    <n v="54467236"/>
    <s v=" $ - "/>
    <n v="1234692"/>
  </r>
  <r>
    <n v="162"/>
    <s v="IGNACIO"/>
    <s v="IGNACIO@gmail.com"/>
    <s v="CHILE"/>
    <x v="1"/>
    <s v="Inversión"/>
    <s v="Socio de proyecto"/>
    <x v="0"/>
    <n v="9"/>
    <x v="3"/>
    <n v="10000000"/>
    <n v="17991607"/>
    <s v=" $ - "/>
    <n v="174626"/>
  </r>
  <r>
    <n v="163"/>
    <s v="GONZALO"/>
    <s v="GONZALO@gmail.com"/>
    <s v="COLOMBIA"/>
    <x v="1"/>
    <s v="Trabajo"/>
    <s v="Ofreciendo trabajo"/>
    <x v="0"/>
    <n v="6"/>
    <x v="2"/>
    <s v="$ - "/>
    <s v=" $ - "/>
    <n v="24965127"/>
    <n v="41129782"/>
  </r>
  <r>
    <n v="164"/>
    <s v="JESUS"/>
    <s v="JESUS@gmail.com"/>
    <s v="COLOMBIA"/>
    <x v="2"/>
    <s v="Inversión"/>
    <s v="Socio de proyecto"/>
    <x v="0"/>
    <n v="3"/>
    <x v="2"/>
    <n v="1000000"/>
    <n v="87347043"/>
    <n v="50796112"/>
    <n v="72757830"/>
  </r>
  <r>
    <n v="165"/>
    <s v="ALFONSO"/>
    <s v="ALFONSO@gmail.com"/>
    <s v="COLOMBIA"/>
    <x v="4"/>
    <s v="Trabajo"/>
    <s v="Buscando trabajo"/>
    <x v="0"/>
    <n v="3"/>
    <x v="2"/>
    <s v="$ - "/>
    <s v=" $ - "/>
    <n v="38721754"/>
    <n v="77230635"/>
  </r>
  <r>
    <n v="166"/>
    <s v="JULIO"/>
    <s v="JULIO@gmail.com"/>
    <s v="COLOMBIA"/>
    <x v="1"/>
    <s v="Inversión"/>
    <s v="Socio de proyecto"/>
    <x v="0"/>
    <n v="7"/>
    <x v="1"/>
    <n v="10000000"/>
    <n v="43538967"/>
    <n v="5161300"/>
    <n v="85417673"/>
  </r>
  <r>
    <n v="167"/>
    <s v="CESAR"/>
    <s v="CESAR@gmail.com"/>
    <s v="COLOMBIA"/>
    <x v="1"/>
    <s v="Inversión"/>
    <s v="Socio de proyecto"/>
    <x v="1"/>
    <n v="3"/>
    <x v="1"/>
    <n v="1000000"/>
    <n v="95899452"/>
    <n v="2565664"/>
    <n v="39602953"/>
  </r>
  <r>
    <n v="168"/>
    <s v="MOHAMED"/>
    <s v="MOHAMED@gmail.com"/>
    <s v="COLOMBIA"/>
    <x v="1"/>
    <s v="Inversión"/>
    <s v="Socio de proyecto"/>
    <x v="1"/>
    <n v="7"/>
    <x v="1"/>
    <n v="1000000"/>
    <n v="81347428"/>
    <n v="10860215"/>
    <n v="28637290"/>
  </r>
  <r>
    <n v="169"/>
    <s v="MARC"/>
    <s v="MARC@gmail.com"/>
    <s v="COLOMBIA"/>
    <x v="4"/>
    <s v="Inversión"/>
    <s v="Socio de proyecto"/>
    <x v="1"/>
    <n v="9"/>
    <x v="3"/>
    <n v="30000000"/>
    <n v="52442860"/>
    <n v="2659881"/>
    <n v="80287314"/>
  </r>
  <r>
    <n v="170"/>
    <s v="MARIANO"/>
    <s v="MARIANO@gmail.com"/>
    <s v="CHILE"/>
    <x v="1"/>
    <s v="Inversión"/>
    <s v="Socio de proyecto"/>
    <x v="1"/>
    <n v="3"/>
    <x v="5"/>
    <n v="10000000"/>
    <n v="96199053"/>
    <n v="31746355"/>
    <n v="80063468"/>
  </r>
  <r>
    <n v="171"/>
    <s v="JOEL"/>
    <s v="JOEL@gmail.com"/>
    <s v="COLOMBIA"/>
    <x v="1"/>
    <s v="Inversión"/>
    <s v="Socio de proyecto"/>
    <x v="0"/>
    <n v="8"/>
    <x v="2"/>
    <n v="1000000"/>
    <n v="71783742"/>
    <n v="64667814"/>
    <n v="70653180"/>
  </r>
  <r>
    <n v="172"/>
    <s v="ANDRES"/>
    <s v="ANDRES@gmail.com"/>
    <s v="CHILE"/>
    <x v="4"/>
    <s v="Inversión"/>
    <s v="Socio de proyecto"/>
    <x v="0"/>
    <n v="7"/>
    <x v="0"/>
    <n v="90000000"/>
    <n v="94913746"/>
    <n v="74083223"/>
    <n v="31617670"/>
  </r>
  <r>
    <n v="173"/>
    <s v="ANGEL"/>
    <s v="ANGEL@gmail.com"/>
    <s v="COLOMBIA"/>
    <x v="4"/>
    <s v="Trabajo"/>
    <s v="Ofreciendo trabajo"/>
    <x v="0"/>
    <n v="3"/>
    <x v="2"/>
    <s v="$ - "/>
    <s v=" $ - "/>
    <n v="67753952"/>
    <n v="77205812"/>
  </r>
  <r>
    <n v="174"/>
    <s v="GERMAN"/>
    <s v="GERMAN@gmail.com"/>
    <s v="COLOMBIA"/>
    <x v="1"/>
    <s v="Inversión"/>
    <s v="Socio de proyecto"/>
    <x v="1"/>
    <n v="6"/>
    <x v="5"/>
    <n v="30000000"/>
    <n v="33477783"/>
    <s v=" $ - "/>
    <n v="27651635"/>
  </r>
  <r>
    <n v="175"/>
    <s v="JOSE"/>
    <s v="JOSE@gmail.com"/>
    <s v="PARAGUAY"/>
    <x v="2"/>
    <s v="Inversión"/>
    <s v="Socio capitalista"/>
    <x v="1"/>
    <n v="8"/>
    <x v="1"/>
    <n v="50000000"/>
    <n v="2702447"/>
    <s v=" $ - "/>
    <n v="44671760"/>
  </r>
  <r>
    <n v="176"/>
    <s v="ARTURO"/>
    <s v="ARTURO@gmail.com"/>
    <s v="COLOMBIA"/>
    <x v="1"/>
    <s v="Inversión"/>
    <s v="Socio capitalista"/>
    <x v="0"/>
    <n v="3"/>
    <x v="0"/>
    <n v="50000000"/>
    <n v="70787848"/>
    <n v="33368202"/>
    <n v="43277527"/>
  </r>
  <r>
    <n v="177"/>
    <s v="LUCAS"/>
    <s v="LUCAS@gmail.com"/>
    <s v="COLOMBIA"/>
    <x v="1"/>
    <s v="Trabajo"/>
    <s v="Ofreciendo trabajo"/>
    <x v="1"/>
    <n v="6"/>
    <x v="3"/>
    <s v="$ - "/>
    <s v=" $ - "/>
    <n v="46563396"/>
    <n v="63313535"/>
  </r>
  <r>
    <n v="178"/>
    <s v="LUIS"/>
    <s v="LUIS@gmail.com"/>
    <s v="BRASIL"/>
    <x v="1"/>
    <s v="Inversión"/>
    <s v="Socio capitalista"/>
    <x v="0"/>
    <n v="7"/>
    <x v="6"/>
    <n v="20000000"/>
    <n v="40064620"/>
    <n v="98137438"/>
    <s v=" $ - "/>
  </r>
  <r>
    <n v="179"/>
    <s v="JULIAN"/>
    <s v="JULIAN@gmail.com"/>
    <s v="COLOMBIA"/>
    <x v="1"/>
    <s v="Inversión"/>
    <s v="Socio de proyecto"/>
    <x v="0"/>
    <n v="6"/>
    <x v="3"/>
    <n v="30000000"/>
    <n v="45289360"/>
    <s v=" $ - "/>
    <n v="46980526"/>
  </r>
  <r>
    <n v="180"/>
    <s v="TOMAS"/>
    <s v="TOMAS@gmail.com"/>
    <s v="COLOMBIA"/>
    <x v="4"/>
    <s v="Inversión"/>
    <s v="Socio de proyecto"/>
    <x v="0"/>
    <n v="3"/>
    <x v="0"/>
    <n v="30000000"/>
    <n v="34397393"/>
    <n v="72192037"/>
    <n v="21247716"/>
  </r>
  <r>
    <n v="181"/>
    <s v="DOMINGO"/>
    <s v="DOMINGO@gmail.com"/>
    <s v="COLOMBIA"/>
    <x v="1"/>
    <s v="Trabajo"/>
    <s v="Buscando trabajo"/>
    <x v="1"/>
    <n v="4"/>
    <x v="5"/>
    <s v="$ - "/>
    <s v=" $ - "/>
    <n v="69870077"/>
    <n v="98441580"/>
  </r>
  <r>
    <n v="182"/>
    <s v="DARIO"/>
    <s v="DARIO@gmail.com"/>
    <s v="COLOMBIA"/>
    <x v="4"/>
    <s v="Inversión"/>
    <s v="Socio de proyecto"/>
    <x v="0"/>
    <n v="4"/>
    <x v="6"/>
    <n v="1000000"/>
    <n v="34126405"/>
    <n v="88265167"/>
    <n v="56002928"/>
  </r>
  <r>
    <n v="183"/>
    <s v="GABRIEL"/>
    <s v="GABRIEL@gmail.com"/>
    <s v="COLOMBIA"/>
    <x v="1"/>
    <s v="Inversión"/>
    <s v="Socio capitalista"/>
    <x v="0"/>
    <n v="5"/>
    <x v="6"/>
    <n v="1000000"/>
    <n v="53008255"/>
    <n v="46917910"/>
    <n v="47557281"/>
  </r>
  <r>
    <n v="184"/>
    <s v="VALENTINA"/>
    <s v="VALENTINA@gmail.com"/>
    <s v="COLOMBIA"/>
    <x v="1"/>
    <s v="Trabajo"/>
    <s v="Buscando trabajo"/>
    <x v="0"/>
    <n v="6"/>
    <x v="5"/>
    <s v="$ - "/>
    <s v=" $ - "/>
    <s v=" $ - "/>
    <n v="22675260"/>
  </r>
  <r>
    <n v="185"/>
    <s v="GUILLERMO"/>
    <s v="GUILLERMO@gmail.com"/>
    <s v="ARGENTINA"/>
    <x v="1"/>
    <s v="Inversión"/>
    <s v="Socio capitalista"/>
    <x v="0"/>
    <n v="9"/>
    <x v="3"/>
    <n v="100000000"/>
    <n v="94688720"/>
    <n v="86323763"/>
    <n v="20929788"/>
  </r>
  <r>
    <n v="186"/>
    <s v="JOSEP"/>
    <s v="JOSEP@gmail.com"/>
    <s v="COLOMBIA"/>
    <x v="0"/>
    <s v="Conocimiento"/>
    <s v="Académico"/>
    <x v="0"/>
    <n v="5"/>
    <x v="6"/>
    <s v="$ - "/>
    <s v=" $ - "/>
    <n v="96750826"/>
    <n v="31435769"/>
  </r>
  <r>
    <n v="187"/>
    <s v="FERNANDO"/>
    <s v="FERNANDO@gmail.com"/>
    <s v="COLOMBIA"/>
    <x v="4"/>
    <s v="Inversión"/>
    <s v="Socio capitalista"/>
    <x v="0"/>
    <n v="6"/>
    <x v="2"/>
    <n v="10000000"/>
    <n v="89686683"/>
    <n v="62448793"/>
    <n v="26812600"/>
  </r>
  <r>
    <n v="188"/>
    <s v="CHRISTIAN"/>
    <s v="CHRISTIAN@gmail.com"/>
    <s v="COLOMBIA"/>
    <x v="1"/>
    <s v="Inversión"/>
    <s v="Socio de proyecto"/>
    <x v="0"/>
    <n v="6"/>
    <x v="3"/>
    <n v="30000000"/>
    <n v="32890743"/>
    <s v=" $ - "/>
    <n v="39864620"/>
  </r>
  <r>
    <n v="189"/>
    <s v="ALBERTO"/>
    <s v="ALBERTO@gmail.com"/>
    <s v="COLOMBIA"/>
    <x v="4"/>
    <s v="Inversión"/>
    <s v="Socio capitalista"/>
    <x v="0"/>
    <n v="8"/>
    <x v="5"/>
    <n v="10000000"/>
    <n v="32370896"/>
    <n v="96066942"/>
    <n v="3767736"/>
  </r>
  <r>
    <n v="190"/>
    <s v="NORA"/>
    <s v="NORA@gmail.com"/>
    <s v="COLOMBIA"/>
    <x v="4"/>
    <s v="Trabajo"/>
    <s v="Ofreciendo trabajo"/>
    <x v="0"/>
    <n v="7"/>
    <x v="0"/>
    <s v="$ - "/>
    <s v=" $ - "/>
    <n v="24514428"/>
    <n v="27890231"/>
  </r>
  <r>
    <n v="191"/>
    <s v="MIGUEL"/>
    <s v="MIGUEL@gmail.com"/>
    <s v="COLOMBIA"/>
    <x v="1"/>
    <s v="Inversión"/>
    <s v="Socio capitalista"/>
    <x v="1"/>
    <n v="9"/>
    <x v="2"/>
    <n v="10000000"/>
    <n v="31953589"/>
    <n v="40068224"/>
    <n v="80951038"/>
  </r>
  <r>
    <n v="192"/>
    <s v="RAUL"/>
    <s v="RAUL@gmail.com"/>
    <s v="COLOMBIA"/>
    <x v="1"/>
    <s v="Inversión"/>
    <s v="Socio capitalista"/>
    <x v="0"/>
    <n v="3"/>
    <x v="2"/>
    <n v="50000000"/>
    <n v="78205651"/>
    <n v="62381180"/>
    <n v="6508585"/>
  </r>
  <r>
    <n v="193"/>
    <s v="ADOLFO"/>
    <s v="ADOLFO@gmail.com"/>
    <s v="COLOMBIA"/>
    <x v="3"/>
    <s v="Trabajo"/>
    <s v="Buscando trabajo"/>
    <x v="0"/>
    <n v="6"/>
    <x v="2"/>
    <s v="$ - "/>
    <s v=" $ - "/>
    <n v="34584522"/>
    <s v=" $ - "/>
  </r>
  <r>
    <n v="194"/>
    <s v="EDUARDO"/>
    <s v="EDUARDO@gmail.com"/>
    <s v="BRASIL"/>
    <x v="1"/>
    <s v="Conocimiento"/>
    <s v="Otro tipo"/>
    <x v="0"/>
    <n v="9"/>
    <x v="5"/>
    <s v="$ - "/>
    <s v=" $ - "/>
    <n v="76942676"/>
    <n v="74216691"/>
  </r>
  <r>
    <n v="195"/>
    <s v="ISAAC"/>
    <s v="ISAAC@gmail.com"/>
    <s v="COLOMBIA"/>
    <x v="4"/>
    <s v="Inversión"/>
    <s v="Socio de proyecto"/>
    <x v="1"/>
    <n v="8"/>
    <x v="1"/>
    <n v="5000000"/>
    <n v="70270294"/>
    <n v="19588762"/>
    <n v="78634577"/>
  </r>
  <r>
    <n v="196"/>
    <s v="ANTONIO"/>
    <s v="ANTONIO@gmail.com"/>
    <s v="COLOMBIA"/>
    <x v="3"/>
    <s v="Trabajo"/>
    <s v="Buscando trabajo"/>
    <x v="0"/>
    <n v="8"/>
    <x v="5"/>
    <s v="$ - "/>
    <s v=" $ - "/>
    <n v="85955846"/>
    <n v="25891596"/>
  </r>
  <r>
    <n v="197"/>
    <s v="RUBEN"/>
    <s v="RUBEN@gmail.com"/>
    <s v="COLOMBIA"/>
    <x v="3"/>
    <s v="Inversión"/>
    <s v="Socio de proyecto"/>
    <x v="1"/>
    <n v="6"/>
    <x v="8"/>
    <n v="20000000"/>
    <n v="62745331"/>
    <n v="39843357"/>
    <n v="64840967"/>
  </r>
  <r>
    <n v="198"/>
    <s v="RICARDO"/>
    <s v="RICARDO@gmail.com"/>
    <s v="COLOMBIA"/>
    <x v="1"/>
    <s v="Trabajo"/>
    <s v="Ofreciendo trabajo"/>
    <x v="0"/>
    <n v="3"/>
    <x v="1"/>
    <s v="$ - "/>
    <s v=" $ - "/>
    <n v="82583322"/>
    <n v="809058"/>
  </r>
  <r>
    <n v="199"/>
    <s v="FRANCISCO"/>
    <s v="FRANCISCO@gmail.com"/>
    <s v="COLOMBIA"/>
    <x v="1"/>
    <s v="Inversión"/>
    <s v="Socio de proyecto"/>
    <x v="1"/>
    <n v="6"/>
    <x v="3"/>
    <n v="10000000"/>
    <n v="59890317"/>
    <n v="42451842"/>
    <s v=" $ - "/>
  </r>
  <r>
    <n v="200"/>
    <s v="MARTIN"/>
    <s v="MARTIN@gmail.com"/>
    <s v="COLOMBIA"/>
    <x v="3"/>
    <s v="Inversión"/>
    <s v="Socio capitalista"/>
    <x v="0"/>
    <n v="6"/>
    <x v="5"/>
    <n v="10000000"/>
    <n v="97449662"/>
    <n v="49624160"/>
    <n v="17854677"/>
  </r>
  <r>
    <n v="201"/>
    <s v="ANDRÉS"/>
    <s v="ANDRÉS@gmail.com"/>
    <s v="COLOMBIA"/>
    <x v="2"/>
    <s v="Trabajo"/>
    <s v="Ofreciendo trabajo"/>
    <x v="0"/>
    <n v="8"/>
    <x v="2"/>
    <s v="$ - "/>
    <s v=" $ - "/>
    <n v="44422091"/>
    <n v="8898260"/>
  </r>
  <r>
    <n v="202"/>
    <s v="JUAN PABLO"/>
    <s v="JUAN PABLO@gmail.com"/>
    <s v="COLOMBIA"/>
    <x v="1"/>
    <s v="Trabajo"/>
    <s v="Buscando trabajo"/>
    <x v="0"/>
    <n v="5"/>
    <x v="1"/>
    <s v="$ - "/>
    <s v=" $ - "/>
    <s v=" $ - "/>
    <n v="63436099"/>
  </r>
  <r>
    <n v="203"/>
    <s v="ROBERTO"/>
    <s v="ROBERTO@gmail.com"/>
    <s v="COLOMBIA"/>
    <x v="1"/>
    <s v="Inversión"/>
    <s v="Socio capitalista"/>
    <x v="1"/>
    <n v="9"/>
    <x v="6"/>
    <n v="10000000"/>
    <n v="99989764"/>
    <n v="8030175"/>
    <n v="37676206"/>
  </r>
  <r>
    <n v="204"/>
    <s v="EMILIO"/>
    <s v="EMILIO@gmail.com"/>
    <s v="COLOMBIA"/>
    <x v="1"/>
    <s v="Trabajo"/>
    <s v="Buscando trabajo"/>
    <x v="1"/>
    <n v="4"/>
    <x v="6"/>
    <s v="$ - "/>
    <s v=" $ - "/>
    <n v="12862402"/>
    <n v="68922404"/>
  </r>
  <r>
    <n v="205"/>
    <s v="LEONEL"/>
    <s v="LEONEL@gmail.com"/>
    <s v="COLOMBIA"/>
    <x v="4"/>
    <s v="Trabajo"/>
    <s v="Buscando trabajo"/>
    <x v="1"/>
    <n v="4"/>
    <x v="2"/>
    <s v="$ - "/>
    <s v=" $ - "/>
    <n v="46914257"/>
    <n v="43734508"/>
  </r>
  <r>
    <n v="206"/>
    <s v="JOAN"/>
    <s v="JOAN@gmail.com"/>
    <s v="COLOMBIA"/>
    <x v="0"/>
    <s v="Conocimiento"/>
    <s v="Académico"/>
    <x v="0"/>
    <n v="9"/>
    <x v="1"/>
    <s v="$ - "/>
    <s v=" $ - "/>
    <n v="95212463"/>
    <s v=" $ - "/>
  </r>
  <r>
    <n v="207"/>
    <s v="SERGIO"/>
    <s v="SERGIO@gmail.com"/>
    <s v="COLOMBIA"/>
    <x v="1"/>
    <s v="Inversión"/>
    <s v="Socio capitalista"/>
    <x v="0"/>
    <n v="6"/>
    <x v="3"/>
    <n v="5000000"/>
    <n v="32915397"/>
    <n v="74493461"/>
    <n v="151779"/>
  </r>
  <r>
    <n v="208"/>
    <s v="EUGENIO"/>
    <s v="EUGENIO@gmail.com"/>
    <s v="COLOMBIA"/>
    <x v="4"/>
    <s v="Trabajo"/>
    <s v="Buscando trabajo"/>
    <x v="0"/>
    <n v="8"/>
    <x v="5"/>
    <s v="$ - "/>
    <s v=" $ - "/>
    <n v="43223505"/>
    <s v=" $ - "/>
  </r>
  <r>
    <n v="209"/>
    <s v="SEBASTIAN"/>
    <s v="SEBASTIAN@gmail.com"/>
    <s v="COLOMBIA"/>
    <x v="1"/>
    <s v="Trabajo"/>
    <s v="Buscando trabajo"/>
    <x v="0"/>
    <n v="6"/>
    <x v="3"/>
    <s v="$ - "/>
    <s v=" $ - "/>
    <n v="14141858"/>
    <n v="87162317"/>
  </r>
  <r>
    <n v="210"/>
    <s v="SAMUEL"/>
    <s v="SAMUEL@gmail.com"/>
    <s v="BRASIL"/>
    <x v="1"/>
    <s v="Trabajo"/>
    <s v="Buscando trabajo"/>
    <x v="0"/>
    <n v="7"/>
    <x v="2"/>
    <s v="$ - "/>
    <s v=" $ - "/>
    <n v="29525162"/>
    <s v=" $ - "/>
  </r>
  <r>
    <n v="211"/>
    <s v="ENRIQUE"/>
    <s v="ENRIQUE@gmail.com"/>
    <s v="COLOMBIA"/>
    <x v="1"/>
    <s v="Trabajo"/>
    <s v="Ofreciendo trabajo"/>
    <x v="1"/>
    <n v="5"/>
    <x v="3"/>
    <s v="$ - "/>
    <s v=" $ - "/>
    <n v="29366791"/>
    <n v="89805774"/>
  </r>
  <r>
    <n v="212"/>
    <s v="DIEGO"/>
    <s v="DIEGO@gmail.com"/>
    <s v="ECUADOR"/>
    <x v="1"/>
    <s v="Trabajo"/>
    <s v="Buscando trabajo"/>
    <x v="1"/>
    <n v="3"/>
    <x v="1"/>
    <s v="$ - "/>
    <s v=" $ - "/>
    <n v="73195518"/>
    <n v="10695678"/>
  </r>
  <r>
    <n v="213"/>
    <s v="PEDRO"/>
    <s v="PEDRO@gmail.com"/>
    <s v="BRASIL"/>
    <x v="1"/>
    <s v="Trabajo"/>
    <s v="Buscando trabajo"/>
    <x v="0"/>
    <n v="7"/>
    <x v="2"/>
    <s v="$ - "/>
    <s v=" $ - "/>
    <n v="1432950"/>
    <n v="29672451"/>
  </r>
  <r>
    <n v="214"/>
    <s v="ALBERT"/>
    <s v="ALBERT@gmail.com"/>
    <s v="URUGUAY"/>
    <x v="1"/>
    <s v="Inversión"/>
    <s v="Socio capitalista"/>
    <x v="1"/>
    <n v="5"/>
    <x v="1"/>
    <n v="1000000"/>
    <n v="77159264"/>
    <s v=" $ - "/>
    <n v="97234303"/>
  </r>
  <r>
    <n v="215"/>
    <s v="JORGE"/>
    <s v="JORGE@gmail.com"/>
    <s v="COLOMBIA"/>
    <x v="1"/>
    <s v="Inversión"/>
    <s v="Socio capitalista"/>
    <x v="0"/>
    <n v="9"/>
    <x v="8"/>
    <n v="100000000"/>
    <n v="12451199"/>
    <n v="74231711"/>
    <n v="42951226"/>
  </r>
  <r>
    <n v="216"/>
    <s v="RAMON"/>
    <s v="RAMON@gmail.com"/>
    <s v="COLOMBIA"/>
    <x v="2"/>
    <s v="Inversión"/>
    <s v="Socio capitalista"/>
    <x v="1"/>
    <n v="6"/>
    <x v="5"/>
    <n v="90000000"/>
    <n v="13287929"/>
    <n v="27090183"/>
    <n v="79518711"/>
  </r>
  <r>
    <n v="217"/>
    <s v="HUGO"/>
    <s v="HUGO@gmail.com"/>
    <s v="COLOMBIA"/>
    <x v="0"/>
    <s v="Conocimiento"/>
    <s v="Académico"/>
    <x v="0"/>
    <n v="7"/>
    <x v="6"/>
    <s v="$ - "/>
    <s v=" $ - "/>
    <n v="20898506"/>
    <n v="24525645"/>
  </r>
  <r>
    <n v="218"/>
    <s v="MARIA"/>
    <s v="MARIA@gmail.com"/>
    <s v="CHILE"/>
    <x v="1"/>
    <s v="Inversión"/>
    <s v="Socio capitalista"/>
    <x v="0"/>
    <n v="5"/>
    <x v="1"/>
    <n v="5000000"/>
    <n v="37959268"/>
    <n v="69132389"/>
    <n v="99564796"/>
  </r>
  <r>
    <n v="219"/>
    <s v="FELIX"/>
    <s v="FELIX@gmail.com"/>
    <s v="COLOMBIA"/>
    <x v="1"/>
    <s v="Trabajo"/>
    <s v="Buscando trabajo"/>
    <x v="1"/>
    <n v="4"/>
    <x v="2"/>
    <s v="$ - "/>
    <s v=" $ - "/>
    <n v="26450622"/>
    <n v="4227264"/>
  </r>
  <r>
    <n v="220"/>
    <s v="VICTOR"/>
    <s v="VICTOR@gmail.com"/>
    <s v="COLOMBIA"/>
    <x v="1"/>
    <s v="Trabajo"/>
    <s v="Buscando trabajo"/>
    <x v="1"/>
    <n v="7"/>
    <x v="3"/>
    <s v="$ - "/>
    <s v=" $ - "/>
    <s v=" $ - "/>
    <n v="54376640"/>
  </r>
  <r>
    <n v="221"/>
    <s v="JORDI"/>
    <s v="JORDI@gmail.com"/>
    <s v="BOLIVIA"/>
    <x v="1"/>
    <s v="Inversión"/>
    <s v="Socio de proyecto"/>
    <x v="0"/>
    <n v="3"/>
    <x v="5"/>
    <n v="90000000"/>
    <n v="29991873"/>
    <n v="39252741"/>
    <n v="15542722"/>
  </r>
  <r>
    <n v="222"/>
    <s v="MARIA MÓNICA"/>
    <s v="MARIA MÓNICA@gmail.com"/>
    <s v="COLOMBIA"/>
    <x v="1"/>
    <s v="Inversión"/>
    <s v="Socio de proyecto"/>
    <x v="0"/>
    <n v="3"/>
    <x v="1"/>
    <n v="10000000"/>
    <n v="7303129"/>
    <n v="3765621"/>
    <n v="18125151"/>
  </r>
  <r>
    <n v="223"/>
    <s v="CRISTOBAL"/>
    <s v="CRISTOBAL@gmail.com"/>
    <s v="COLOMBIA"/>
    <x v="1"/>
    <s v="Inversión"/>
    <s v="Socio de proyecto"/>
    <x v="0"/>
    <n v="7"/>
    <x v="6"/>
    <n v="30000000"/>
    <n v="44457754"/>
    <s v=" $ - "/>
    <n v="62249765"/>
  </r>
  <r>
    <n v="224"/>
    <s v="NICOLAS"/>
    <s v="NICOLAS@gmail.com"/>
    <s v="COLOMBIA"/>
    <x v="1"/>
    <s v="Inversión"/>
    <s v="Socio capitalista"/>
    <x v="0"/>
    <n v="5"/>
    <x v="5"/>
    <n v="10000000"/>
    <n v="54467236"/>
    <s v=" $ - "/>
    <n v="1234692"/>
  </r>
  <r>
    <n v="225"/>
    <s v="FELIPE"/>
    <s v="FELIPE@gmail.com"/>
    <s v="COLOMBIA"/>
    <x v="1"/>
    <s v="Inversión"/>
    <s v="Socio de proyecto"/>
    <x v="0"/>
    <n v="9"/>
    <x v="3"/>
    <n v="10000000"/>
    <n v="17991607"/>
    <s v=" $ - "/>
    <n v="174626"/>
  </r>
  <r>
    <n v="226"/>
    <s v="ISMAEL"/>
    <s v="ISMAEL@gmail.com"/>
    <s v="COLOMBIA"/>
    <x v="1"/>
    <s v="Trabajo"/>
    <s v="Ofreciendo trabajo"/>
    <x v="0"/>
    <n v="4"/>
    <x v="2"/>
    <s v="$ - "/>
    <s v=" $ - "/>
    <n v="24965127"/>
    <n v="41129782"/>
  </r>
  <r>
    <n v="227"/>
    <s v="ALEJANDRO"/>
    <s v="ALEJANDRO@gmail.com"/>
    <s v="COLOMBIA"/>
    <x v="2"/>
    <s v="Inversión"/>
    <s v="Socio de proyecto"/>
    <x v="0"/>
    <n v="5"/>
    <x v="3"/>
    <n v="1000000"/>
    <n v="87347043"/>
    <n v="50796112"/>
    <n v="72757830"/>
  </r>
  <r>
    <n v="228"/>
    <s v="MATEO"/>
    <s v="MATEO@gmail.com"/>
    <s v="COLOMBIA"/>
    <x v="4"/>
    <s v="Trabajo"/>
    <s v="Buscando trabajo"/>
    <x v="0"/>
    <n v="3"/>
    <x v="2"/>
    <s v="$ - "/>
    <s v=" $ - "/>
    <n v="38721754"/>
    <n v="77230635"/>
  </r>
  <r>
    <n v="229"/>
    <s v="CRISTIAN"/>
    <s v="CRISTIAN@gmail.com"/>
    <s v="COLOMBIA"/>
    <x v="1"/>
    <s v="Inversión"/>
    <s v="Socio de proyecto"/>
    <x v="0"/>
    <n v="3"/>
    <x v="2"/>
    <n v="10000000"/>
    <n v="43538967"/>
    <n v="5161300"/>
    <n v="85417673"/>
  </r>
  <r>
    <n v="230"/>
    <s v="DAVID"/>
    <s v="DAVID@gmail.com"/>
    <s v="PERU"/>
    <x v="1"/>
    <s v="Inversión"/>
    <s v="Socio de proyecto"/>
    <x v="1"/>
    <n v="5"/>
    <x v="2"/>
    <n v="1000000"/>
    <n v="95899452"/>
    <n v="2565664"/>
    <n v="39602953"/>
  </r>
  <r>
    <n v="231"/>
    <s v="SALVADOR"/>
    <s v="SALVADOR@gmail.com"/>
    <s v="BRASIL"/>
    <x v="1"/>
    <s v="Inversión"/>
    <s v="Socio de proyecto"/>
    <x v="1"/>
    <n v="7"/>
    <x v="1"/>
    <n v="1000000"/>
    <n v="81347428"/>
    <n v="10860215"/>
    <n v="28637290"/>
  </r>
  <r>
    <n v="232"/>
    <s v="ALFREDO"/>
    <s v="ALFREDO@gmail.com"/>
    <s v="COLOMBIA"/>
    <x v="4"/>
    <s v="Inversión"/>
    <s v="Socio de proyecto"/>
    <x v="1"/>
    <n v="7"/>
    <x v="1"/>
    <n v="30000000"/>
    <n v="52442860"/>
    <n v="2659881"/>
    <n v="80287314"/>
  </r>
  <r>
    <n v="233"/>
    <s v="OSCAR"/>
    <s v="OSCAR@gmail.com"/>
    <s v="COLOMBIA"/>
    <x v="1"/>
    <s v="Inversión"/>
    <s v="Socio de proyecto"/>
    <x v="1"/>
    <n v="5"/>
    <x v="1"/>
    <n v="10000000"/>
    <n v="96199053"/>
    <n v="31746355"/>
    <n v="80063468"/>
  </r>
  <r>
    <n v="234"/>
    <s v="JUAN"/>
    <s v="JUAN@gmail.com"/>
    <s v="COLOMBIA"/>
    <x v="1"/>
    <s v="Inversión"/>
    <s v="Socio de proyecto"/>
    <x v="0"/>
    <n v="7"/>
    <x v="3"/>
    <n v="1000000"/>
    <n v="71783742"/>
    <n v="64667814"/>
    <n v="70653180"/>
  </r>
  <r>
    <n v="235"/>
    <s v="IVAN"/>
    <s v="IVAN@gmail.com"/>
    <s v="COLOMBIA"/>
    <x v="4"/>
    <s v="Inversión"/>
    <s v="Socio de proyecto"/>
    <x v="0"/>
    <n v="8"/>
    <x v="5"/>
    <n v="90000000"/>
    <n v="94913746"/>
    <n v="74083223"/>
    <n v="31617670"/>
  </r>
  <r>
    <n v="236"/>
    <s v="ALEXANDER"/>
    <s v="ALEXANDER@gmail.com"/>
    <s v="COLOMBIA"/>
    <x v="4"/>
    <s v="Trabajo"/>
    <s v="Ofreciendo trabajo"/>
    <x v="0"/>
    <n v="3"/>
    <x v="2"/>
    <s v="$ - "/>
    <s v=" $ - "/>
    <n v="67753952"/>
    <n v="77205812"/>
  </r>
  <r>
    <n v="237"/>
    <s v="JAIME"/>
    <s v="JAIME@gmail.com"/>
    <s v="COLOMBIA"/>
    <x v="1"/>
    <s v="Inversión"/>
    <s v="Socio de proyecto"/>
    <x v="1"/>
    <n v="8"/>
    <x v="0"/>
    <n v="30000000"/>
    <n v="33477783"/>
    <s v=" $ - "/>
    <n v="27651635"/>
  </r>
  <r>
    <n v="238"/>
    <s v="HECTOR"/>
    <s v="HECTOR@gmail.com"/>
    <s v="URUGUAY"/>
    <x v="2"/>
    <s v="Inversión"/>
    <s v="Socio capitalista"/>
    <x v="1"/>
    <n v="5"/>
    <x v="2"/>
    <n v="50000000"/>
    <n v="2702447"/>
    <s v=" $ - "/>
    <n v="44671760"/>
  </r>
  <r>
    <n v="239"/>
    <s v="ERNESTO"/>
    <s v="ERNESTO@gmail.com"/>
    <s v="COLOMBIA"/>
    <x v="1"/>
    <s v="Inversión"/>
    <s v="Socio capitalista"/>
    <x v="0"/>
    <n v="6"/>
    <x v="5"/>
    <n v="50000000"/>
    <n v="70787848"/>
    <n v="33368202"/>
    <n v="43277527"/>
  </r>
  <r>
    <n v="240"/>
    <s v="MARCO"/>
    <s v="MARCO@gmail.com"/>
    <s v="COLOMBIA"/>
    <x v="1"/>
    <s v="Trabajo"/>
    <s v="Ofreciendo trabajo"/>
    <x v="1"/>
    <n v="3"/>
    <x v="1"/>
    <s v="$ - "/>
    <s v=" $ - "/>
    <n v="46563396"/>
    <n v="63313535"/>
  </r>
  <r>
    <n v="241"/>
    <s v="JAVIER"/>
    <s v="JAVIER@gmail.com"/>
    <s v="COLOMBIA"/>
    <x v="1"/>
    <s v="Inversión"/>
    <s v="Socio capitalista"/>
    <x v="0"/>
    <n v="8"/>
    <x v="0"/>
    <n v="20000000"/>
    <n v="40064620"/>
    <n v="98137438"/>
    <s v=" $ - "/>
  </r>
  <r>
    <n v="242"/>
    <s v="ESTEBAN"/>
    <s v="ESTEBAN@gmail.com"/>
    <s v="OTRO PAÍS DEL MUNDO"/>
    <x v="1"/>
    <s v="Inversión"/>
    <s v="Socio de proyecto"/>
    <x v="0"/>
    <n v="5"/>
    <x v="3"/>
    <n v="30000000"/>
    <n v="45289360"/>
    <s v=" $ - "/>
    <n v="46980526"/>
  </r>
  <r>
    <n v="243"/>
    <s v="MARCOS"/>
    <s v="MARCOS@gmail.com"/>
    <s v="CHILE"/>
    <x v="4"/>
    <s v="Inversión"/>
    <s v="Socio de proyecto"/>
    <x v="0"/>
    <n v="8"/>
    <x v="6"/>
    <n v="30000000"/>
    <n v="34397393"/>
    <n v="72192037"/>
    <n v="21247716"/>
  </r>
  <r>
    <n v="244"/>
    <s v="ADRIAN"/>
    <s v="ADRIAN@gmail.com"/>
    <s v="COLOMBIA"/>
    <x v="1"/>
    <s v="Trabajo"/>
    <s v="Buscando trabajo"/>
    <x v="1"/>
    <n v="4"/>
    <x v="3"/>
    <s v="$ - "/>
    <s v=" $ - "/>
    <n v="69870077"/>
    <n v="98441580"/>
  </r>
  <r>
    <n v="245"/>
    <s v="DANIEL"/>
    <s v="DANIEL@gmail.com"/>
    <s v="COLOMBIA"/>
    <x v="4"/>
    <s v="Inversión"/>
    <s v="Socio de proyecto"/>
    <x v="0"/>
    <n v="9"/>
    <x v="0"/>
    <n v="1000000"/>
    <n v="34126405"/>
    <n v="88265167"/>
    <n v="56002928"/>
  </r>
  <r>
    <n v="246"/>
    <s v="GREGORIO"/>
    <s v="GREGORIO@gmail.com"/>
    <s v="COLOMBIA"/>
    <x v="1"/>
    <s v="Inversión"/>
    <s v="Socio capitalista"/>
    <x v="0"/>
    <n v="6"/>
    <x v="5"/>
    <n v="1000000"/>
    <n v="53008255"/>
    <n v="46917910"/>
    <n v="47557281"/>
  </r>
  <r>
    <n v="247"/>
    <s v="BORJA"/>
    <s v="BORJA@gmail.com"/>
    <s v="COLOMBIA"/>
    <x v="1"/>
    <s v="Trabajo"/>
    <s v="Buscando trabajo"/>
    <x v="0"/>
    <n v="3"/>
    <x v="6"/>
    <s v="$ - "/>
    <s v=" $ - "/>
    <s v=" $ - "/>
    <n v="22675260"/>
  </r>
  <r>
    <n v="248"/>
    <s v="PABLO"/>
    <s v="PABLO@gmail.com"/>
    <s v="COLOMBIA"/>
    <x v="1"/>
    <s v="Inversión"/>
    <s v="Socio capitalista"/>
    <x v="0"/>
    <n v="3"/>
    <x v="6"/>
    <n v="100000000"/>
    <n v="94688720"/>
    <n v="86323763"/>
    <n v="20929788"/>
  </r>
  <r>
    <n v="249"/>
    <s v="JOAQUIN"/>
    <s v="JOAQUIN@gmail.com"/>
    <s v="COLOMBIA"/>
    <x v="0"/>
    <s v="Conocimiento"/>
    <s v="Académico"/>
    <x v="0"/>
    <n v="7"/>
    <x v="5"/>
    <s v="$ - "/>
    <s v=" $ - "/>
    <n v="96750826"/>
    <n v="31435769"/>
  </r>
  <r>
    <n v="250"/>
    <s v="RODRIGO"/>
    <s v="RODRIGO@gmail.com"/>
    <s v="COLOMBIA"/>
    <x v="4"/>
    <s v="Inversión"/>
    <s v="Socio capitalista"/>
    <x v="0"/>
    <n v="3"/>
    <x v="3"/>
    <n v="10000000"/>
    <n v="89686683"/>
    <n v="62448793"/>
    <n v="26812600"/>
  </r>
  <r>
    <n v="251"/>
    <s v="MANUEL"/>
    <s v="MANUEL@gmail.com"/>
    <s v="CHILE"/>
    <x v="1"/>
    <s v="Inversión"/>
    <s v="Socio de proyecto"/>
    <x v="0"/>
    <n v="7"/>
    <x v="6"/>
    <n v="30000000"/>
    <n v="32890743"/>
    <s v=" $ - "/>
    <n v="39864620"/>
  </r>
  <r>
    <n v="252"/>
    <s v="LORENZO"/>
    <s v="LORENZO@gmail.com"/>
    <s v="COLOMBIA"/>
    <x v="4"/>
    <s v="Inversión"/>
    <s v="Socio capitalista"/>
    <x v="0"/>
    <n v="9"/>
    <x v="2"/>
    <n v="10000000"/>
    <n v="32370896"/>
    <n v="96066942"/>
    <n v="3767736"/>
  </r>
  <r>
    <n v="253"/>
    <s v="SANTIAGO"/>
    <s v="SANTIAGO@gmail.com"/>
    <s v="CHILE"/>
    <x v="4"/>
    <s v="Trabajo"/>
    <s v="Ofreciendo trabajo"/>
    <x v="0"/>
    <n v="3"/>
    <x v="3"/>
    <s v="$ - "/>
    <s v=" $ - "/>
    <n v="24514428"/>
    <n v="27890231"/>
  </r>
  <r>
    <n v="254"/>
    <s v="JONATHAN"/>
    <s v="JONATHAN@gmail.com"/>
    <s v="COLOMBIA"/>
    <x v="1"/>
    <s v="Inversión"/>
    <s v="Socio capitalista"/>
    <x v="1"/>
    <n v="8"/>
    <x v="5"/>
    <n v="10000000"/>
    <n v="31953589"/>
    <n v="40068224"/>
    <n v="80951038"/>
  </r>
  <r>
    <n v="255"/>
    <s v="CARLOS"/>
    <s v="CARLOS@gmail.com"/>
    <s v="COLOMBIA"/>
    <x v="1"/>
    <s v="Inversión"/>
    <s v="Socio capitalista"/>
    <x v="0"/>
    <n v="7"/>
    <x v="0"/>
    <n v="50000000"/>
    <n v="78205651"/>
    <n v="62381180"/>
    <n v="6508585"/>
  </r>
  <r>
    <n v="256"/>
    <s v="VICENTE"/>
    <s v="VICENTE@gmail.com"/>
    <s v="PARAGUAY"/>
    <x v="3"/>
    <s v="Trabajo"/>
    <s v="Buscando trabajo"/>
    <x v="0"/>
    <n v="3"/>
    <x v="2"/>
    <s v="$ - "/>
    <s v=" $ - "/>
    <n v="34584522"/>
    <s v=" $ - "/>
  </r>
  <r>
    <n v="257"/>
    <s v="ALVARO"/>
    <s v="ALVARO@gmail.com"/>
    <s v="COLOMBIA"/>
    <x v="1"/>
    <s v="Conocimiento"/>
    <s v="Otro tipo"/>
    <x v="0"/>
    <n v="6"/>
    <x v="2"/>
    <s v="$ - "/>
    <s v=" $ - "/>
    <n v="76942676"/>
    <n v="74216691"/>
  </r>
  <r>
    <n v="258"/>
    <s v="MARIO"/>
    <s v="MARIO@gmail.com"/>
    <s v="COLOMBIA"/>
    <x v="4"/>
    <s v="Inversión"/>
    <s v="Socio de proyecto"/>
    <x v="1"/>
    <n v="8"/>
    <x v="2"/>
    <n v="5000000"/>
    <n v="70270294"/>
    <n v="19588762"/>
    <n v="78634577"/>
  </r>
  <r>
    <n v="259"/>
    <s v="RAFAEL"/>
    <s v="RAFAEL@gmail.com"/>
    <s v="BRASIL"/>
    <x v="3"/>
    <s v="Trabajo"/>
    <s v="Buscando trabajo"/>
    <x v="0"/>
    <n v="3"/>
    <x v="5"/>
    <s v="$ - "/>
    <s v=" $ - "/>
    <n v="85955846"/>
    <n v="25891596"/>
  </r>
  <r>
    <n v="260"/>
    <s v="ALEX"/>
    <s v="ALEX@gmail.com"/>
    <s v="COLOMBIA"/>
    <x v="3"/>
    <s v="Inversión"/>
    <s v="Socio de proyecto"/>
    <x v="1"/>
    <n v="6"/>
    <x v="1"/>
    <n v="20000000"/>
    <n v="62745331"/>
    <n v="39843357"/>
    <n v="64840967"/>
  </r>
  <r>
    <n v="261"/>
    <s v="IGNACIO"/>
    <s v="IGNACIO@gmail.com"/>
    <s v="COLOMBIA"/>
    <x v="1"/>
    <s v="Trabajo"/>
    <s v="Ofreciendo trabajo"/>
    <x v="0"/>
    <n v="7"/>
    <x v="5"/>
    <s v="$ - "/>
    <s v=" $ - "/>
    <n v="82583322"/>
    <n v="809058"/>
  </r>
  <r>
    <n v="262"/>
    <s v="GONZALO"/>
    <s v="GONZALO@gmail.com"/>
    <s v="COLOMBIA"/>
    <x v="1"/>
    <s v="Inversión"/>
    <s v="Socio de proyecto"/>
    <x v="1"/>
    <n v="6"/>
    <x v="8"/>
    <n v="10000000"/>
    <n v="59890317"/>
    <n v="42451842"/>
    <s v=" $ - "/>
  </r>
  <r>
    <n v="263"/>
    <s v="JESUS"/>
    <s v="JESUS@gmail.com"/>
    <s v="COLOMBIA"/>
    <x v="3"/>
    <s v="Inversión"/>
    <s v="Socio capitalista"/>
    <x v="0"/>
    <n v="3"/>
    <x v="1"/>
    <n v="10000000"/>
    <n v="97449662"/>
    <n v="49624160"/>
    <n v="17854677"/>
  </r>
  <r>
    <n v="264"/>
    <s v="ALFONSO"/>
    <s v="ALFONSO@gmail.com"/>
    <s v="COLOMBIA"/>
    <x v="2"/>
    <s v="Trabajo"/>
    <s v="Ofreciendo trabajo"/>
    <x v="0"/>
    <n v="4"/>
    <x v="3"/>
    <s v="$ - "/>
    <s v=" $ - "/>
    <n v="44422091"/>
    <n v="8898260"/>
  </r>
  <r>
    <n v="265"/>
    <s v="JULIO"/>
    <s v="JULIO@gmail.com"/>
    <s v="COLOMBIA"/>
    <x v="1"/>
    <s v="Trabajo"/>
    <s v="Buscando trabajo"/>
    <x v="0"/>
    <n v="4"/>
    <x v="5"/>
    <s v="$ - "/>
    <s v=" $ - "/>
    <s v=" $ - "/>
    <n v="63436099"/>
  </r>
  <r>
    <n v="266"/>
    <s v="CESAR"/>
    <s v="CESAR@gmail.com"/>
    <s v="ARGENTINA"/>
    <x v="1"/>
    <s v="Inversión"/>
    <s v="Socio capitalista"/>
    <x v="1"/>
    <n v="5"/>
    <x v="2"/>
    <n v="10000000"/>
    <n v="99989764"/>
    <n v="8030175"/>
    <n v="37676206"/>
  </r>
  <r>
    <n v="267"/>
    <s v="MOHAMED"/>
    <s v="MOHAMED@gmail.com"/>
    <s v="COLOMBIA"/>
    <x v="1"/>
    <s v="Trabajo"/>
    <s v="Buscando trabajo"/>
    <x v="1"/>
    <n v="6"/>
    <x v="1"/>
    <s v="$ - "/>
    <s v=" $ - "/>
    <n v="12862402"/>
    <n v="68922404"/>
  </r>
  <r>
    <n v="268"/>
    <s v="MARC"/>
    <s v="MARC@gmail.com"/>
    <s v="COLOMBIA"/>
    <x v="4"/>
    <s v="Trabajo"/>
    <s v="Buscando trabajo"/>
    <x v="1"/>
    <n v="9"/>
    <x v="6"/>
    <s v="$ - "/>
    <s v=" $ - "/>
    <n v="46914257"/>
    <n v="43734508"/>
  </r>
  <r>
    <n v="269"/>
    <s v="MARIANO"/>
    <s v="MARIANO@gmail.com"/>
    <s v="COLOMBIA"/>
    <x v="0"/>
    <s v="Conocimiento"/>
    <s v="Académico"/>
    <x v="0"/>
    <n v="5"/>
    <x v="6"/>
    <s v="$ - "/>
    <s v=" $ - "/>
    <n v="95212463"/>
    <s v=" $ - "/>
  </r>
  <r>
    <n v="270"/>
    <s v="JOEL"/>
    <s v="JOEL@gmail.com"/>
    <s v="COLOMBIA"/>
    <x v="1"/>
    <s v="Inversión"/>
    <s v="Socio capitalista"/>
    <x v="0"/>
    <n v="6"/>
    <x v="2"/>
    <n v="5000000"/>
    <n v="32915397"/>
    <n v="74493461"/>
    <n v="151779"/>
  </r>
  <r>
    <n v="271"/>
    <s v="ANDRES"/>
    <s v="ANDRES@gmail.com"/>
    <s v="COLOMBIA"/>
    <x v="4"/>
    <s v="Trabajo"/>
    <s v="Buscando trabajo"/>
    <x v="0"/>
    <n v="6"/>
    <x v="1"/>
    <s v="$ - "/>
    <s v=" $ - "/>
    <n v="43223505"/>
    <s v=" $ - "/>
  </r>
  <r>
    <n v="272"/>
    <s v="ANGEL"/>
    <s v="ANGEL@gmail.com"/>
    <s v="COLOMBIA"/>
    <x v="1"/>
    <s v="Trabajo"/>
    <s v="Buscando trabajo"/>
    <x v="0"/>
    <n v="8"/>
    <x v="3"/>
    <s v="$ - "/>
    <s v=" $ - "/>
    <n v="14141858"/>
    <n v="87162317"/>
  </r>
  <r>
    <n v="273"/>
    <s v="GERMAN"/>
    <s v="GERMAN@gmail.com"/>
    <s v="COLOMBIA"/>
    <x v="1"/>
    <s v="Trabajo"/>
    <s v="Buscando trabajo"/>
    <x v="0"/>
    <n v="7"/>
    <x v="5"/>
    <s v="$ - "/>
    <s v=" $ - "/>
    <n v="29525162"/>
    <s v=" $ - "/>
  </r>
  <r>
    <n v="274"/>
    <s v="JOSE"/>
    <s v="JOSE@gmail.com"/>
    <s v="COLOMBIA"/>
    <x v="1"/>
    <s v="Trabajo"/>
    <s v="Ofreciendo trabajo"/>
    <x v="1"/>
    <n v="9"/>
    <x v="3"/>
    <s v="$ - "/>
    <s v=" $ - "/>
    <n v="29366791"/>
    <n v="89805774"/>
  </r>
  <r>
    <n v="275"/>
    <s v="ARTURO"/>
    <s v="ARTURO@gmail.com"/>
    <s v="BRASIL"/>
    <x v="1"/>
    <s v="Trabajo"/>
    <s v="Buscando trabajo"/>
    <x v="1"/>
    <n v="3"/>
    <x v="2"/>
    <s v="$ - "/>
    <s v=" $ - "/>
    <n v="73195518"/>
    <n v="10695678"/>
  </r>
  <r>
    <n v="276"/>
    <s v="LUCAS"/>
    <s v="LUCAS@gmail.com"/>
    <s v="COLOMBIA"/>
    <x v="1"/>
    <s v="Trabajo"/>
    <s v="Buscando trabajo"/>
    <x v="0"/>
    <n v="6"/>
    <x v="3"/>
    <s v="$ - "/>
    <s v=" $ - "/>
    <n v="1432950"/>
    <n v="29672451"/>
  </r>
  <r>
    <n v="277"/>
    <s v="LUIS"/>
    <s v="LUIS@gmail.com"/>
    <s v="COLOMBIA"/>
    <x v="1"/>
    <s v="Inversión"/>
    <s v="Socio capitalista"/>
    <x v="1"/>
    <n v="9"/>
    <x v="1"/>
    <n v="1000000"/>
    <n v="77159264"/>
    <s v=" $ - "/>
    <n v="97234303"/>
  </r>
  <r>
    <n v="278"/>
    <s v="JULIAN"/>
    <s v="JULIAN@gmail.com"/>
    <s v="COLOMBIA"/>
    <x v="1"/>
    <s v="Inversión"/>
    <s v="Socio capitalista"/>
    <x v="0"/>
    <n v="8"/>
    <x v="2"/>
    <n v="100000000"/>
    <n v="12451199"/>
    <n v="74231711"/>
    <n v="42951226"/>
  </r>
  <r>
    <n v="279"/>
    <s v="TOMAS"/>
    <s v="TOMAS@gmail.com"/>
    <s v="COLOMBIA"/>
    <x v="2"/>
    <s v="Inversión"/>
    <s v="Socio capitalista"/>
    <x v="1"/>
    <n v="8"/>
    <x v="1"/>
    <n v="90000000"/>
    <n v="13287929"/>
    <n v="27090183"/>
    <n v="79518711"/>
  </r>
  <r>
    <n v="280"/>
    <s v="DOMINGO"/>
    <s v="DOMINGO@gmail.com"/>
    <s v="COLOMBIA"/>
    <x v="0"/>
    <s v="Conocimiento"/>
    <s v="Académico"/>
    <x v="0"/>
    <n v="6"/>
    <x v="8"/>
    <s v="$ - "/>
    <s v=" $ - "/>
    <n v="20898506"/>
    <n v="24525645"/>
  </r>
  <r>
    <n v="281"/>
    <s v="DARIO"/>
    <s v="DARIO@gmail.com"/>
    <s v="COLOMBIA"/>
    <x v="1"/>
    <s v="Inversión"/>
    <s v="Socio capitalista"/>
    <x v="0"/>
    <n v="3"/>
    <x v="5"/>
    <n v="5000000"/>
    <n v="37959268"/>
    <n v="69132389"/>
    <n v="99564796"/>
  </r>
  <r>
    <n v="282"/>
    <s v="GABRIEL"/>
    <s v="GABRIEL@gmail.com"/>
    <s v="COLOMBIA"/>
    <x v="1"/>
    <s v="Trabajo"/>
    <s v="Buscando trabajo"/>
    <x v="1"/>
    <n v="6"/>
    <x v="6"/>
    <s v="$ - "/>
    <s v=" $ - "/>
    <n v="26450622"/>
    <n v="4227264"/>
  </r>
  <r>
    <n v="283"/>
    <s v="ANDRÉS"/>
    <s v="ANDRÉS@gmail.com"/>
    <s v="COLOMBIA"/>
    <x v="1"/>
    <s v="Trabajo"/>
    <s v="Buscando trabajo"/>
    <x v="1"/>
    <n v="6"/>
    <x v="1"/>
    <s v="$ - "/>
    <s v=" $ - "/>
    <s v=" $ - "/>
    <n v="54376640"/>
  </r>
  <r>
    <n v="284"/>
    <s v="JUAN PABLO"/>
    <s v="JUAN PABLO@gmail.com"/>
    <s v="COLOMBIA"/>
    <x v="1"/>
    <s v="Inversión"/>
    <s v="Socio de proyecto"/>
    <x v="0"/>
    <n v="8"/>
    <x v="2"/>
    <n v="90000000"/>
    <n v="29991873"/>
    <n v="39252741"/>
    <n v="15542722"/>
  </r>
  <r>
    <n v="285"/>
    <s v="ROBERTO"/>
    <s v="ROBERTO@gmail.com"/>
    <s v="COLOMBIA"/>
    <x v="1"/>
    <s v="Inversión"/>
    <s v="Socio de proyecto"/>
    <x v="0"/>
    <n v="5"/>
    <x v="3"/>
    <n v="10000000"/>
    <n v="7303129"/>
    <n v="3765621"/>
    <n v="18125151"/>
  </r>
  <r>
    <n v="286"/>
    <s v="EMILIO"/>
    <s v="EMILIO@gmail.com"/>
    <s v="COLOMBIA"/>
    <x v="1"/>
    <s v="Inversión"/>
    <s v="Socio de proyecto"/>
    <x v="0"/>
    <n v="9"/>
    <x v="5"/>
    <n v="30000000"/>
    <n v="44457754"/>
    <s v=" $ - "/>
    <n v="62249765"/>
  </r>
  <r>
    <n v="287"/>
    <s v="LEONEL"/>
    <s v="LEONEL@gmail.com"/>
    <s v="COLOMBIA"/>
    <x v="1"/>
    <s v="Inversión"/>
    <s v="Socio capitalista"/>
    <x v="0"/>
    <n v="4"/>
    <x v="1"/>
    <n v="10000000"/>
    <n v="54467236"/>
    <s v=" $ - "/>
    <n v="1234692"/>
  </r>
  <r>
    <n v="288"/>
    <s v="JOAN"/>
    <s v="JOAN@gmail.com"/>
    <s v="COLOMBIA"/>
    <x v="1"/>
    <s v="Inversión"/>
    <s v="Socio de proyecto"/>
    <x v="0"/>
    <n v="4"/>
    <x v="6"/>
    <n v="10000000"/>
    <n v="17991607"/>
    <s v=" $ - "/>
    <n v="174626"/>
  </r>
  <r>
    <n v="289"/>
    <s v="SERGIO"/>
    <s v="SERGIO@gmail.com"/>
    <s v="COLOMBIA"/>
    <x v="1"/>
    <s v="Trabajo"/>
    <s v="Ofreciendo trabajo"/>
    <x v="0"/>
    <n v="9"/>
    <x v="5"/>
    <s v="$ - "/>
    <s v=" $ - "/>
    <n v="24965127"/>
    <n v="41129782"/>
  </r>
  <r>
    <n v="290"/>
    <s v="EUGENIO"/>
    <s v="EUGENIO@gmail.com"/>
    <s v="COLOMBIA"/>
    <x v="2"/>
    <s v="Inversión"/>
    <s v="Socio de proyecto"/>
    <x v="0"/>
    <n v="6"/>
    <x v="3"/>
    <n v="1000000"/>
    <n v="87347043"/>
    <n v="50796112"/>
    <n v="72757830"/>
  </r>
  <r>
    <n v="291"/>
    <s v="SEBASTIAN"/>
    <s v="SEBASTIAN@gmail.com"/>
    <s v="BRASIL"/>
    <x v="4"/>
    <s v="Trabajo"/>
    <s v="Buscando trabajo"/>
    <x v="0"/>
    <n v="8"/>
    <x v="2"/>
    <s v="$ - "/>
    <s v=" $ - "/>
    <n v="38721754"/>
    <n v="77230635"/>
  </r>
  <r>
    <n v="292"/>
    <s v="SAMUEL"/>
    <s v="SAMUEL@gmail.com"/>
    <s v="COLOMBIA"/>
    <x v="1"/>
    <s v="Inversión"/>
    <s v="Socio de proyecto"/>
    <x v="0"/>
    <n v="6"/>
    <x v="3"/>
    <n v="10000000"/>
    <n v="43538967"/>
    <n v="5161300"/>
    <n v="85417673"/>
  </r>
  <r>
    <n v="293"/>
    <s v="ENRIQUE"/>
    <s v="ENRIQUE@gmail.com"/>
    <s v="ECUADOR"/>
    <x v="1"/>
    <s v="Inversión"/>
    <s v="Socio de proyecto"/>
    <x v="1"/>
    <n v="7"/>
    <x v="2"/>
    <n v="1000000"/>
    <n v="95899452"/>
    <n v="2565664"/>
    <n v="39602953"/>
  </r>
  <r>
    <n v="294"/>
    <s v="DIEGO"/>
    <s v="DIEGO@gmail.com"/>
    <s v="BRASIL"/>
    <x v="1"/>
    <s v="Inversión"/>
    <s v="Socio de proyecto"/>
    <x v="1"/>
    <n v="5"/>
    <x v="2"/>
    <n v="1000000"/>
    <n v="81347428"/>
    <n v="10860215"/>
    <n v="28637290"/>
  </r>
  <r>
    <n v="295"/>
    <s v="PEDRO"/>
    <s v="PEDRO@gmail.com"/>
    <s v="URUGUAY"/>
    <x v="4"/>
    <s v="Inversión"/>
    <s v="Socio de proyecto"/>
    <x v="1"/>
    <n v="3"/>
    <x v="2"/>
    <n v="30000000"/>
    <n v="52442860"/>
    <n v="2659881"/>
    <n v="80287314"/>
  </r>
  <r>
    <n v="296"/>
    <s v="ALBERT"/>
    <s v="ALBERT@gmail.com"/>
    <s v="COLOMBIA"/>
    <x v="1"/>
    <s v="Inversión"/>
    <s v="Socio de proyecto"/>
    <x v="1"/>
    <n v="7"/>
    <x v="1"/>
    <n v="10000000"/>
    <n v="96199053"/>
    <n v="31746355"/>
    <n v="80063468"/>
  </r>
  <r>
    <n v="297"/>
    <s v="JORGE"/>
    <s v="JORGE@gmail.com"/>
    <s v="COLOMBIA"/>
    <x v="1"/>
    <s v="Inversión"/>
    <s v="Socio de proyecto"/>
    <x v="0"/>
    <n v="5"/>
    <x v="1"/>
    <n v="1000000"/>
    <n v="71783742"/>
    <n v="64667814"/>
    <n v="70653180"/>
  </r>
  <r>
    <n v="298"/>
    <s v="RAMON"/>
    <s v="RAMON@gmail.com"/>
    <s v="COLOMBIA"/>
    <x v="4"/>
    <s v="Inversión"/>
    <s v="Socio de proyecto"/>
    <x v="0"/>
    <n v="9"/>
    <x v="1"/>
    <n v="90000000"/>
    <n v="94913746"/>
    <n v="74083223"/>
    <n v="31617670"/>
  </r>
  <r>
    <n v="299"/>
    <s v="HUGO"/>
    <s v="HUGO@gmail.com"/>
    <s v="CHILE"/>
    <x v="4"/>
    <s v="Trabajo"/>
    <s v="Ofreciendo trabajo"/>
    <x v="0"/>
    <n v="6"/>
    <x v="3"/>
    <s v="$ - "/>
    <s v=" $ - "/>
    <n v="67753952"/>
    <n v="77205812"/>
  </r>
  <r>
    <n v="300"/>
    <s v="MARIA"/>
    <s v="MARIA@gmail.com"/>
    <s v="COLOMBIA"/>
    <x v="1"/>
    <s v="Inversión"/>
    <s v="Socio de proyecto"/>
    <x v="1"/>
    <n v="7"/>
    <x v="5"/>
    <n v="30000000"/>
    <n v="33477783"/>
    <s v=" $ - "/>
    <n v="27651635"/>
  </r>
  <r>
    <n v="301"/>
    <s v="FELIX"/>
    <s v="FELIX@gmail.com"/>
    <s v="COLOMBIA"/>
    <x v="2"/>
    <s v="Inversión"/>
    <s v="Socio capitalista"/>
    <x v="1"/>
    <n v="5"/>
    <x v="2"/>
    <n v="50000000"/>
    <n v="2702447"/>
    <s v=" $ - "/>
    <n v="44671760"/>
  </r>
  <r>
    <n v="302"/>
    <s v="VICTOR"/>
    <s v="VICTOR@gmail.com"/>
    <s v="BOLIVIA"/>
    <x v="1"/>
    <s v="Inversión"/>
    <s v="Socio capitalista"/>
    <x v="0"/>
    <n v="4"/>
    <x v="0"/>
    <n v="50000000"/>
    <n v="70787848"/>
    <n v="33368202"/>
    <n v="43277527"/>
  </r>
  <r>
    <n v="303"/>
    <s v="JORDI"/>
    <s v="JORDI@gmail.com"/>
    <s v="COLOMBIA"/>
    <x v="1"/>
    <s v="Trabajo"/>
    <s v="Ofreciendo trabajo"/>
    <x v="1"/>
    <n v="7"/>
    <x v="2"/>
    <s v="$ - "/>
    <s v=" $ - "/>
    <n v="46563396"/>
    <n v="63313535"/>
  </r>
  <r>
    <n v="304"/>
    <s v="MARIA MÓNICA"/>
    <s v="MARIA MÓNICA@gmail.com"/>
    <s v="COLOMBIA"/>
    <x v="1"/>
    <s v="Inversión"/>
    <s v="Socio capitalista"/>
    <x v="0"/>
    <n v="3"/>
    <x v="5"/>
    <n v="20000000"/>
    <n v="40064620"/>
    <n v="98137438"/>
    <s v=" $ - "/>
  </r>
  <r>
    <n v="305"/>
    <s v="CRISTOBAL"/>
    <s v="CRISTOBAL@gmail.com"/>
    <s v="COLOMBIA"/>
    <x v="1"/>
    <s v="Inversión"/>
    <s v="Socio de proyecto"/>
    <x v="0"/>
    <n v="3"/>
    <x v="1"/>
    <n v="30000000"/>
    <n v="45289360"/>
    <s v=" $ - "/>
    <n v="46980526"/>
  </r>
  <r>
    <n v="306"/>
    <s v="NICOLAS"/>
    <s v="NICOLAS@gmail.com"/>
    <s v="COLOMBIA"/>
    <x v="4"/>
    <s v="Inversión"/>
    <s v="Socio de proyecto"/>
    <x v="0"/>
    <n v="7"/>
    <x v="0"/>
    <n v="30000000"/>
    <n v="34397393"/>
    <n v="72192037"/>
    <n v="21247716"/>
  </r>
  <r>
    <n v="307"/>
    <s v="FELIPE"/>
    <s v="FELIPE@gmail.com"/>
    <s v="COLOMBIA"/>
    <x v="1"/>
    <s v="Trabajo"/>
    <s v="Buscando trabajo"/>
    <x v="1"/>
    <n v="5"/>
    <x v="3"/>
    <s v="$ - "/>
    <s v=" $ - "/>
    <n v="69870077"/>
    <n v="98441580"/>
  </r>
  <r>
    <n v="308"/>
    <s v="ISMAEL"/>
    <s v="ISMAEL@gmail.com"/>
    <s v="COLOMBIA"/>
    <x v="4"/>
    <s v="Inversión"/>
    <s v="Socio de proyecto"/>
    <x v="0"/>
    <n v="9"/>
    <x v="6"/>
    <n v="1000000"/>
    <n v="34126405"/>
    <n v="88265167"/>
    <n v="56002928"/>
  </r>
  <r>
    <n v="309"/>
    <s v="ALEJANDRO"/>
    <s v="ALEJANDRO@gmail.com"/>
    <s v="COLOMBIA"/>
    <x v="1"/>
    <s v="Inversión"/>
    <s v="Socio capitalista"/>
    <x v="0"/>
    <n v="4"/>
    <x v="3"/>
    <n v="1000000"/>
    <n v="53008255"/>
    <n v="46917910"/>
    <n v="47557281"/>
  </r>
  <r>
    <n v="310"/>
    <s v="MATEO"/>
    <s v="MATEO@gmail.com"/>
    <s v="COLOMBIA"/>
    <x v="1"/>
    <s v="Trabajo"/>
    <s v="Buscando trabajo"/>
    <x v="0"/>
    <n v="5"/>
    <x v="0"/>
    <s v="$ - "/>
    <s v=" $ - "/>
    <s v=" $ - "/>
    <n v="22675260"/>
  </r>
  <r>
    <n v="311"/>
    <s v="CRISTIAN"/>
    <s v="CRISTIAN@gmail.com"/>
    <s v="PERU"/>
    <x v="1"/>
    <s v="Inversión"/>
    <s v="Socio capitalista"/>
    <x v="0"/>
    <n v="3"/>
    <x v="5"/>
    <n v="100000000"/>
    <n v="94688720"/>
    <n v="86323763"/>
    <n v="20929788"/>
  </r>
  <r>
    <n v="312"/>
    <s v="DAVID"/>
    <s v="DAVID@gmail.com"/>
    <s v="BRASIL"/>
    <x v="0"/>
    <s v="Conocimiento"/>
    <s v="Académico"/>
    <x v="0"/>
    <n v="3"/>
    <x v="6"/>
    <s v="$ - "/>
    <s v=" $ - "/>
    <n v="96750826"/>
    <n v="31435769"/>
  </r>
  <r>
    <n v="313"/>
    <s v="SALVADOR"/>
    <s v="SALVADOR@gmail.com"/>
    <s v="COLOMBIA"/>
    <x v="4"/>
    <s v="Inversión"/>
    <s v="Socio capitalista"/>
    <x v="0"/>
    <n v="5"/>
    <x v="6"/>
    <n v="10000000"/>
    <n v="89686683"/>
    <n v="62448793"/>
    <n v="26812600"/>
  </r>
  <r>
    <n v="314"/>
    <s v="ALFREDO"/>
    <s v="ALFREDO@gmail.com"/>
    <s v="COLOMBIA"/>
    <x v="1"/>
    <s v="Inversión"/>
    <s v="Socio de proyecto"/>
    <x v="0"/>
    <n v="7"/>
    <x v="5"/>
    <n v="30000000"/>
    <n v="32890743"/>
    <s v=" $ - "/>
    <n v="39864620"/>
  </r>
  <r>
    <n v="315"/>
    <s v="OSCAR"/>
    <s v="OSCAR@gmail.com"/>
    <s v="COLOMBIA"/>
    <x v="4"/>
    <s v="Inversión"/>
    <s v="Socio capitalista"/>
    <x v="0"/>
    <n v="7"/>
    <x v="3"/>
    <n v="10000000"/>
    <n v="32370896"/>
    <n v="96066942"/>
    <n v="3767736"/>
  </r>
  <r>
    <n v="316"/>
    <s v="JUAN"/>
    <s v="JUAN@gmail.com"/>
    <s v="COLOMBIA"/>
    <x v="4"/>
    <s v="Trabajo"/>
    <s v="Ofreciendo trabajo"/>
    <x v="0"/>
    <n v="5"/>
    <x v="6"/>
    <s v="$ - "/>
    <s v=" $ - "/>
    <n v="24514428"/>
    <n v="27890231"/>
  </r>
  <r>
    <n v="317"/>
    <s v="IVAN"/>
    <s v="IVAN@gmail.com"/>
    <s v="COLOMBIA"/>
    <x v="1"/>
    <s v="Inversión"/>
    <s v="Socio capitalista"/>
    <x v="1"/>
    <n v="7"/>
    <x v="2"/>
    <n v="10000000"/>
    <n v="31953589"/>
    <n v="40068224"/>
    <n v="80951038"/>
  </r>
  <r>
    <n v="318"/>
    <s v="ALEXANDER"/>
    <s v="ALEXANDER@gmail.com"/>
    <s v="COLOMBIA"/>
    <x v="1"/>
    <s v="Inversión"/>
    <s v="Socio capitalista"/>
    <x v="0"/>
    <n v="8"/>
    <x v="3"/>
    <n v="50000000"/>
    <n v="78205651"/>
    <n v="62381180"/>
    <n v="6508585"/>
  </r>
  <r>
    <n v="319"/>
    <s v="JAIME"/>
    <s v="JAIME@gmail.com"/>
    <s v="URUGUAY"/>
    <x v="3"/>
    <s v="Trabajo"/>
    <s v="Buscando trabajo"/>
    <x v="0"/>
    <n v="3"/>
    <x v="5"/>
    <s v="$ - "/>
    <s v=" $ - "/>
    <n v="34584522"/>
    <s v=" $ - "/>
  </r>
  <r>
    <n v="320"/>
    <s v="HECTOR"/>
    <s v="HECTOR@gmail.com"/>
    <s v="COLOMBIA"/>
    <x v="1"/>
    <s v="Conocimiento"/>
    <s v="Otro tipo"/>
    <x v="0"/>
    <n v="8"/>
    <x v="0"/>
    <s v="$ - "/>
    <s v=" $ - "/>
    <n v="76942676"/>
    <n v="7421669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33">
  <r>
    <n v="1001"/>
    <x v="0"/>
    <x v="0"/>
    <x v="0"/>
    <x v="0"/>
    <n v="9"/>
    <n v="110"/>
    <n v="990"/>
    <n v="55"/>
    <x v="0"/>
  </r>
  <r>
    <n v="1002"/>
    <x v="1"/>
    <x v="1"/>
    <x v="0"/>
    <x v="1"/>
    <n v="1"/>
    <n v="300"/>
    <n v="300"/>
    <n v="150"/>
    <x v="1"/>
  </r>
  <r>
    <n v="1003"/>
    <x v="2"/>
    <x v="2"/>
    <x v="1"/>
    <x v="2"/>
    <n v="8"/>
    <n v="10"/>
    <n v="80"/>
    <n v="5"/>
    <x v="2"/>
  </r>
  <r>
    <n v="1004"/>
    <x v="2"/>
    <x v="2"/>
    <x v="1"/>
    <x v="1"/>
    <n v="1"/>
    <n v="568.66999999999996"/>
    <n v="568.66999999999996"/>
    <n v="284.33"/>
    <x v="3"/>
  </r>
  <r>
    <n v="1005"/>
    <x v="3"/>
    <x v="2"/>
    <x v="0"/>
    <x v="3"/>
    <n v="7"/>
    <n v="35"/>
    <n v="245"/>
    <n v="17.5"/>
    <x v="4"/>
  </r>
  <r>
    <n v="1006"/>
    <x v="3"/>
    <x v="2"/>
    <x v="2"/>
    <x v="2"/>
    <n v="6"/>
    <n v="15"/>
    <n v="90"/>
    <n v="7.5"/>
    <x v="5"/>
  </r>
  <r>
    <n v="1007"/>
    <x v="3"/>
    <x v="1"/>
    <x v="1"/>
    <x v="1"/>
    <n v="1"/>
    <n v="562"/>
    <n v="562"/>
    <n v="281"/>
    <x v="6"/>
  </r>
  <r>
    <n v="1008"/>
    <x v="4"/>
    <x v="3"/>
    <x v="1"/>
    <x v="4"/>
    <n v="10"/>
    <n v="8"/>
    <n v="80"/>
    <n v="4"/>
    <x v="2"/>
  </r>
  <r>
    <n v="1009"/>
    <x v="4"/>
    <x v="1"/>
    <x v="2"/>
    <x v="2"/>
    <n v="12"/>
    <n v="17"/>
    <n v="204"/>
    <n v="8.5"/>
    <x v="7"/>
  </r>
  <r>
    <n v="1010"/>
    <x v="4"/>
    <x v="4"/>
    <x v="1"/>
    <x v="0"/>
    <n v="1"/>
    <n v="47"/>
    <n v="47"/>
    <n v="23.5"/>
    <x v="8"/>
  </r>
  <r>
    <n v="1011"/>
    <x v="4"/>
    <x v="2"/>
    <x v="3"/>
    <x v="2"/>
    <n v="13"/>
    <n v="10"/>
    <n v="130"/>
    <n v="5"/>
    <x v="9"/>
  </r>
  <r>
    <n v="1012"/>
    <x v="5"/>
    <x v="2"/>
    <x v="3"/>
    <x v="2"/>
    <n v="5"/>
    <n v="6"/>
    <n v="30"/>
    <n v="3"/>
    <x v="10"/>
  </r>
  <r>
    <n v="1013"/>
    <x v="5"/>
    <x v="1"/>
    <x v="4"/>
    <x v="4"/>
    <n v="4"/>
    <n v="6"/>
    <n v="24"/>
    <n v="3"/>
    <x v="11"/>
  </r>
  <r>
    <n v="1014"/>
    <x v="6"/>
    <x v="0"/>
    <x v="2"/>
    <x v="1"/>
    <n v="1"/>
    <n v="322.67"/>
    <n v="322.67"/>
    <n v="161.33000000000001"/>
    <x v="12"/>
  </r>
  <r>
    <n v="1015"/>
    <x v="7"/>
    <x v="2"/>
    <x v="4"/>
    <x v="3"/>
    <n v="4"/>
    <n v="47"/>
    <n v="188"/>
    <n v="23.5"/>
    <x v="13"/>
  </r>
  <r>
    <n v="1016"/>
    <x v="8"/>
    <x v="1"/>
    <x v="2"/>
    <x v="2"/>
    <n v="15"/>
    <n v="18"/>
    <n v="270"/>
    <n v="9"/>
    <x v="14"/>
  </r>
  <r>
    <n v="1017"/>
    <x v="8"/>
    <x v="0"/>
    <x v="2"/>
    <x v="3"/>
    <n v="1"/>
    <n v="25"/>
    <n v="25"/>
    <n v="12.5"/>
    <x v="15"/>
  </r>
  <r>
    <n v="1018"/>
    <x v="9"/>
    <x v="4"/>
    <x v="2"/>
    <x v="1"/>
    <n v="1"/>
    <n v="214.67"/>
    <n v="214.67"/>
    <n v="107.33"/>
    <x v="16"/>
  </r>
  <r>
    <n v="1019"/>
    <x v="9"/>
    <x v="0"/>
    <x v="2"/>
    <x v="1"/>
    <n v="1"/>
    <n v="123.33"/>
    <n v="123.33"/>
    <n v="61.67"/>
    <x v="17"/>
  </r>
  <r>
    <n v="1020"/>
    <x v="10"/>
    <x v="2"/>
    <x v="0"/>
    <x v="3"/>
    <n v="7"/>
    <n v="47"/>
    <n v="329"/>
    <n v="23.5"/>
    <x v="18"/>
  </r>
  <r>
    <n v="1021"/>
    <x v="11"/>
    <x v="2"/>
    <x v="3"/>
    <x v="4"/>
    <n v="9"/>
    <n v="7"/>
    <n v="63"/>
    <n v="3.5"/>
    <x v="19"/>
  </r>
  <r>
    <n v="1022"/>
    <x v="11"/>
    <x v="0"/>
    <x v="0"/>
    <x v="2"/>
    <n v="1"/>
    <n v="27"/>
    <n v="27"/>
    <n v="13.5"/>
    <x v="20"/>
  </r>
  <r>
    <n v="1023"/>
    <x v="11"/>
    <x v="3"/>
    <x v="0"/>
    <x v="4"/>
    <n v="5"/>
    <n v="8"/>
    <n v="40"/>
    <n v="4"/>
    <x v="21"/>
  </r>
  <r>
    <n v="1024"/>
    <x v="12"/>
    <x v="1"/>
    <x v="0"/>
    <x v="1"/>
    <n v="1"/>
    <n v="451.33"/>
    <n v="451.33"/>
    <n v="225.67"/>
    <x v="22"/>
  </r>
  <r>
    <n v="1025"/>
    <x v="13"/>
    <x v="2"/>
    <x v="1"/>
    <x v="2"/>
    <n v="13"/>
    <n v="19"/>
    <n v="247"/>
    <n v="9.5"/>
    <x v="23"/>
  </r>
  <r>
    <n v="1026"/>
    <x v="14"/>
    <x v="1"/>
    <x v="2"/>
    <x v="2"/>
    <n v="8"/>
    <n v="14"/>
    <n v="112"/>
    <n v="7"/>
    <x v="24"/>
  </r>
  <r>
    <n v="1027"/>
    <x v="14"/>
    <x v="0"/>
    <x v="0"/>
    <x v="4"/>
    <n v="3"/>
    <n v="7"/>
    <n v="21"/>
    <n v="3.5"/>
    <x v="25"/>
  </r>
  <r>
    <n v="1028"/>
    <x v="14"/>
    <x v="3"/>
    <x v="1"/>
    <x v="1"/>
    <n v="2"/>
    <n v="302.67"/>
    <n v="605.33000000000004"/>
    <n v="151.33000000000001"/>
    <x v="26"/>
  </r>
  <r>
    <n v="1029"/>
    <x v="15"/>
    <x v="3"/>
    <x v="3"/>
    <x v="1"/>
    <n v="2"/>
    <n v="228"/>
    <n v="456"/>
    <n v="114"/>
    <x v="27"/>
  </r>
  <r>
    <n v="1030"/>
    <x v="15"/>
    <x v="3"/>
    <x v="3"/>
    <x v="3"/>
    <n v="2"/>
    <n v="34"/>
    <n v="68"/>
    <n v="17"/>
    <x v="28"/>
  </r>
  <r>
    <n v="1031"/>
    <x v="16"/>
    <x v="0"/>
    <x v="2"/>
    <x v="1"/>
    <n v="2"/>
    <n v="118"/>
    <n v="236"/>
    <n v="59"/>
    <x v="29"/>
  </r>
  <r>
    <n v="1032"/>
    <x v="17"/>
    <x v="0"/>
    <x v="1"/>
    <x v="1"/>
    <n v="2"/>
    <n v="471.33"/>
    <n v="942.67"/>
    <n v="235.67"/>
    <x v="30"/>
  </r>
  <r>
    <n v="1033"/>
    <x v="17"/>
    <x v="1"/>
    <x v="1"/>
    <x v="4"/>
    <n v="10"/>
    <n v="7"/>
    <n v="70"/>
    <n v="3.5"/>
    <x v="31"/>
  </r>
  <r>
    <n v="1034"/>
    <x v="18"/>
    <x v="0"/>
    <x v="2"/>
    <x v="4"/>
    <n v="7"/>
    <n v="8"/>
    <n v="56"/>
    <n v="4"/>
    <x v="32"/>
  </r>
  <r>
    <n v="1035"/>
    <x v="19"/>
    <x v="0"/>
    <x v="3"/>
    <x v="3"/>
    <n v="3"/>
    <n v="41"/>
    <n v="123"/>
    <n v="20.5"/>
    <x v="33"/>
  </r>
  <r>
    <n v="1036"/>
    <x v="20"/>
    <x v="4"/>
    <x v="1"/>
    <x v="3"/>
    <n v="5"/>
    <n v="35"/>
    <n v="175"/>
    <n v="17.5"/>
    <x v="34"/>
  </r>
  <r>
    <n v="1037"/>
    <x v="20"/>
    <x v="0"/>
    <x v="3"/>
    <x v="2"/>
    <n v="4"/>
    <n v="8"/>
    <n v="32"/>
    <n v="4"/>
    <x v="35"/>
  </r>
  <r>
    <n v="1038"/>
    <x v="21"/>
    <x v="3"/>
    <x v="2"/>
    <x v="1"/>
    <n v="1"/>
    <n v="178"/>
    <n v="178"/>
    <n v="89"/>
    <x v="36"/>
  </r>
  <r>
    <n v="1039"/>
    <x v="22"/>
    <x v="1"/>
    <x v="4"/>
    <x v="4"/>
    <n v="2"/>
    <n v="10"/>
    <n v="20"/>
    <n v="5"/>
    <x v="37"/>
  </r>
  <r>
    <n v="1040"/>
    <x v="23"/>
    <x v="3"/>
    <x v="0"/>
    <x v="4"/>
    <n v="6"/>
    <n v="10"/>
    <n v="60"/>
    <n v="5"/>
    <x v="38"/>
  </r>
  <r>
    <n v="1041"/>
    <x v="24"/>
    <x v="3"/>
    <x v="2"/>
    <x v="1"/>
    <n v="2"/>
    <n v="230"/>
    <n v="460"/>
    <n v="115"/>
    <x v="39"/>
  </r>
  <r>
    <n v="1042"/>
    <x v="24"/>
    <x v="4"/>
    <x v="0"/>
    <x v="2"/>
    <n v="2"/>
    <n v="25"/>
    <n v="50"/>
    <n v="12.5"/>
    <x v="40"/>
  </r>
  <r>
    <n v="1043"/>
    <x v="24"/>
    <x v="3"/>
    <x v="0"/>
    <x v="2"/>
    <n v="1"/>
    <n v="30"/>
    <n v="30"/>
    <n v="15"/>
    <x v="10"/>
  </r>
  <r>
    <n v="1044"/>
    <x v="25"/>
    <x v="0"/>
    <x v="3"/>
    <x v="0"/>
    <n v="8"/>
    <n v="25"/>
    <n v="200"/>
    <n v="12.5"/>
    <x v="41"/>
  </r>
  <r>
    <n v="1045"/>
    <x v="26"/>
    <x v="3"/>
    <x v="1"/>
    <x v="1"/>
    <n v="1"/>
    <n v="146"/>
    <n v="146"/>
    <n v="73"/>
    <x v="42"/>
  </r>
  <r>
    <n v="1046"/>
    <x v="26"/>
    <x v="2"/>
    <x v="0"/>
    <x v="2"/>
    <n v="14"/>
    <n v="39"/>
    <n v="546"/>
    <n v="19.5"/>
    <x v="43"/>
  </r>
  <r>
    <n v="1047"/>
    <x v="26"/>
    <x v="4"/>
    <x v="1"/>
    <x v="1"/>
    <n v="2"/>
    <n v="328"/>
    <n v="656"/>
    <n v="164"/>
    <x v="44"/>
  </r>
  <r>
    <n v="1048"/>
    <x v="27"/>
    <x v="2"/>
    <x v="4"/>
    <x v="4"/>
    <n v="8"/>
    <n v="7"/>
    <n v="56"/>
    <n v="3.5"/>
    <x v="32"/>
  </r>
  <r>
    <n v="1049"/>
    <x v="28"/>
    <x v="2"/>
    <x v="0"/>
    <x v="4"/>
    <n v="9"/>
    <n v="10"/>
    <n v="90"/>
    <n v="5"/>
    <x v="5"/>
  </r>
  <r>
    <n v="1050"/>
    <x v="28"/>
    <x v="2"/>
    <x v="3"/>
    <x v="1"/>
    <n v="2"/>
    <n v="270.67"/>
    <n v="541.33000000000004"/>
    <n v="135.33000000000001"/>
    <x v="45"/>
  </r>
  <r>
    <n v="1051"/>
    <x v="28"/>
    <x v="2"/>
    <x v="4"/>
    <x v="3"/>
    <n v="1"/>
    <n v="38"/>
    <n v="38"/>
    <n v="19"/>
    <x v="46"/>
  </r>
  <r>
    <n v="1052"/>
    <x v="29"/>
    <x v="4"/>
    <x v="3"/>
    <x v="4"/>
    <n v="6"/>
    <n v="10"/>
    <n v="60"/>
    <n v="5"/>
    <x v="38"/>
  </r>
  <r>
    <n v="1053"/>
    <x v="29"/>
    <x v="0"/>
    <x v="2"/>
    <x v="3"/>
    <n v="5"/>
    <n v="25"/>
    <n v="125"/>
    <n v="12.5"/>
    <x v="47"/>
  </r>
  <r>
    <n v="1054"/>
    <x v="30"/>
    <x v="4"/>
    <x v="3"/>
    <x v="4"/>
    <n v="10"/>
    <n v="8"/>
    <n v="80"/>
    <n v="4"/>
    <x v="2"/>
  </r>
  <r>
    <n v="1055"/>
    <x v="30"/>
    <x v="2"/>
    <x v="0"/>
    <x v="2"/>
    <n v="20"/>
    <n v="28"/>
    <n v="560"/>
    <n v="14"/>
    <x v="48"/>
  </r>
  <r>
    <n v="1056"/>
    <x v="31"/>
    <x v="0"/>
    <x v="1"/>
    <x v="4"/>
    <n v="9"/>
    <n v="8"/>
    <n v="72"/>
    <n v="4"/>
    <x v="49"/>
  </r>
  <r>
    <n v="1057"/>
    <x v="32"/>
    <x v="4"/>
    <x v="2"/>
    <x v="0"/>
    <n v="7"/>
    <n v="84"/>
    <n v="588"/>
    <n v="42"/>
    <x v="50"/>
  </r>
  <r>
    <n v="1058"/>
    <x v="33"/>
    <x v="1"/>
    <x v="3"/>
    <x v="3"/>
    <n v="3"/>
    <n v="31"/>
    <n v="93"/>
    <n v="15.5"/>
    <x v="51"/>
  </r>
  <r>
    <n v="1059"/>
    <x v="33"/>
    <x v="1"/>
    <x v="2"/>
    <x v="4"/>
    <n v="8"/>
    <n v="8"/>
    <n v="64"/>
    <n v="4"/>
    <x v="52"/>
  </r>
  <r>
    <n v="1060"/>
    <x v="34"/>
    <x v="4"/>
    <x v="4"/>
    <x v="1"/>
    <n v="2"/>
    <n v="524.1"/>
    <n v="1048.21"/>
    <n v="262.05"/>
    <x v="53"/>
  </r>
  <r>
    <n v="1061"/>
    <x v="34"/>
    <x v="0"/>
    <x v="1"/>
    <x v="4"/>
    <n v="2"/>
    <n v="5"/>
    <n v="10"/>
    <n v="2.5"/>
    <x v="54"/>
  </r>
  <r>
    <n v="1062"/>
    <x v="35"/>
    <x v="4"/>
    <x v="2"/>
    <x v="1"/>
    <n v="1"/>
    <n v="180"/>
    <n v="180"/>
    <n v="90"/>
    <x v="55"/>
  </r>
  <r>
    <n v="1063"/>
    <x v="36"/>
    <x v="3"/>
    <x v="2"/>
    <x v="4"/>
    <n v="10"/>
    <n v="7"/>
    <n v="70"/>
    <n v="3.5"/>
    <x v="31"/>
  </r>
  <r>
    <n v="1064"/>
    <x v="36"/>
    <x v="3"/>
    <x v="0"/>
    <x v="3"/>
    <n v="5"/>
    <n v="32"/>
    <n v="160"/>
    <n v="16"/>
    <x v="56"/>
  </r>
  <r>
    <n v="1065"/>
    <x v="36"/>
    <x v="2"/>
    <x v="0"/>
    <x v="3"/>
    <n v="5"/>
    <n v="28"/>
    <n v="140"/>
    <n v="14"/>
    <x v="57"/>
  </r>
  <r>
    <n v="1066"/>
    <x v="37"/>
    <x v="0"/>
    <x v="0"/>
    <x v="1"/>
    <n v="1"/>
    <n v="438.67"/>
    <n v="438.67"/>
    <n v="219.33"/>
    <x v="58"/>
  </r>
  <r>
    <n v="1067"/>
    <x v="38"/>
    <x v="1"/>
    <x v="2"/>
    <x v="0"/>
    <n v="7"/>
    <n v="86"/>
    <n v="602"/>
    <n v="43"/>
    <x v="59"/>
  </r>
  <r>
    <n v="1068"/>
    <x v="38"/>
    <x v="0"/>
    <x v="0"/>
    <x v="1"/>
    <n v="2"/>
    <n v="368.67"/>
    <n v="737.33"/>
    <n v="184.33"/>
    <x v="60"/>
  </r>
  <r>
    <n v="1069"/>
    <x v="39"/>
    <x v="0"/>
    <x v="0"/>
    <x v="2"/>
    <n v="16"/>
    <n v="30"/>
    <n v="480"/>
    <n v="15"/>
    <x v="61"/>
  </r>
  <r>
    <n v="1070"/>
    <x v="40"/>
    <x v="0"/>
    <x v="4"/>
    <x v="3"/>
    <n v="7"/>
    <n v="43"/>
    <n v="301"/>
    <n v="21.5"/>
    <x v="62"/>
  </r>
  <r>
    <n v="1071"/>
    <x v="41"/>
    <x v="3"/>
    <x v="3"/>
    <x v="3"/>
    <n v="1"/>
    <n v="43"/>
    <n v="43"/>
    <n v="21.5"/>
    <x v="63"/>
  </r>
  <r>
    <n v="1072"/>
    <x v="42"/>
    <x v="2"/>
    <x v="3"/>
    <x v="1"/>
    <n v="2"/>
    <n v="172"/>
    <n v="344"/>
    <n v="86"/>
    <x v="64"/>
  </r>
  <r>
    <n v="1073"/>
    <x v="43"/>
    <x v="4"/>
    <x v="1"/>
    <x v="0"/>
    <n v="6"/>
    <n v="24"/>
    <n v="144"/>
    <n v="12"/>
    <x v="65"/>
  </r>
  <r>
    <n v="1074"/>
    <x v="44"/>
    <x v="2"/>
    <x v="1"/>
    <x v="4"/>
    <n v="2"/>
    <n v="6"/>
    <n v="12"/>
    <n v="3"/>
    <x v="66"/>
  </r>
  <r>
    <n v="1075"/>
    <x v="45"/>
    <x v="0"/>
    <x v="2"/>
    <x v="4"/>
    <n v="8"/>
    <n v="7"/>
    <n v="56"/>
    <n v="3.5"/>
    <x v="32"/>
  </r>
  <r>
    <n v="1076"/>
    <x v="45"/>
    <x v="0"/>
    <x v="0"/>
    <x v="1"/>
    <n v="1"/>
    <n v="454.67"/>
    <n v="454.67"/>
    <n v="227.33"/>
    <x v="67"/>
  </r>
  <r>
    <n v="1077"/>
    <x v="46"/>
    <x v="4"/>
    <x v="0"/>
    <x v="1"/>
    <n v="1"/>
    <n v="531.33000000000004"/>
    <n v="531.33000000000004"/>
    <n v="265.67"/>
    <x v="68"/>
  </r>
  <r>
    <n v="1078"/>
    <x v="47"/>
    <x v="1"/>
    <x v="2"/>
    <x v="4"/>
    <n v="5"/>
    <n v="8"/>
    <n v="40"/>
    <n v="4"/>
    <x v="21"/>
  </r>
  <r>
    <n v="1079"/>
    <x v="48"/>
    <x v="2"/>
    <x v="4"/>
    <x v="4"/>
    <n v="7"/>
    <n v="9"/>
    <n v="63"/>
    <n v="4.5"/>
    <x v="19"/>
  </r>
  <r>
    <n v="1080"/>
    <x v="48"/>
    <x v="4"/>
    <x v="0"/>
    <x v="4"/>
    <n v="2"/>
    <n v="5"/>
    <n v="10"/>
    <n v="2.5"/>
    <x v="54"/>
  </r>
  <r>
    <n v="1081"/>
    <x v="49"/>
    <x v="0"/>
    <x v="1"/>
    <x v="4"/>
    <n v="5"/>
    <n v="10"/>
    <n v="50"/>
    <n v="5"/>
    <x v="40"/>
  </r>
  <r>
    <n v="1082"/>
    <x v="50"/>
    <x v="1"/>
    <x v="4"/>
    <x v="1"/>
    <n v="2"/>
    <n v="410.77"/>
    <n v="821.54"/>
    <n v="205.38"/>
    <x v="69"/>
  </r>
  <r>
    <n v="1083"/>
    <x v="51"/>
    <x v="0"/>
    <x v="2"/>
    <x v="4"/>
    <n v="8"/>
    <n v="8"/>
    <n v="64"/>
    <n v="4"/>
    <x v="52"/>
  </r>
  <r>
    <n v="1084"/>
    <x v="52"/>
    <x v="3"/>
    <x v="0"/>
    <x v="1"/>
    <n v="1"/>
    <n v="201.33"/>
    <n v="201.33"/>
    <n v="100.67"/>
    <x v="70"/>
  </r>
  <r>
    <n v="1085"/>
    <x v="52"/>
    <x v="2"/>
    <x v="3"/>
    <x v="2"/>
    <n v="1"/>
    <n v="9"/>
    <n v="9"/>
    <n v="4.5"/>
    <x v="71"/>
  </r>
  <r>
    <n v="1086"/>
    <x v="52"/>
    <x v="2"/>
    <x v="3"/>
    <x v="2"/>
    <n v="5"/>
    <n v="10"/>
    <n v="50"/>
    <n v="5"/>
    <x v="40"/>
  </r>
  <r>
    <n v="1087"/>
    <x v="53"/>
    <x v="1"/>
    <x v="1"/>
    <x v="4"/>
    <n v="8"/>
    <n v="10"/>
    <n v="80"/>
    <n v="5"/>
    <x v="2"/>
  </r>
  <r>
    <n v="1088"/>
    <x v="54"/>
    <x v="2"/>
    <x v="0"/>
    <x v="3"/>
    <n v="1"/>
    <n v="46"/>
    <n v="46"/>
    <n v="23"/>
    <x v="72"/>
  </r>
  <r>
    <n v="1089"/>
    <x v="54"/>
    <x v="3"/>
    <x v="3"/>
    <x v="3"/>
    <n v="1"/>
    <n v="37"/>
    <n v="37"/>
    <n v="18.5"/>
    <x v="73"/>
  </r>
  <r>
    <n v="1090"/>
    <x v="55"/>
    <x v="4"/>
    <x v="3"/>
    <x v="2"/>
    <n v="3"/>
    <n v="7"/>
    <n v="21"/>
    <n v="3.5"/>
    <x v="25"/>
  </r>
  <r>
    <n v="1091"/>
    <x v="56"/>
    <x v="2"/>
    <x v="3"/>
    <x v="0"/>
    <n v="3"/>
    <n v="27"/>
    <n v="81"/>
    <n v="13.5"/>
    <x v="74"/>
  </r>
  <r>
    <n v="1092"/>
    <x v="57"/>
    <x v="2"/>
    <x v="3"/>
    <x v="3"/>
    <n v="2"/>
    <n v="22"/>
    <n v="44"/>
    <n v="11"/>
    <x v="75"/>
  </r>
  <r>
    <n v="1093"/>
    <x v="58"/>
    <x v="2"/>
    <x v="2"/>
    <x v="4"/>
    <n v="8"/>
    <n v="6"/>
    <n v="48"/>
    <n v="3"/>
    <x v="76"/>
  </r>
  <r>
    <n v="1094"/>
    <x v="58"/>
    <x v="3"/>
    <x v="2"/>
    <x v="2"/>
    <n v="14"/>
    <n v="5"/>
    <n v="70"/>
    <n v="2.5"/>
    <x v="31"/>
  </r>
  <r>
    <n v="1095"/>
    <x v="59"/>
    <x v="4"/>
    <x v="2"/>
    <x v="3"/>
    <n v="5"/>
    <n v="32"/>
    <n v="160"/>
    <n v="16"/>
    <x v="56"/>
  </r>
  <r>
    <n v="1096"/>
    <x v="59"/>
    <x v="3"/>
    <x v="2"/>
    <x v="1"/>
    <n v="1"/>
    <n v="314"/>
    <n v="314"/>
    <n v="157"/>
    <x v="77"/>
  </r>
  <r>
    <n v="1097"/>
    <x v="60"/>
    <x v="2"/>
    <x v="4"/>
    <x v="1"/>
    <n v="2"/>
    <n v="536.91999999999996"/>
    <n v="1073.8499999999999"/>
    <n v="268.45999999999998"/>
    <x v="78"/>
  </r>
  <r>
    <n v="1098"/>
    <x v="60"/>
    <x v="4"/>
    <x v="3"/>
    <x v="4"/>
    <n v="6"/>
    <n v="5"/>
    <n v="30"/>
    <n v="2.5"/>
    <x v="10"/>
  </r>
  <r>
    <n v="1099"/>
    <x v="60"/>
    <x v="4"/>
    <x v="3"/>
    <x v="2"/>
    <n v="16"/>
    <n v="10"/>
    <n v="160"/>
    <n v="5"/>
    <x v="56"/>
  </r>
  <r>
    <n v="1100"/>
    <x v="61"/>
    <x v="2"/>
    <x v="2"/>
    <x v="0"/>
    <n v="2"/>
    <n v="84"/>
    <n v="168"/>
    <n v="42"/>
    <x v="79"/>
  </r>
  <r>
    <n v="1101"/>
    <x v="62"/>
    <x v="3"/>
    <x v="4"/>
    <x v="3"/>
    <n v="3"/>
    <n v="42"/>
    <n v="126"/>
    <n v="21"/>
    <x v="80"/>
  </r>
  <r>
    <n v="1102"/>
    <x v="62"/>
    <x v="4"/>
    <x v="3"/>
    <x v="3"/>
    <n v="4"/>
    <n v="35"/>
    <n v="140"/>
    <n v="17.5"/>
    <x v="57"/>
  </r>
  <r>
    <n v="1103"/>
    <x v="63"/>
    <x v="1"/>
    <x v="3"/>
    <x v="1"/>
    <n v="2"/>
    <n v="143.33000000000001"/>
    <n v="286.67"/>
    <n v="71.67"/>
    <x v="81"/>
  </r>
  <r>
    <n v="1104"/>
    <x v="64"/>
    <x v="1"/>
    <x v="3"/>
    <x v="3"/>
    <n v="2"/>
    <n v="24"/>
    <n v="48"/>
    <n v="12"/>
    <x v="76"/>
  </r>
  <r>
    <n v="1105"/>
    <x v="65"/>
    <x v="3"/>
    <x v="0"/>
    <x v="4"/>
    <n v="10"/>
    <n v="10"/>
    <n v="100"/>
    <n v="5"/>
    <x v="82"/>
  </r>
  <r>
    <n v="1106"/>
    <x v="66"/>
    <x v="2"/>
    <x v="1"/>
    <x v="0"/>
    <n v="1"/>
    <n v="33"/>
    <n v="33"/>
    <n v="16.5"/>
    <x v="83"/>
  </r>
  <r>
    <n v="1107"/>
    <x v="66"/>
    <x v="0"/>
    <x v="3"/>
    <x v="3"/>
    <n v="1"/>
    <n v="33"/>
    <n v="33"/>
    <n v="16.5"/>
    <x v="83"/>
  </r>
  <r>
    <n v="1108"/>
    <x v="67"/>
    <x v="3"/>
    <x v="0"/>
    <x v="2"/>
    <n v="1"/>
    <n v="24"/>
    <n v="24"/>
    <n v="12"/>
    <x v="11"/>
  </r>
  <r>
    <n v="1109"/>
    <x v="67"/>
    <x v="4"/>
    <x v="0"/>
    <x v="1"/>
    <n v="2"/>
    <n v="389.33"/>
    <n v="778.67"/>
    <n v="194.67"/>
    <x v="84"/>
  </r>
  <r>
    <n v="1110"/>
    <x v="68"/>
    <x v="0"/>
    <x v="2"/>
    <x v="0"/>
    <n v="5"/>
    <n v="90"/>
    <n v="450"/>
    <n v="45"/>
    <x v="85"/>
  </r>
  <r>
    <n v="1111"/>
    <x v="68"/>
    <x v="1"/>
    <x v="3"/>
    <x v="1"/>
    <n v="2"/>
    <n v="308.67"/>
    <n v="617.33000000000004"/>
    <n v="154.33000000000001"/>
    <x v="86"/>
  </r>
  <r>
    <n v="1112"/>
    <x v="69"/>
    <x v="4"/>
    <x v="4"/>
    <x v="0"/>
    <n v="5"/>
    <n v="244"/>
    <n v="1220"/>
    <n v="122"/>
    <x v="87"/>
  </r>
  <r>
    <n v="1113"/>
    <x v="69"/>
    <x v="1"/>
    <x v="2"/>
    <x v="0"/>
    <n v="5"/>
    <n v="55"/>
    <n v="275"/>
    <n v="27.5"/>
    <x v="88"/>
  </r>
  <r>
    <n v="1114"/>
    <x v="69"/>
    <x v="0"/>
    <x v="3"/>
    <x v="0"/>
    <n v="3"/>
    <n v="28"/>
    <n v="84"/>
    <n v="14"/>
    <x v="89"/>
  </r>
  <r>
    <n v="1115"/>
    <x v="70"/>
    <x v="3"/>
    <x v="0"/>
    <x v="0"/>
    <n v="3"/>
    <n v="100"/>
    <n v="300"/>
    <n v="50"/>
    <x v="1"/>
  </r>
  <r>
    <n v="1116"/>
    <x v="71"/>
    <x v="0"/>
    <x v="3"/>
    <x v="4"/>
    <n v="5"/>
    <n v="7"/>
    <n v="35"/>
    <n v="3.5"/>
    <x v="90"/>
  </r>
  <r>
    <n v="1117"/>
    <x v="71"/>
    <x v="3"/>
    <x v="3"/>
    <x v="0"/>
    <n v="10"/>
    <n v="27"/>
    <n v="270"/>
    <n v="13.5"/>
    <x v="14"/>
  </r>
  <r>
    <n v="1118"/>
    <x v="71"/>
    <x v="1"/>
    <x v="1"/>
    <x v="4"/>
    <n v="9"/>
    <n v="6"/>
    <n v="54"/>
    <n v="3"/>
    <x v="91"/>
  </r>
  <r>
    <n v="1119"/>
    <x v="72"/>
    <x v="1"/>
    <x v="4"/>
    <x v="3"/>
    <n v="3"/>
    <n v="46"/>
    <n v="138"/>
    <n v="23"/>
    <x v="92"/>
  </r>
  <r>
    <n v="1120"/>
    <x v="73"/>
    <x v="2"/>
    <x v="1"/>
    <x v="3"/>
    <n v="3"/>
    <n v="41"/>
    <n v="123"/>
    <n v="20.5"/>
    <x v="33"/>
  </r>
  <r>
    <n v="1121"/>
    <x v="74"/>
    <x v="0"/>
    <x v="3"/>
    <x v="2"/>
    <n v="16"/>
    <n v="5"/>
    <n v="80"/>
    <n v="2.5"/>
    <x v="2"/>
  </r>
  <r>
    <n v="1122"/>
    <x v="74"/>
    <x v="0"/>
    <x v="4"/>
    <x v="1"/>
    <n v="2"/>
    <n v="328.72"/>
    <n v="657.44"/>
    <n v="164.36"/>
    <x v="93"/>
  </r>
  <r>
    <n v="1123"/>
    <x v="75"/>
    <x v="1"/>
    <x v="4"/>
    <x v="2"/>
    <n v="8"/>
    <n v="19"/>
    <n v="152"/>
    <n v="9.5"/>
    <x v="94"/>
  </r>
  <r>
    <n v="1124"/>
    <x v="76"/>
    <x v="2"/>
    <x v="0"/>
    <x v="0"/>
    <n v="7"/>
    <n v="170"/>
    <n v="1190"/>
    <n v="85"/>
    <x v="95"/>
  </r>
  <r>
    <n v="1125"/>
    <x v="77"/>
    <x v="1"/>
    <x v="2"/>
    <x v="3"/>
    <n v="5"/>
    <n v="45"/>
    <n v="225"/>
    <n v="22.5"/>
    <x v="96"/>
  </r>
  <r>
    <n v="1126"/>
    <x v="78"/>
    <x v="2"/>
    <x v="1"/>
    <x v="4"/>
    <n v="1"/>
    <n v="7"/>
    <n v="7"/>
    <n v="3.5"/>
    <x v="97"/>
  </r>
  <r>
    <n v="1127"/>
    <x v="78"/>
    <x v="3"/>
    <x v="4"/>
    <x v="3"/>
    <n v="3"/>
    <n v="44"/>
    <n v="132"/>
    <n v="22"/>
    <x v="98"/>
  </r>
  <r>
    <n v="1128"/>
    <x v="79"/>
    <x v="2"/>
    <x v="3"/>
    <x v="3"/>
    <n v="3"/>
    <n v="39"/>
    <n v="117"/>
    <n v="19.5"/>
    <x v="99"/>
  </r>
  <r>
    <n v="1129"/>
    <x v="79"/>
    <x v="1"/>
    <x v="3"/>
    <x v="3"/>
    <n v="4"/>
    <n v="49"/>
    <n v="196"/>
    <n v="24.5"/>
    <x v="100"/>
  </r>
  <r>
    <n v="1130"/>
    <x v="79"/>
    <x v="3"/>
    <x v="1"/>
    <x v="3"/>
    <n v="2"/>
    <n v="23"/>
    <n v="46"/>
    <n v="11.5"/>
    <x v="72"/>
  </r>
  <r>
    <n v="1131"/>
    <x v="80"/>
    <x v="4"/>
    <x v="3"/>
    <x v="3"/>
    <n v="5"/>
    <n v="34"/>
    <n v="170"/>
    <n v="17"/>
    <x v="101"/>
  </r>
  <r>
    <n v="1132"/>
    <x v="81"/>
    <x v="0"/>
    <x v="4"/>
    <x v="4"/>
    <n v="1"/>
    <n v="10"/>
    <n v="10"/>
    <n v="5"/>
    <x v="54"/>
  </r>
  <r>
    <n v="1133"/>
    <x v="82"/>
    <x v="0"/>
    <x v="0"/>
    <x v="1"/>
    <n v="2"/>
    <n v="479.33"/>
    <n v="958.67"/>
    <n v="239.67"/>
    <x v="102"/>
  </r>
  <r>
    <n v="1134"/>
    <x v="83"/>
    <x v="4"/>
    <x v="4"/>
    <x v="3"/>
    <n v="4"/>
    <n v="31"/>
    <n v="124"/>
    <n v="15.5"/>
    <x v="103"/>
  </r>
  <r>
    <n v="1135"/>
    <x v="83"/>
    <x v="4"/>
    <x v="4"/>
    <x v="4"/>
    <n v="9"/>
    <n v="9"/>
    <n v="81"/>
    <n v="4.5"/>
    <x v="74"/>
  </r>
  <r>
    <n v="1136"/>
    <x v="83"/>
    <x v="4"/>
    <x v="3"/>
    <x v="3"/>
    <n v="3"/>
    <n v="22"/>
    <n v="66"/>
    <n v="11"/>
    <x v="104"/>
  </r>
  <r>
    <n v="1137"/>
    <x v="84"/>
    <x v="0"/>
    <x v="1"/>
    <x v="2"/>
    <n v="20"/>
    <n v="7"/>
    <n v="140"/>
    <n v="3.5"/>
    <x v="57"/>
  </r>
  <r>
    <n v="1138"/>
    <x v="85"/>
    <x v="3"/>
    <x v="4"/>
    <x v="3"/>
    <n v="6"/>
    <n v="27"/>
    <n v="162"/>
    <n v="13.5"/>
    <x v="105"/>
  </r>
  <r>
    <n v="1139"/>
    <x v="86"/>
    <x v="1"/>
    <x v="1"/>
    <x v="1"/>
    <n v="1"/>
    <n v="236"/>
    <n v="236"/>
    <n v="118"/>
    <x v="29"/>
  </r>
  <r>
    <n v="1140"/>
    <x v="87"/>
    <x v="3"/>
    <x v="4"/>
    <x v="2"/>
    <n v="16"/>
    <n v="45"/>
    <n v="720"/>
    <n v="22.5"/>
    <x v="106"/>
  </r>
  <r>
    <n v="1141"/>
    <x v="87"/>
    <x v="3"/>
    <x v="4"/>
    <x v="1"/>
    <n v="1"/>
    <n v="569.74"/>
    <n v="569.74"/>
    <n v="284.87"/>
    <x v="107"/>
  </r>
  <r>
    <n v="1142"/>
    <x v="87"/>
    <x v="0"/>
    <x v="3"/>
    <x v="1"/>
    <n v="1"/>
    <n v="240"/>
    <n v="240"/>
    <n v="120"/>
    <x v="108"/>
  </r>
  <r>
    <n v="1143"/>
    <x v="87"/>
    <x v="0"/>
    <x v="2"/>
    <x v="0"/>
    <n v="6"/>
    <n v="58"/>
    <n v="348"/>
    <n v="29"/>
    <x v="109"/>
  </r>
  <r>
    <n v="1144"/>
    <x v="88"/>
    <x v="2"/>
    <x v="0"/>
    <x v="4"/>
    <n v="9"/>
    <n v="8"/>
    <n v="72"/>
    <n v="4"/>
    <x v="49"/>
  </r>
  <r>
    <n v="1145"/>
    <x v="88"/>
    <x v="0"/>
    <x v="3"/>
    <x v="4"/>
    <n v="10"/>
    <n v="8"/>
    <n v="80"/>
    <n v="4"/>
    <x v="2"/>
  </r>
  <r>
    <n v="1146"/>
    <x v="88"/>
    <x v="4"/>
    <x v="1"/>
    <x v="3"/>
    <n v="3"/>
    <n v="33"/>
    <n v="99"/>
    <n v="16.5"/>
    <x v="110"/>
  </r>
  <r>
    <n v="1147"/>
    <x v="89"/>
    <x v="0"/>
    <x v="1"/>
    <x v="4"/>
    <n v="9"/>
    <n v="9"/>
    <n v="81"/>
    <n v="4.5"/>
    <x v="74"/>
  </r>
  <r>
    <n v="1148"/>
    <x v="90"/>
    <x v="0"/>
    <x v="1"/>
    <x v="3"/>
    <n v="8"/>
    <n v="33"/>
    <n v="264"/>
    <n v="16.5"/>
    <x v="111"/>
  </r>
  <r>
    <n v="1149"/>
    <x v="91"/>
    <x v="0"/>
    <x v="1"/>
    <x v="2"/>
    <n v="3"/>
    <n v="19"/>
    <n v="57"/>
    <n v="9.5"/>
    <x v="112"/>
  </r>
  <r>
    <n v="1150"/>
    <x v="91"/>
    <x v="4"/>
    <x v="1"/>
    <x v="3"/>
    <n v="1"/>
    <n v="37"/>
    <n v="37"/>
    <n v="18.5"/>
    <x v="73"/>
  </r>
  <r>
    <n v="1151"/>
    <x v="91"/>
    <x v="1"/>
    <x v="0"/>
    <x v="3"/>
    <n v="7"/>
    <n v="40"/>
    <n v="280"/>
    <n v="20"/>
    <x v="113"/>
  </r>
  <r>
    <n v="1152"/>
    <x v="92"/>
    <x v="1"/>
    <x v="1"/>
    <x v="1"/>
    <n v="2"/>
    <n v="293.33"/>
    <n v="586.66999999999996"/>
    <n v="146.66999999999999"/>
    <x v="114"/>
  </r>
  <r>
    <n v="1153"/>
    <x v="92"/>
    <x v="3"/>
    <x v="4"/>
    <x v="3"/>
    <n v="1"/>
    <n v="26"/>
    <n v="26"/>
    <n v="13"/>
    <x v="115"/>
  </r>
  <r>
    <n v="1154"/>
    <x v="93"/>
    <x v="0"/>
    <x v="3"/>
    <x v="4"/>
    <n v="2"/>
    <n v="10"/>
    <n v="20"/>
    <n v="5"/>
    <x v="37"/>
  </r>
  <r>
    <n v="1155"/>
    <x v="94"/>
    <x v="3"/>
    <x v="3"/>
    <x v="1"/>
    <n v="1"/>
    <n v="194"/>
    <n v="194"/>
    <n v="97"/>
    <x v="116"/>
  </r>
  <r>
    <n v="1156"/>
    <x v="94"/>
    <x v="4"/>
    <x v="3"/>
    <x v="1"/>
    <n v="2"/>
    <n v="109.33"/>
    <n v="218.67"/>
    <n v="54.67"/>
    <x v="117"/>
  </r>
  <r>
    <n v="1157"/>
    <x v="95"/>
    <x v="3"/>
    <x v="0"/>
    <x v="4"/>
    <n v="9"/>
    <n v="7"/>
    <n v="63"/>
    <n v="3.5"/>
    <x v="19"/>
  </r>
  <r>
    <n v="1158"/>
    <x v="95"/>
    <x v="1"/>
    <x v="2"/>
    <x v="0"/>
    <n v="1"/>
    <n v="85"/>
    <n v="85"/>
    <n v="42.5"/>
    <x v="118"/>
  </r>
  <r>
    <n v="1159"/>
    <x v="96"/>
    <x v="1"/>
    <x v="2"/>
    <x v="4"/>
    <n v="8"/>
    <n v="9"/>
    <n v="72"/>
    <n v="4.5"/>
    <x v="49"/>
  </r>
  <r>
    <n v="1160"/>
    <x v="97"/>
    <x v="0"/>
    <x v="2"/>
    <x v="3"/>
    <n v="4"/>
    <n v="45"/>
    <n v="180"/>
    <n v="22.5"/>
    <x v="55"/>
  </r>
  <r>
    <n v="1161"/>
    <x v="97"/>
    <x v="3"/>
    <x v="0"/>
    <x v="0"/>
    <n v="3"/>
    <n v="113"/>
    <n v="339"/>
    <n v="56.5"/>
    <x v="119"/>
  </r>
  <r>
    <n v="1162"/>
    <x v="97"/>
    <x v="0"/>
    <x v="3"/>
    <x v="1"/>
    <n v="1"/>
    <n v="240"/>
    <n v="240"/>
    <n v="120"/>
    <x v="108"/>
  </r>
  <r>
    <n v="1163"/>
    <x v="98"/>
    <x v="3"/>
    <x v="1"/>
    <x v="3"/>
    <n v="3"/>
    <n v="35"/>
    <n v="105"/>
    <n v="17.5"/>
    <x v="120"/>
  </r>
  <r>
    <n v="1164"/>
    <x v="99"/>
    <x v="0"/>
    <x v="2"/>
    <x v="1"/>
    <n v="2"/>
    <n v="251.33"/>
    <n v="502.67"/>
    <n v="125.67"/>
    <x v="121"/>
  </r>
  <r>
    <n v="1165"/>
    <x v="100"/>
    <x v="1"/>
    <x v="4"/>
    <x v="0"/>
    <n v="6"/>
    <n v="162"/>
    <n v="972"/>
    <n v="81"/>
    <x v="122"/>
  </r>
  <r>
    <n v="1166"/>
    <x v="100"/>
    <x v="3"/>
    <x v="0"/>
    <x v="3"/>
    <n v="2"/>
    <n v="28"/>
    <n v="56"/>
    <n v="14"/>
    <x v="32"/>
  </r>
  <r>
    <n v="1167"/>
    <x v="101"/>
    <x v="3"/>
    <x v="2"/>
    <x v="3"/>
    <n v="1"/>
    <n v="48"/>
    <n v="48"/>
    <n v="24"/>
    <x v="76"/>
  </r>
  <r>
    <n v="1168"/>
    <x v="102"/>
    <x v="0"/>
    <x v="2"/>
    <x v="3"/>
    <n v="1"/>
    <n v="25"/>
    <n v="25"/>
    <n v="12.5"/>
    <x v="15"/>
  </r>
  <r>
    <n v="1169"/>
    <x v="103"/>
    <x v="4"/>
    <x v="3"/>
    <x v="4"/>
    <n v="4"/>
    <n v="8"/>
    <n v="32"/>
    <n v="4"/>
    <x v="35"/>
  </r>
  <r>
    <n v="1170"/>
    <x v="103"/>
    <x v="2"/>
    <x v="0"/>
    <x v="4"/>
    <n v="10"/>
    <n v="8"/>
    <n v="80"/>
    <n v="4"/>
    <x v="2"/>
  </r>
  <r>
    <n v="1171"/>
    <x v="104"/>
    <x v="0"/>
    <x v="2"/>
    <x v="4"/>
    <n v="5"/>
    <n v="8"/>
    <n v="40"/>
    <n v="4"/>
    <x v="21"/>
  </r>
  <r>
    <n v="1172"/>
    <x v="104"/>
    <x v="4"/>
    <x v="2"/>
    <x v="4"/>
    <n v="7"/>
    <n v="7"/>
    <n v="49"/>
    <n v="3.5"/>
    <x v="123"/>
  </r>
  <r>
    <n v="1173"/>
    <x v="105"/>
    <x v="3"/>
    <x v="2"/>
    <x v="0"/>
    <n v="7"/>
    <n v="73"/>
    <n v="511"/>
    <n v="36.5"/>
    <x v="124"/>
  </r>
  <r>
    <n v="1174"/>
    <x v="106"/>
    <x v="0"/>
    <x v="3"/>
    <x v="2"/>
    <n v="2"/>
    <n v="7"/>
    <n v="14"/>
    <n v="3.5"/>
    <x v="125"/>
  </r>
  <r>
    <n v="1175"/>
    <x v="106"/>
    <x v="2"/>
    <x v="0"/>
    <x v="3"/>
    <n v="1"/>
    <n v="26"/>
    <n v="26"/>
    <n v="13"/>
    <x v="115"/>
  </r>
  <r>
    <n v="1176"/>
    <x v="106"/>
    <x v="2"/>
    <x v="1"/>
    <x v="4"/>
    <n v="4"/>
    <n v="6"/>
    <n v="24"/>
    <n v="3"/>
    <x v="11"/>
  </r>
  <r>
    <n v="1177"/>
    <x v="106"/>
    <x v="0"/>
    <x v="4"/>
    <x v="3"/>
    <n v="2"/>
    <n v="40"/>
    <n v="80"/>
    <n v="20"/>
    <x v="2"/>
  </r>
  <r>
    <n v="1178"/>
    <x v="107"/>
    <x v="1"/>
    <x v="0"/>
    <x v="2"/>
    <n v="11"/>
    <n v="30"/>
    <n v="330"/>
    <n v="15"/>
    <x v="126"/>
  </r>
  <r>
    <n v="1179"/>
    <x v="107"/>
    <x v="2"/>
    <x v="3"/>
    <x v="2"/>
    <n v="6"/>
    <n v="6"/>
    <n v="36"/>
    <n v="3"/>
    <x v="127"/>
  </r>
  <r>
    <n v="1180"/>
    <x v="108"/>
    <x v="0"/>
    <x v="4"/>
    <x v="3"/>
    <n v="7"/>
    <n v="33"/>
    <n v="231"/>
    <n v="16.5"/>
    <x v="128"/>
  </r>
  <r>
    <n v="1181"/>
    <x v="108"/>
    <x v="1"/>
    <x v="1"/>
    <x v="0"/>
    <n v="5"/>
    <n v="44"/>
    <n v="220"/>
    <n v="22"/>
    <x v="129"/>
  </r>
  <r>
    <n v="1182"/>
    <x v="109"/>
    <x v="2"/>
    <x v="2"/>
    <x v="1"/>
    <n v="2"/>
    <n v="260.67"/>
    <n v="521.33000000000004"/>
    <n v="130.33000000000001"/>
    <x v="130"/>
  </r>
  <r>
    <n v="1183"/>
    <x v="109"/>
    <x v="0"/>
    <x v="1"/>
    <x v="2"/>
    <n v="16"/>
    <n v="20"/>
    <n v="320"/>
    <n v="10"/>
    <x v="131"/>
  </r>
  <r>
    <n v="1184"/>
    <x v="110"/>
    <x v="1"/>
    <x v="1"/>
    <x v="4"/>
    <n v="3"/>
    <n v="10"/>
    <n v="30"/>
    <n v="5"/>
    <x v="10"/>
  </r>
  <r>
    <n v="1185"/>
    <x v="110"/>
    <x v="3"/>
    <x v="3"/>
    <x v="2"/>
    <n v="6"/>
    <n v="5"/>
    <n v="30"/>
    <n v="2.5"/>
    <x v="10"/>
  </r>
  <r>
    <n v="1186"/>
    <x v="111"/>
    <x v="2"/>
    <x v="1"/>
    <x v="1"/>
    <n v="2"/>
    <n v="316"/>
    <n v="632"/>
    <n v="158"/>
    <x v="132"/>
  </r>
  <r>
    <n v="1187"/>
    <x v="112"/>
    <x v="1"/>
    <x v="2"/>
    <x v="2"/>
    <n v="9"/>
    <n v="11"/>
    <n v="99"/>
    <n v="5.5"/>
    <x v="110"/>
  </r>
  <r>
    <n v="1188"/>
    <x v="113"/>
    <x v="0"/>
    <x v="1"/>
    <x v="2"/>
    <n v="15"/>
    <n v="11"/>
    <n v="165"/>
    <n v="5.5"/>
    <x v="133"/>
  </r>
  <r>
    <n v="1189"/>
    <x v="114"/>
    <x v="1"/>
    <x v="4"/>
    <x v="3"/>
    <n v="3"/>
    <n v="32"/>
    <n v="96"/>
    <n v="16"/>
    <x v="134"/>
  </r>
  <r>
    <n v="1190"/>
    <x v="115"/>
    <x v="3"/>
    <x v="3"/>
    <x v="0"/>
    <n v="3"/>
    <n v="12"/>
    <n v="36"/>
    <n v="6"/>
    <x v="127"/>
  </r>
  <r>
    <n v="1191"/>
    <x v="115"/>
    <x v="0"/>
    <x v="0"/>
    <x v="0"/>
    <n v="4"/>
    <n v="132"/>
    <n v="528"/>
    <n v="66"/>
    <x v="135"/>
  </r>
  <r>
    <n v="1192"/>
    <x v="116"/>
    <x v="0"/>
    <x v="3"/>
    <x v="4"/>
    <n v="5"/>
    <n v="5"/>
    <n v="25"/>
    <n v="2.5"/>
    <x v="15"/>
  </r>
  <r>
    <n v="1193"/>
    <x v="117"/>
    <x v="4"/>
    <x v="3"/>
    <x v="0"/>
    <n v="9"/>
    <n v="19"/>
    <n v="171"/>
    <n v="9.5"/>
    <x v="136"/>
  </r>
  <r>
    <n v="1194"/>
    <x v="118"/>
    <x v="3"/>
    <x v="1"/>
    <x v="4"/>
    <n v="10"/>
    <n v="8"/>
    <n v="80"/>
    <n v="4"/>
    <x v="2"/>
  </r>
  <r>
    <n v="1195"/>
    <x v="118"/>
    <x v="4"/>
    <x v="2"/>
    <x v="3"/>
    <n v="6"/>
    <n v="35"/>
    <n v="210"/>
    <n v="17.5"/>
    <x v="137"/>
  </r>
  <r>
    <n v="1196"/>
    <x v="119"/>
    <x v="3"/>
    <x v="2"/>
    <x v="4"/>
    <n v="9"/>
    <n v="9"/>
    <n v="81"/>
    <n v="4.5"/>
    <x v="74"/>
  </r>
  <r>
    <n v="1197"/>
    <x v="119"/>
    <x v="0"/>
    <x v="3"/>
    <x v="4"/>
    <n v="2"/>
    <n v="9"/>
    <n v="18"/>
    <n v="4.5"/>
    <x v="138"/>
  </r>
  <r>
    <n v="1198"/>
    <x v="120"/>
    <x v="1"/>
    <x v="1"/>
    <x v="2"/>
    <n v="15"/>
    <n v="25"/>
    <n v="375"/>
    <n v="12.5"/>
    <x v="139"/>
  </r>
  <r>
    <n v="1199"/>
    <x v="120"/>
    <x v="0"/>
    <x v="1"/>
    <x v="1"/>
    <n v="2"/>
    <n v="405.33"/>
    <n v="810.67"/>
    <n v="202.67"/>
    <x v="140"/>
  </r>
  <r>
    <n v="1200"/>
    <x v="120"/>
    <x v="3"/>
    <x v="3"/>
    <x v="0"/>
    <n v="6"/>
    <n v="25"/>
    <n v="150"/>
    <n v="12.5"/>
    <x v="141"/>
  </r>
  <r>
    <n v="1201"/>
    <x v="121"/>
    <x v="1"/>
    <x v="1"/>
    <x v="2"/>
    <n v="1"/>
    <n v="10"/>
    <n v="10"/>
    <n v="5"/>
    <x v="54"/>
  </r>
  <r>
    <n v="1202"/>
    <x v="121"/>
    <x v="0"/>
    <x v="0"/>
    <x v="2"/>
    <n v="2"/>
    <n v="36"/>
    <n v="72"/>
    <n v="18"/>
    <x v="49"/>
  </r>
  <r>
    <n v="1203"/>
    <x v="122"/>
    <x v="0"/>
    <x v="2"/>
    <x v="1"/>
    <n v="1"/>
    <n v="148.66999999999999"/>
    <n v="148.66999999999999"/>
    <n v="74.33"/>
    <x v="142"/>
  </r>
  <r>
    <n v="1204"/>
    <x v="122"/>
    <x v="0"/>
    <x v="4"/>
    <x v="3"/>
    <n v="5"/>
    <n v="41"/>
    <n v="205"/>
    <n v="20.5"/>
    <x v="143"/>
  </r>
  <r>
    <n v="1205"/>
    <x v="123"/>
    <x v="2"/>
    <x v="1"/>
    <x v="1"/>
    <n v="2"/>
    <n v="424"/>
    <n v="848"/>
    <n v="212"/>
    <x v="144"/>
  </r>
  <r>
    <n v="1206"/>
    <x v="123"/>
    <x v="0"/>
    <x v="3"/>
    <x v="3"/>
    <n v="3"/>
    <n v="37"/>
    <n v="111"/>
    <n v="18.5"/>
    <x v="145"/>
  </r>
  <r>
    <n v="1207"/>
    <x v="124"/>
    <x v="4"/>
    <x v="1"/>
    <x v="0"/>
    <n v="10"/>
    <n v="41"/>
    <n v="410"/>
    <n v="20.5"/>
    <x v="146"/>
  </r>
  <r>
    <n v="1208"/>
    <x v="124"/>
    <x v="3"/>
    <x v="2"/>
    <x v="2"/>
    <n v="17"/>
    <n v="14"/>
    <n v="238"/>
    <n v="7"/>
    <x v="147"/>
  </r>
  <r>
    <n v="1209"/>
    <x v="125"/>
    <x v="0"/>
    <x v="3"/>
    <x v="1"/>
    <n v="1"/>
    <n v="259.33"/>
    <n v="259.33"/>
    <n v="129.66999999999999"/>
    <x v="148"/>
  </r>
  <r>
    <n v="1210"/>
    <x v="125"/>
    <x v="0"/>
    <x v="0"/>
    <x v="4"/>
    <n v="4"/>
    <n v="7"/>
    <n v="28"/>
    <n v="3.5"/>
    <x v="149"/>
  </r>
  <r>
    <n v="1211"/>
    <x v="125"/>
    <x v="2"/>
    <x v="0"/>
    <x v="2"/>
    <n v="2"/>
    <n v="28"/>
    <n v="56"/>
    <n v="14"/>
    <x v="32"/>
  </r>
  <r>
    <n v="1212"/>
    <x v="126"/>
    <x v="3"/>
    <x v="2"/>
    <x v="2"/>
    <n v="14"/>
    <n v="11"/>
    <n v="154"/>
    <n v="5.5"/>
    <x v="150"/>
  </r>
  <r>
    <n v="1213"/>
    <x v="126"/>
    <x v="0"/>
    <x v="1"/>
    <x v="0"/>
    <n v="3"/>
    <n v="26"/>
    <n v="78"/>
    <n v="13"/>
    <x v="151"/>
  </r>
  <r>
    <n v="1214"/>
    <x v="127"/>
    <x v="2"/>
    <x v="4"/>
    <x v="3"/>
    <n v="3"/>
    <n v="37"/>
    <n v="111"/>
    <n v="18.5"/>
    <x v="145"/>
  </r>
  <r>
    <n v="1215"/>
    <x v="128"/>
    <x v="1"/>
    <x v="2"/>
    <x v="1"/>
    <n v="2"/>
    <n v="220.67"/>
    <n v="441.33"/>
    <n v="110.33"/>
    <x v="152"/>
  </r>
  <r>
    <n v="1216"/>
    <x v="129"/>
    <x v="2"/>
    <x v="3"/>
    <x v="0"/>
    <n v="8"/>
    <n v="28"/>
    <n v="224"/>
    <n v="14"/>
    <x v="153"/>
  </r>
  <r>
    <n v="1217"/>
    <x v="129"/>
    <x v="1"/>
    <x v="1"/>
    <x v="0"/>
    <n v="1"/>
    <n v="27"/>
    <n v="27"/>
    <n v="13.5"/>
    <x v="20"/>
  </r>
  <r>
    <n v="1218"/>
    <x v="130"/>
    <x v="0"/>
    <x v="2"/>
    <x v="3"/>
    <n v="3"/>
    <n v="34"/>
    <n v="102"/>
    <n v="17"/>
    <x v="154"/>
  </r>
  <r>
    <n v="1219"/>
    <x v="130"/>
    <x v="2"/>
    <x v="1"/>
    <x v="3"/>
    <n v="4"/>
    <n v="36"/>
    <n v="144"/>
    <n v="18"/>
    <x v="65"/>
  </r>
  <r>
    <n v="1220"/>
    <x v="130"/>
    <x v="2"/>
    <x v="4"/>
    <x v="2"/>
    <n v="20"/>
    <n v="42"/>
    <n v="840"/>
    <n v="21"/>
    <x v="155"/>
  </r>
  <r>
    <n v="1221"/>
    <x v="131"/>
    <x v="1"/>
    <x v="4"/>
    <x v="2"/>
    <n v="19"/>
    <n v="20"/>
    <n v="380"/>
    <n v="10"/>
    <x v="156"/>
  </r>
  <r>
    <n v="1222"/>
    <x v="131"/>
    <x v="0"/>
    <x v="0"/>
    <x v="4"/>
    <n v="7"/>
    <n v="7"/>
    <n v="49"/>
    <n v="3.5"/>
    <x v="123"/>
  </r>
  <r>
    <n v="1223"/>
    <x v="132"/>
    <x v="0"/>
    <x v="0"/>
    <x v="3"/>
    <n v="4"/>
    <n v="21"/>
    <n v="84"/>
    <n v="10.5"/>
    <x v="89"/>
  </r>
  <r>
    <n v="1224"/>
    <x v="133"/>
    <x v="0"/>
    <x v="0"/>
    <x v="3"/>
    <n v="4"/>
    <n v="50"/>
    <n v="200"/>
    <n v="25"/>
    <x v="41"/>
  </r>
  <r>
    <n v="1225"/>
    <x v="133"/>
    <x v="1"/>
    <x v="4"/>
    <x v="1"/>
    <n v="2"/>
    <n v="374.36"/>
    <n v="748.72"/>
    <n v="187.18"/>
    <x v="157"/>
  </r>
  <r>
    <n v="1226"/>
    <x v="133"/>
    <x v="3"/>
    <x v="4"/>
    <x v="0"/>
    <n v="3"/>
    <n v="151"/>
    <n v="453"/>
    <n v="75.5"/>
    <x v="158"/>
  </r>
  <r>
    <n v="1227"/>
    <x v="134"/>
    <x v="2"/>
    <x v="2"/>
    <x v="1"/>
    <n v="1"/>
    <n v="157.33000000000001"/>
    <n v="157.33000000000001"/>
    <n v="78.67"/>
    <x v="159"/>
  </r>
  <r>
    <n v="1228"/>
    <x v="134"/>
    <x v="0"/>
    <x v="3"/>
    <x v="3"/>
    <n v="8"/>
    <n v="43"/>
    <n v="344"/>
    <n v="21.5"/>
    <x v="64"/>
  </r>
  <r>
    <n v="1229"/>
    <x v="135"/>
    <x v="2"/>
    <x v="0"/>
    <x v="4"/>
    <n v="9"/>
    <n v="8"/>
    <n v="72"/>
    <n v="4"/>
    <x v="49"/>
  </r>
  <r>
    <n v="1230"/>
    <x v="136"/>
    <x v="3"/>
    <x v="3"/>
    <x v="2"/>
    <n v="4"/>
    <n v="8"/>
    <n v="32"/>
    <n v="4"/>
    <x v="35"/>
  </r>
  <r>
    <n v="1231"/>
    <x v="137"/>
    <x v="2"/>
    <x v="2"/>
    <x v="1"/>
    <n v="2"/>
    <n v="231.33"/>
    <n v="462.67"/>
    <n v="115.67"/>
    <x v="160"/>
  </r>
  <r>
    <n v="1232"/>
    <x v="137"/>
    <x v="1"/>
    <x v="2"/>
    <x v="3"/>
    <n v="8"/>
    <n v="39"/>
    <n v="312"/>
    <n v="19.5"/>
    <x v="161"/>
  </r>
  <r>
    <n v="1233"/>
    <x v="138"/>
    <x v="3"/>
    <x v="3"/>
    <x v="1"/>
    <n v="2"/>
    <n v="298"/>
    <n v="596"/>
    <n v="149"/>
    <x v="162"/>
  </r>
  <r>
    <n v="1234"/>
    <x v="138"/>
    <x v="4"/>
    <x v="4"/>
    <x v="3"/>
    <n v="3"/>
    <n v="28"/>
    <n v="84"/>
    <n v="14"/>
    <x v="89"/>
  </r>
  <r>
    <n v="1235"/>
    <x v="138"/>
    <x v="1"/>
    <x v="4"/>
    <x v="3"/>
    <n v="3"/>
    <n v="25"/>
    <n v="75"/>
    <n v="12.5"/>
    <x v="163"/>
  </r>
  <r>
    <n v="1236"/>
    <x v="138"/>
    <x v="0"/>
    <x v="0"/>
    <x v="3"/>
    <n v="5"/>
    <n v="45"/>
    <n v="225"/>
    <n v="22.5"/>
    <x v="96"/>
  </r>
  <r>
    <n v="1237"/>
    <x v="139"/>
    <x v="1"/>
    <x v="2"/>
    <x v="1"/>
    <n v="2"/>
    <n v="222"/>
    <n v="444"/>
    <n v="111"/>
    <x v="164"/>
  </r>
  <r>
    <n v="1238"/>
    <x v="140"/>
    <x v="4"/>
    <x v="3"/>
    <x v="3"/>
    <n v="5"/>
    <n v="42"/>
    <n v="210"/>
    <n v="21"/>
    <x v="137"/>
  </r>
  <r>
    <n v="1239"/>
    <x v="141"/>
    <x v="1"/>
    <x v="3"/>
    <x v="2"/>
    <n v="17"/>
    <n v="5"/>
    <n v="85"/>
    <n v="2.5"/>
    <x v="118"/>
  </r>
  <r>
    <n v="1240"/>
    <x v="142"/>
    <x v="4"/>
    <x v="2"/>
    <x v="4"/>
    <n v="9"/>
    <n v="7"/>
    <n v="63"/>
    <n v="3.5"/>
    <x v="19"/>
  </r>
  <r>
    <n v="1241"/>
    <x v="143"/>
    <x v="4"/>
    <x v="2"/>
    <x v="0"/>
    <n v="5"/>
    <n v="60"/>
    <n v="300"/>
    <n v="30"/>
    <x v="1"/>
  </r>
  <r>
    <n v="1242"/>
    <x v="143"/>
    <x v="0"/>
    <x v="4"/>
    <x v="2"/>
    <n v="18"/>
    <n v="43"/>
    <n v="774"/>
    <n v="21.5"/>
    <x v="165"/>
  </r>
  <r>
    <n v="1243"/>
    <x v="143"/>
    <x v="0"/>
    <x v="1"/>
    <x v="2"/>
    <n v="15"/>
    <n v="12"/>
    <n v="180"/>
    <n v="6"/>
    <x v="55"/>
  </r>
  <r>
    <n v="1244"/>
    <x v="143"/>
    <x v="3"/>
    <x v="1"/>
    <x v="4"/>
    <n v="6"/>
    <n v="10"/>
    <n v="60"/>
    <n v="5"/>
    <x v="38"/>
  </r>
  <r>
    <n v="1245"/>
    <x v="144"/>
    <x v="1"/>
    <x v="1"/>
    <x v="0"/>
    <n v="7"/>
    <n v="36"/>
    <n v="252"/>
    <n v="18"/>
    <x v="166"/>
  </r>
  <r>
    <n v="1246"/>
    <x v="145"/>
    <x v="0"/>
    <x v="4"/>
    <x v="3"/>
    <n v="7"/>
    <n v="29"/>
    <n v="203"/>
    <n v="14.5"/>
    <x v="167"/>
  </r>
  <r>
    <n v="1247"/>
    <x v="146"/>
    <x v="4"/>
    <x v="4"/>
    <x v="4"/>
    <n v="9"/>
    <n v="6"/>
    <n v="54"/>
    <n v="3"/>
    <x v="91"/>
  </r>
  <r>
    <n v="1248"/>
    <x v="147"/>
    <x v="3"/>
    <x v="0"/>
    <x v="2"/>
    <n v="15"/>
    <n v="31"/>
    <n v="465"/>
    <n v="15.5"/>
    <x v="168"/>
  </r>
  <r>
    <n v="1249"/>
    <x v="148"/>
    <x v="3"/>
    <x v="0"/>
    <x v="4"/>
    <n v="6"/>
    <n v="10"/>
    <n v="60"/>
    <n v="5"/>
    <x v="38"/>
  </r>
  <r>
    <n v="1250"/>
    <x v="148"/>
    <x v="4"/>
    <x v="3"/>
    <x v="3"/>
    <n v="6"/>
    <n v="28"/>
    <n v="168"/>
    <n v="14"/>
    <x v="79"/>
  </r>
  <r>
    <n v="1251"/>
    <x v="148"/>
    <x v="2"/>
    <x v="0"/>
    <x v="1"/>
    <n v="1"/>
    <n v="400.67"/>
    <n v="400.67"/>
    <n v="200.33"/>
    <x v="169"/>
  </r>
  <r>
    <n v="1252"/>
    <x v="149"/>
    <x v="2"/>
    <x v="0"/>
    <x v="4"/>
    <n v="6"/>
    <n v="5"/>
    <n v="30"/>
    <n v="2.5"/>
    <x v="10"/>
  </r>
  <r>
    <n v="1253"/>
    <x v="149"/>
    <x v="0"/>
    <x v="3"/>
    <x v="1"/>
    <n v="1"/>
    <n v="274"/>
    <n v="274"/>
    <n v="137"/>
    <x v="170"/>
  </r>
  <r>
    <n v="1254"/>
    <x v="150"/>
    <x v="0"/>
    <x v="4"/>
    <x v="3"/>
    <n v="7"/>
    <n v="45"/>
    <n v="315"/>
    <n v="22.5"/>
    <x v="171"/>
  </r>
  <r>
    <n v="1255"/>
    <x v="150"/>
    <x v="3"/>
    <x v="1"/>
    <x v="4"/>
    <n v="1"/>
    <n v="6"/>
    <n v="6"/>
    <n v="3"/>
    <x v="172"/>
  </r>
  <r>
    <n v="1256"/>
    <x v="150"/>
    <x v="0"/>
    <x v="3"/>
    <x v="0"/>
    <n v="6"/>
    <n v="25"/>
    <n v="150"/>
    <n v="12.5"/>
    <x v="141"/>
  </r>
  <r>
    <n v="1257"/>
    <x v="151"/>
    <x v="3"/>
    <x v="3"/>
    <x v="3"/>
    <n v="4"/>
    <n v="31"/>
    <n v="124"/>
    <n v="15.5"/>
    <x v="103"/>
  </r>
  <r>
    <n v="1258"/>
    <x v="152"/>
    <x v="1"/>
    <x v="2"/>
    <x v="1"/>
    <n v="1"/>
    <n v="147.33000000000001"/>
    <n v="147.33000000000001"/>
    <n v="73.67"/>
    <x v="173"/>
  </r>
  <r>
    <n v="1259"/>
    <x v="152"/>
    <x v="0"/>
    <x v="4"/>
    <x v="3"/>
    <n v="4"/>
    <n v="22"/>
    <n v="88"/>
    <n v="11"/>
    <x v="174"/>
  </r>
  <r>
    <n v="1260"/>
    <x v="153"/>
    <x v="3"/>
    <x v="0"/>
    <x v="0"/>
    <n v="4"/>
    <n v="120"/>
    <n v="480"/>
    <n v="60"/>
    <x v="61"/>
  </r>
  <r>
    <n v="1261"/>
    <x v="154"/>
    <x v="4"/>
    <x v="1"/>
    <x v="1"/>
    <n v="2"/>
    <n v="232.67"/>
    <n v="465.33"/>
    <n v="116.33"/>
    <x v="175"/>
  </r>
  <r>
    <n v="1262"/>
    <x v="155"/>
    <x v="3"/>
    <x v="2"/>
    <x v="2"/>
    <n v="19"/>
    <n v="12"/>
    <n v="228"/>
    <n v="6"/>
    <x v="176"/>
  </r>
  <r>
    <n v="1263"/>
    <x v="156"/>
    <x v="4"/>
    <x v="3"/>
    <x v="1"/>
    <n v="1"/>
    <n v="100.67"/>
    <n v="100.67"/>
    <n v="50.33"/>
    <x v="177"/>
  </r>
  <r>
    <n v="1264"/>
    <x v="156"/>
    <x v="4"/>
    <x v="3"/>
    <x v="1"/>
    <n v="2"/>
    <n v="246.67"/>
    <n v="493.33"/>
    <n v="123.33"/>
    <x v="178"/>
  </r>
  <r>
    <n v="1265"/>
    <x v="157"/>
    <x v="1"/>
    <x v="0"/>
    <x v="0"/>
    <n v="7"/>
    <n v="109"/>
    <n v="763"/>
    <n v="54.5"/>
    <x v="179"/>
  </r>
  <r>
    <n v="1266"/>
    <x v="157"/>
    <x v="4"/>
    <x v="4"/>
    <x v="3"/>
    <n v="1"/>
    <n v="32"/>
    <n v="32"/>
    <n v="16"/>
    <x v="35"/>
  </r>
  <r>
    <n v="1267"/>
    <x v="157"/>
    <x v="4"/>
    <x v="1"/>
    <x v="2"/>
    <n v="8"/>
    <n v="17"/>
    <n v="136"/>
    <n v="8.5"/>
    <x v="180"/>
  </r>
  <r>
    <n v="1268"/>
    <x v="158"/>
    <x v="2"/>
    <x v="1"/>
    <x v="2"/>
    <n v="17"/>
    <n v="23"/>
    <n v="391"/>
    <n v="11.5"/>
    <x v="181"/>
  </r>
  <r>
    <n v="1269"/>
    <x v="159"/>
    <x v="3"/>
    <x v="4"/>
    <x v="4"/>
    <n v="1"/>
    <n v="6"/>
    <n v="6"/>
    <n v="3"/>
    <x v="172"/>
  </r>
  <r>
    <n v="1270"/>
    <x v="159"/>
    <x v="4"/>
    <x v="4"/>
    <x v="3"/>
    <n v="5"/>
    <n v="38"/>
    <n v="190"/>
    <n v="19"/>
    <x v="182"/>
  </r>
  <r>
    <n v="1271"/>
    <x v="160"/>
    <x v="0"/>
    <x v="4"/>
    <x v="2"/>
    <n v="9"/>
    <n v="16"/>
    <n v="144"/>
    <n v="8"/>
    <x v="65"/>
  </r>
  <r>
    <n v="1272"/>
    <x v="160"/>
    <x v="2"/>
    <x v="4"/>
    <x v="4"/>
    <n v="1"/>
    <n v="9"/>
    <n v="9"/>
    <n v="4.5"/>
    <x v="71"/>
  </r>
  <r>
    <n v="1273"/>
    <x v="161"/>
    <x v="1"/>
    <x v="4"/>
    <x v="2"/>
    <n v="5"/>
    <n v="20"/>
    <n v="100"/>
    <n v="10"/>
    <x v="82"/>
  </r>
  <r>
    <n v="1274"/>
    <x v="161"/>
    <x v="4"/>
    <x v="0"/>
    <x v="3"/>
    <n v="6"/>
    <n v="25"/>
    <n v="150"/>
    <n v="12.5"/>
    <x v="141"/>
  </r>
  <r>
    <n v="1275"/>
    <x v="161"/>
    <x v="1"/>
    <x v="2"/>
    <x v="4"/>
    <n v="4"/>
    <n v="9"/>
    <n v="36"/>
    <n v="4.5"/>
    <x v="127"/>
  </r>
  <r>
    <n v="1276"/>
    <x v="161"/>
    <x v="4"/>
    <x v="3"/>
    <x v="2"/>
    <n v="7"/>
    <n v="9"/>
    <n v="63"/>
    <n v="4.5"/>
    <x v="19"/>
  </r>
  <r>
    <n v="1277"/>
    <x v="162"/>
    <x v="1"/>
    <x v="4"/>
    <x v="1"/>
    <n v="1"/>
    <n v="380"/>
    <n v="380"/>
    <n v="190"/>
    <x v="156"/>
  </r>
  <r>
    <n v="1278"/>
    <x v="163"/>
    <x v="1"/>
    <x v="4"/>
    <x v="2"/>
    <n v="4"/>
    <n v="18"/>
    <n v="72"/>
    <n v="9"/>
    <x v="49"/>
  </r>
  <r>
    <n v="1279"/>
    <x v="163"/>
    <x v="3"/>
    <x v="2"/>
    <x v="3"/>
    <n v="6"/>
    <n v="47"/>
    <n v="282"/>
    <n v="23.5"/>
    <x v="183"/>
  </r>
  <r>
    <n v="1280"/>
    <x v="164"/>
    <x v="1"/>
    <x v="4"/>
    <x v="2"/>
    <n v="20"/>
    <n v="41"/>
    <n v="820"/>
    <n v="20.5"/>
    <x v="184"/>
  </r>
  <r>
    <n v="1281"/>
    <x v="165"/>
    <x v="0"/>
    <x v="4"/>
    <x v="2"/>
    <n v="18"/>
    <n v="42"/>
    <n v="756"/>
    <n v="21"/>
    <x v="185"/>
  </r>
  <r>
    <n v="1282"/>
    <x v="165"/>
    <x v="1"/>
    <x v="1"/>
    <x v="2"/>
    <n v="1"/>
    <n v="12"/>
    <n v="12"/>
    <n v="6"/>
    <x v="66"/>
  </r>
  <r>
    <n v="1283"/>
    <x v="166"/>
    <x v="0"/>
    <x v="1"/>
    <x v="2"/>
    <n v="3"/>
    <n v="9"/>
    <n v="27"/>
    <n v="4.5"/>
    <x v="20"/>
  </r>
  <r>
    <n v="1284"/>
    <x v="167"/>
    <x v="2"/>
    <x v="0"/>
    <x v="3"/>
    <n v="4"/>
    <n v="42"/>
    <n v="168"/>
    <n v="21"/>
    <x v="79"/>
  </r>
  <r>
    <n v="1285"/>
    <x v="167"/>
    <x v="0"/>
    <x v="2"/>
    <x v="2"/>
    <n v="9"/>
    <n v="6"/>
    <n v="54"/>
    <n v="3"/>
    <x v="91"/>
  </r>
  <r>
    <n v="1286"/>
    <x v="168"/>
    <x v="1"/>
    <x v="1"/>
    <x v="2"/>
    <n v="1"/>
    <n v="12"/>
    <n v="12"/>
    <n v="6"/>
    <x v="66"/>
  </r>
  <r>
    <n v="1287"/>
    <x v="169"/>
    <x v="3"/>
    <x v="2"/>
    <x v="4"/>
    <n v="3"/>
    <n v="7"/>
    <n v="21"/>
    <n v="3.5"/>
    <x v="25"/>
  </r>
  <r>
    <n v="1288"/>
    <x v="170"/>
    <x v="1"/>
    <x v="0"/>
    <x v="1"/>
    <n v="2"/>
    <n v="283.33"/>
    <n v="566.66999999999996"/>
    <n v="141.66999999999999"/>
    <x v="186"/>
  </r>
  <r>
    <n v="1289"/>
    <x v="171"/>
    <x v="3"/>
    <x v="3"/>
    <x v="1"/>
    <n v="2"/>
    <n v="282"/>
    <n v="564"/>
    <n v="141"/>
    <x v="187"/>
  </r>
  <r>
    <n v="1290"/>
    <x v="171"/>
    <x v="0"/>
    <x v="2"/>
    <x v="0"/>
    <n v="8"/>
    <n v="80"/>
    <n v="640"/>
    <n v="40"/>
    <x v="188"/>
  </r>
  <r>
    <n v="1291"/>
    <x v="171"/>
    <x v="4"/>
    <x v="3"/>
    <x v="1"/>
    <n v="1"/>
    <n v="231.33"/>
    <n v="231.33"/>
    <n v="115.67"/>
    <x v="189"/>
  </r>
  <r>
    <n v="1292"/>
    <x v="171"/>
    <x v="4"/>
    <x v="0"/>
    <x v="1"/>
    <n v="1"/>
    <n v="425.33"/>
    <n v="425.33"/>
    <n v="212.67"/>
    <x v="190"/>
  </r>
  <r>
    <n v="1293"/>
    <x v="172"/>
    <x v="2"/>
    <x v="4"/>
    <x v="3"/>
    <n v="7"/>
    <n v="50"/>
    <n v="350"/>
    <n v="25"/>
    <x v="191"/>
  </r>
  <r>
    <n v="1294"/>
    <x v="172"/>
    <x v="2"/>
    <x v="0"/>
    <x v="2"/>
    <n v="7"/>
    <n v="20"/>
    <n v="140"/>
    <n v="10"/>
    <x v="57"/>
  </r>
  <r>
    <n v="1295"/>
    <x v="172"/>
    <x v="0"/>
    <x v="0"/>
    <x v="2"/>
    <n v="20"/>
    <n v="37"/>
    <n v="740"/>
    <n v="18.5"/>
    <x v="192"/>
  </r>
  <r>
    <n v="1296"/>
    <x v="173"/>
    <x v="2"/>
    <x v="2"/>
    <x v="0"/>
    <n v="10"/>
    <n v="57"/>
    <n v="570"/>
    <n v="28.5"/>
    <x v="193"/>
  </r>
  <r>
    <n v="1297"/>
    <x v="173"/>
    <x v="3"/>
    <x v="0"/>
    <x v="4"/>
    <n v="8"/>
    <n v="9"/>
    <n v="72"/>
    <n v="4.5"/>
    <x v="49"/>
  </r>
  <r>
    <n v="1298"/>
    <x v="174"/>
    <x v="0"/>
    <x v="4"/>
    <x v="4"/>
    <n v="5"/>
    <n v="5"/>
    <n v="25"/>
    <n v="2.5"/>
    <x v="15"/>
  </r>
  <r>
    <n v="1299"/>
    <x v="175"/>
    <x v="4"/>
    <x v="2"/>
    <x v="3"/>
    <n v="4"/>
    <n v="37"/>
    <n v="148"/>
    <n v="18.5"/>
    <x v="194"/>
  </r>
  <r>
    <n v="1300"/>
    <x v="175"/>
    <x v="3"/>
    <x v="3"/>
    <x v="0"/>
    <n v="6"/>
    <n v="16"/>
    <n v="96"/>
    <n v="8"/>
    <x v="134"/>
  </r>
  <r>
    <n v="1301"/>
    <x v="176"/>
    <x v="2"/>
    <x v="1"/>
    <x v="1"/>
    <n v="2"/>
    <n v="240"/>
    <n v="480"/>
    <n v="120"/>
    <x v="61"/>
  </r>
  <r>
    <n v="1302"/>
    <x v="177"/>
    <x v="2"/>
    <x v="3"/>
    <x v="4"/>
    <n v="1"/>
    <n v="7"/>
    <n v="7"/>
    <n v="3.5"/>
    <x v="97"/>
  </r>
  <r>
    <n v="1303"/>
    <x v="177"/>
    <x v="0"/>
    <x v="2"/>
    <x v="1"/>
    <n v="2"/>
    <n v="320"/>
    <n v="640"/>
    <n v="160"/>
    <x v="188"/>
  </r>
  <r>
    <n v="1304"/>
    <x v="178"/>
    <x v="1"/>
    <x v="3"/>
    <x v="4"/>
    <n v="7"/>
    <n v="10"/>
    <n v="70"/>
    <n v="5"/>
    <x v="31"/>
  </r>
  <r>
    <n v="1305"/>
    <x v="179"/>
    <x v="3"/>
    <x v="1"/>
    <x v="0"/>
    <n v="9"/>
    <n v="36"/>
    <n v="324"/>
    <n v="18"/>
    <x v="195"/>
  </r>
  <r>
    <n v="1306"/>
    <x v="179"/>
    <x v="3"/>
    <x v="4"/>
    <x v="0"/>
    <n v="9"/>
    <n v="208"/>
    <n v="1872"/>
    <n v="104"/>
    <x v="196"/>
  </r>
  <r>
    <n v="1307"/>
    <x v="180"/>
    <x v="0"/>
    <x v="2"/>
    <x v="1"/>
    <n v="2"/>
    <n v="173.33"/>
    <n v="346.67"/>
    <n v="86.67"/>
    <x v="197"/>
  </r>
  <r>
    <n v="1308"/>
    <x v="181"/>
    <x v="3"/>
    <x v="2"/>
    <x v="4"/>
    <n v="9"/>
    <n v="9"/>
    <n v="81"/>
    <n v="4.5"/>
    <x v="74"/>
  </r>
  <r>
    <n v="1309"/>
    <x v="182"/>
    <x v="3"/>
    <x v="0"/>
    <x v="3"/>
    <n v="8"/>
    <n v="45"/>
    <n v="360"/>
    <n v="22.5"/>
    <x v="198"/>
  </r>
  <r>
    <n v="1310"/>
    <x v="183"/>
    <x v="3"/>
    <x v="3"/>
    <x v="4"/>
    <n v="1"/>
    <n v="9"/>
    <n v="9"/>
    <n v="4.5"/>
    <x v="71"/>
  </r>
  <r>
    <n v="1311"/>
    <x v="183"/>
    <x v="3"/>
    <x v="3"/>
    <x v="4"/>
    <n v="5"/>
    <n v="5"/>
    <n v="25"/>
    <n v="2.5"/>
    <x v="15"/>
  </r>
  <r>
    <n v="1312"/>
    <x v="183"/>
    <x v="2"/>
    <x v="2"/>
    <x v="3"/>
    <n v="3"/>
    <n v="50"/>
    <n v="150"/>
    <n v="25"/>
    <x v="141"/>
  </r>
  <r>
    <n v="1313"/>
    <x v="184"/>
    <x v="2"/>
    <x v="4"/>
    <x v="4"/>
    <n v="6"/>
    <n v="10"/>
    <n v="60"/>
    <n v="5"/>
    <x v="38"/>
  </r>
  <r>
    <n v="1314"/>
    <x v="185"/>
    <x v="2"/>
    <x v="0"/>
    <x v="1"/>
    <n v="1"/>
    <n v="566.66999999999996"/>
    <n v="566.66999999999996"/>
    <n v="283.33"/>
    <x v="186"/>
  </r>
  <r>
    <n v="1315"/>
    <x v="186"/>
    <x v="3"/>
    <x v="4"/>
    <x v="4"/>
    <n v="4"/>
    <n v="6"/>
    <n v="24"/>
    <n v="3"/>
    <x v="11"/>
  </r>
  <r>
    <n v="1316"/>
    <x v="186"/>
    <x v="3"/>
    <x v="4"/>
    <x v="1"/>
    <n v="1"/>
    <n v="527.69000000000005"/>
    <n v="527.69000000000005"/>
    <n v="263.85000000000002"/>
    <x v="199"/>
  </r>
  <r>
    <n v="1317"/>
    <x v="187"/>
    <x v="4"/>
    <x v="4"/>
    <x v="4"/>
    <n v="9"/>
    <n v="8"/>
    <n v="72"/>
    <n v="4"/>
    <x v="49"/>
  </r>
  <r>
    <n v="1318"/>
    <x v="187"/>
    <x v="2"/>
    <x v="3"/>
    <x v="3"/>
    <n v="4"/>
    <n v="24"/>
    <n v="96"/>
    <n v="12"/>
    <x v="134"/>
  </r>
  <r>
    <n v="1319"/>
    <x v="188"/>
    <x v="3"/>
    <x v="2"/>
    <x v="0"/>
    <n v="10"/>
    <n v="65"/>
    <n v="650"/>
    <n v="32.5"/>
    <x v="200"/>
  </r>
  <r>
    <n v="1320"/>
    <x v="189"/>
    <x v="0"/>
    <x v="1"/>
    <x v="0"/>
    <n v="9"/>
    <n v="21"/>
    <n v="189"/>
    <n v="10.5"/>
    <x v="201"/>
  </r>
  <r>
    <n v="1321"/>
    <x v="189"/>
    <x v="2"/>
    <x v="1"/>
    <x v="2"/>
    <n v="10"/>
    <n v="11"/>
    <n v="110"/>
    <n v="5.5"/>
    <x v="202"/>
  </r>
  <r>
    <n v="1322"/>
    <x v="189"/>
    <x v="2"/>
    <x v="4"/>
    <x v="2"/>
    <n v="18"/>
    <n v="43"/>
    <n v="774"/>
    <n v="21.5"/>
    <x v="165"/>
  </r>
  <r>
    <n v="1323"/>
    <x v="190"/>
    <x v="2"/>
    <x v="3"/>
    <x v="4"/>
    <n v="5"/>
    <n v="9"/>
    <n v="45"/>
    <n v="4.5"/>
    <x v="203"/>
  </r>
  <r>
    <n v="1324"/>
    <x v="191"/>
    <x v="2"/>
    <x v="1"/>
    <x v="4"/>
    <n v="8"/>
    <n v="5"/>
    <n v="40"/>
    <n v="2.5"/>
    <x v="21"/>
  </r>
  <r>
    <n v="1325"/>
    <x v="191"/>
    <x v="1"/>
    <x v="1"/>
    <x v="2"/>
    <n v="10"/>
    <n v="8"/>
    <n v="80"/>
    <n v="4"/>
    <x v="2"/>
  </r>
  <r>
    <n v="1326"/>
    <x v="192"/>
    <x v="3"/>
    <x v="2"/>
    <x v="3"/>
    <n v="7"/>
    <n v="41"/>
    <n v="287"/>
    <n v="20.5"/>
    <x v="204"/>
  </r>
  <r>
    <n v="1327"/>
    <x v="192"/>
    <x v="0"/>
    <x v="3"/>
    <x v="4"/>
    <n v="1"/>
    <n v="7"/>
    <n v="7"/>
    <n v="3.5"/>
    <x v="97"/>
  </r>
  <r>
    <n v="1328"/>
    <x v="193"/>
    <x v="1"/>
    <x v="0"/>
    <x v="0"/>
    <n v="9"/>
    <n v="186"/>
    <n v="1674"/>
    <n v="93"/>
    <x v="205"/>
  </r>
  <r>
    <n v="1329"/>
    <x v="193"/>
    <x v="2"/>
    <x v="0"/>
    <x v="0"/>
    <n v="3"/>
    <n v="143"/>
    <n v="429"/>
    <n v="71.5"/>
    <x v="206"/>
  </r>
  <r>
    <n v="1330"/>
    <x v="194"/>
    <x v="3"/>
    <x v="4"/>
    <x v="2"/>
    <n v="6"/>
    <n v="46"/>
    <n v="276"/>
    <n v="23"/>
    <x v="207"/>
  </r>
  <r>
    <n v="1331"/>
    <x v="194"/>
    <x v="0"/>
    <x v="1"/>
    <x v="3"/>
    <n v="8"/>
    <n v="35"/>
    <n v="280"/>
    <n v="17.5"/>
    <x v="113"/>
  </r>
  <r>
    <n v="1332"/>
    <x v="194"/>
    <x v="1"/>
    <x v="4"/>
    <x v="2"/>
    <n v="11"/>
    <n v="25"/>
    <n v="275"/>
    <n v="12.5"/>
    <x v="88"/>
  </r>
  <r>
    <n v="1333"/>
    <x v="195"/>
    <x v="0"/>
    <x v="1"/>
    <x v="4"/>
    <n v="1"/>
    <n v="10"/>
    <n v="10"/>
    <n v="5"/>
    <x v="54"/>
  </r>
  <r>
    <n v="1334"/>
    <x v="196"/>
    <x v="4"/>
    <x v="4"/>
    <x v="3"/>
    <n v="5"/>
    <n v="29"/>
    <n v="145"/>
    <n v="14.5"/>
    <x v="208"/>
  </r>
  <r>
    <n v="1335"/>
    <x v="196"/>
    <x v="1"/>
    <x v="3"/>
    <x v="2"/>
    <n v="10"/>
    <n v="8"/>
    <n v="80"/>
    <n v="4"/>
    <x v="2"/>
  </r>
  <r>
    <n v="1336"/>
    <x v="197"/>
    <x v="2"/>
    <x v="3"/>
    <x v="1"/>
    <n v="2"/>
    <n v="91.33"/>
    <n v="182.67"/>
    <n v="45.67"/>
    <x v="209"/>
  </r>
  <r>
    <n v="1337"/>
    <x v="198"/>
    <x v="3"/>
    <x v="1"/>
    <x v="3"/>
    <n v="2"/>
    <n v="44"/>
    <n v="88"/>
    <n v="22"/>
    <x v="174"/>
  </r>
  <r>
    <n v="1338"/>
    <x v="198"/>
    <x v="3"/>
    <x v="3"/>
    <x v="0"/>
    <n v="5"/>
    <n v="23"/>
    <n v="115"/>
    <n v="11.5"/>
    <x v="210"/>
  </r>
  <r>
    <n v="1339"/>
    <x v="198"/>
    <x v="4"/>
    <x v="2"/>
    <x v="2"/>
    <n v="10"/>
    <n v="20"/>
    <n v="200"/>
    <n v="10"/>
    <x v="41"/>
  </r>
  <r>
    <n v="1340"/>
    <x v="198"/>
    <x v="1"/>
    <x v="3"/>
    <x v="3"/>
    <n v="3"/>
    <n v="40"/>
    <n v="120"/>
    <n v="20"/>
    <x v="211"/>
  </r>
  <r>
    <n v="1341"/>
    <x v="198"/>
    <x v="2"/>
    <x v="2"/>
    <x v="4"/>
    <n v="2"/>
    <n v="6"/>
    <n v="12"/>
    <n v="3"/>
    <x v="66"/>
  </r>
  <r>
    <n v="1342"/>
    <x v="199"/>
    <x v="3"/>
    <x v="4"/>
    <x v="4"/>
    <n v="1"/>
    <n v="9"/>
    <n v="9"/>
    <n v="4.5"/>
    <x v="71"/>
  </r>
  <r>
    <n v="1343"/>
    <x v="199"/>
    <x v="2"/>
    <x v="4"/>
    <x v="4"/>
    <n v="6"/>
    <n v="5"/>
    <n v="30"/>
    <n v="2.5"/>
    <x v="10"/>
  </r>
  <r>
    <n v="1344"/>
    <x v="200"/>
    <x v="2"/>
    <x v="0"/>
    <x v="4"/>
    <n v="5"/>
    <n v="9"/>
    <n v="45"/>
    <n v="4.5"/>
    <x v="203"/>
  </r>
  <r>
    <n v="1345"/>
    <x v="200"/>
    <x v="1"/>
    <x v="0"/>
    <x v="3"/>
    <n v="2"/>
    <n v="24"/>
    <n v="48"/>
    <n v="12"/>
    <x v="76"/>
  </r>
  <r>
    <n v="1346"/>
    <x v="201"/>
    <x v="4"/>
    <x v="3"/>
    <x v="1"/>
    <n v="2"/>
    <n v="176"/>
    <n v="352"/>
    <n v="88"/>
    <x v="212"/>
  </r>
  <r>
    <n v="1347"/>
    <x v="202"/>
    <x v="0"/>
    <x v="0"/>
    <x v="1"/>
    <n v="1"/>
    <n v="573.33000000000004"/>
    <n v="573.33000000000004"/>
    <n v="286.67"/>
    <x v="213"/>
  </r>
  <r>
    <n v="1348"/>
    <x v="203"/>
    <x v="1"/>
    <x v="4"/>
    <x v="4"/>
    <n v="8"/>
    <n v="6"/>
    <n v="48"/>
    <n v="3"/>
    <x v="76"/>
  </r>
  <r>
    <n v="1349"/>
    <x v="204"/>
    <x v="0"/>
    <x v="2"/>
    <x v="0"/>
    <n v="7"/>
    <n v="63"/>
    <n v="441"/>
    <n v="31.5"/>
    <x v="214"/>
  </r>
  <r>
    <n v="1350"/>
    <x v="204"/>
    <x v="4"/>
    <x v="2"/>
    <x v="4"/>
    <n v="6"/>
    <n v="6"/>
    <n v="36"/>
    <n v="3"/>
    <x v="127"/>
  </r>
  <r>
    <n v="1351"/>
    <x v="205"/>
    <x v="0"/>
    <x v="1"/>
    <x v="3"/>
    <n v="6"/>
    <n v="48"/>
    <n v="288"/>
    <n v="24"/>
    <x v="215"/>
  </r>
  <r>
    <n v="1352"/>
    <x v="206"/>
    <x v="3"/>
    <x v="1"/>
    <x v="0"/>
    <n v="5"/>
    <n v="15"/>
    <n v="75"/>
    <n v="7.5"/>
    <x v="163"/>
  </r>
  <r>
    <n v="1353"/>
    <x v="206"/>
    <x v="3"/>
    <x v="2"/>
    <x v="2"/>
    <n v="20"/>
    <n v="6"/>
    <n v="120"/>
    <n v="3"/>
    <x v="211"/>
  </r>
  <r>
    <n v="1354"/>
    <x v="207"/>
    <x v="2"/>
    <x v="0"/>
    <x v="0"/>
    <n v="2"/>
    <n v="198"/>
    <n v="396"/>
    <n v="99"/>
    <x v="216"/>
  </r>
  <r>
    <n v="1355"/>
    <x v="207"/>
    <x v="4"/>
    <x v="0"/>
    <x v="1"/>
    <n v="1"/>
    <n v="414"/>
    <n v="414"/>
    <n v="207"/>
    <x v="217"/>
  </r>
  <r>
    <n v="1356"/>
    <x v="208"/>
    <x v="0"/>
    <x v="4"/>
    <x v="2"/>
    <n v="18"/>
    <n v="16"/>
    <n v="288"/>
    <n v="8"/>
    <x v="215"/>
  </r>
  <r>
    <n v="1357"/>
    <x v="208"/>
    <x v="4"/>
    <x v="1"/>
    <x v="0"/>
    <n v="3"/>
    <n v="31"/>
    <n v="93"/>
    <n v="15.5"/>
    <x v="51"/>
  </r>
  <r>
    <n v="1358"/>
    <x v="208"/>
    <x v="0"/>
    <x v="4"/>
    <x v="1"/>
    <n v="2"/>
    <n v="340"/>
    <n v="680"/>
    <n v="170"/>
    <x v="218"/>
  </r>
  <r>
    <n v="1359"/>
    <x v="209"/>
    <x v="2"/>
    <x v="4"/>
    <x v="2"/>
    <n v="15"/>
    <n v="22"/>
    <n v="330"/>
    <n v="11"/>
    <x v="126"/>
  </r>
  <r>
    <n v="1360"/>
    <x v="209"/>
    <x v="1"/>
    <x v="4"/>
    <x v="4"/>
    <n v="6"/>
    <n v="7"/>
    <n v="42"/>
    <n v="3.5"/>
    <x v="219"/>
  </r>
  <r>
    <n v="1361"/>
    <x v="210"/>
    <x v="2"/>
    <x v="0"/>
    <x v="2"/>
    <n v="12"/>
    <n v="21"/>
    <n v="252"/>
    <n v="10.5"/>
    <x v="166"/>
  </r>
  <r>
    <n v="1362"/>
    <x v="211"/>
    <x v="0"/>
    <x v="1"/>
    <x v="2"/>
    <n v="7"/>
    <n v="15"/>
    <n v="105"/>
    <n v="7.5"/>
    <x v="120"/>
  </r>
  <r>
    <n v="1363"/>
    <x v="212"/>
    <x v="1"/>
    <x v="0"/>
    <x v="1"/>
    <n v="1"/>
    <n v="219.33"/>
    <n v="219.33"/>
    <n v="109.67"/>
    <x v="220"/>
  </r>
  <r>
    <n v="1364"/>
    <x v="213"/>
    <x v="0"/>
    <x v="0"/>
    <x v="4"/>
    <n v="5"/>
    <n v="6"/>
    <n v="30"/>
    <n v="3"/>
    <x v="10"/>
  </r>
  <r>
    <n v="1365"/>
    <x v="214"/>
    <x v="0"/>
    <x v="4"/>
    <x v="0"/>
    <n v="4"/>
    <n v="244"/>
    <n v="976"/>
    <n v="122"/>
    <x v="221"/>
  </r>
  <r>
    <n v="1366"/>
    <x v="215"/>
    <x v="2"/>
    <x v="4"/>
    <x v="4"/>
    <n v="1"/>
    <n v="8"/>
    <n v="8"/>
    <n v="4"/>
    <x v="222"/>
  </r>
  <r>
    <n v="1367"/>
    <x v="216"/>
    <x v="3"/>
    <x v="2"/>
    <x v="2"/>
    <n v="13"/>
    <n v="12"/>
    <n v="156"/>
    <n v="6"/>
    <x v="223"/>
  </r>
  <r>
    <n v="1368"/>
    <x v="217"/>
    <x v="1"/>
    <x v="0"/>
    <x v="3"/>
    <n v="4"/>
    <n v="35"/>
    <n v="140"/>
    <n v="17.5"/>
    <x v="57"/>
  </r>
  <r>
    <n v="1369"/>
    <x v="217"/>
    <x v="2"/>
    <x v="1"/>
    <x v="4"/>
    <n v="7"/>
    <n v="8"/>
    <n v="56"/>
    <n v="4"/>
    <x v="32"/>
  </r>
  <r>
    <n v="1370"/>
    <x v="218"/>
    <x v="3"/>
    <x v="3"/>
    <x v="0"/>
    <n v="8"/>
    <n v="20"/>
    <n v="160"/>
    <n v="10"/>
    <x v="56"/>
  </r>
  <r>
    <n v="1371"/>
    <x v="218"/>
    <x v="4"/>
    <x v="1"/>
    <x v="3"/>
    <n v="4"/>
    <n v="21"/>
    <n v="84"/>
    <n v="10.5"/>
    <x v="89"/>
  </r>
  <r>
    <n v="1372"/>
    <x v="219"/>
    <x v="0"/>
    <x v="0"/>
    <x v="3"/>
    <n v="3"/>
    <n v="36"/>
    <n v="108"/>
    <n v="18"/>
    <x v="224"/>
  </r>
  <r>
    <n v="1373"/>
    <x v="219"/>
    <x v="2"/>
    <x v="3"/>
    <x v="0"/>
    <n v="2"/>
    <n v="23"/>
    <n v="46"/>
    <n v="11.5"/>
    <x v="72"/>
  </r>
  <r>
    <n v="1374"/>
    <x v="220"/>
    <x v="4"/>
    <x v="3"/>
    <x v="1"/>
    <n v="2"/>
    <n v="133.33000000000001"/>
    <n v="266.67"/>
    <n v="66.67"/>
    <x v="225"/>
  </r>
  <r>
    <n v="1375"/>
    <x v="220"/>
    <x v="0"/>
    <x v="4"/>
    <x v="3"/>
    <n v="1"/>
    <n v="43"/>
    <n v="43"/>
    <n v="21.5"/>
    <x v="63"/>
  </r>
  <r>
    <n v="1376"/>
    <x v="221"/>
    <x v="1"/>
    <x v="2"/>
    <x v="3"/>
    <n v="5"/>
    <n v="50"/>
    <n v="250"/>
    <n v="25"/>
    <x v="226"/>
  </r>
  <r>
    <n v="1377"/>
    <x v="222"/>
    <x v="3"/>
    <x v="0"/>
    <x v="0"/>
    <n v="6"/>
    <n v="140"/>
    <n v="840"/>
    <n v="70"/>
    <x v="155"/>
  </r>
  <r>
    <n v="1378"/>
    <x v="223"/>
    <x v="1"/>
    <x v="4"/>
    <x v="4"/>
    <n v="4"/>
    <n v="5"/>
    <n v="20"/>
    <n v="2.5"/>
    <x v="37"/>
  </r>
  <r>
    <n v="1379"/>
    <x v="224"/>
    <x v="4"/>
    <x v="2"/>
    <x v="1"/>
    <n v="1"/>
    <n v="184.67"/>
    <n v="184.67"/>
    <n v="92.33"/>
    <x v="227"/>
  </r>
  <r>
    <n v="1380"/>
    <x v="224"/>
    <x v="4"/>
    <x v="2"/>
    <x v="2"/>
    <n v="8"/>
    <n v="6"/>
    <n v="48"/>
    <n v="3"/>
    <x v="76"/>
  </r>
  <r>
    <n v="1381"/>
    <x v="225"/>
    <x v="2"/>
    <x v="0"/>
    <x v="1"/>
    <n v="1"/>
    <n v="556"/>
    <n v="556"/>
    <n v="278"/>
    <x v="228"/>
  </r>
  <r>
    <n v="1382"/>
    <x v="226"/>
    <x v="4"/>
    <x v="1"/>
    <x v="3"/>
    <n v="1"/>
    <n v="48"/>
    <n v="48"/>
    <n v="24"/>
    <x v="76"/>
  </r>
  <r>
    <n v="1383"/>
    <x v="227"/>
    <x v="4"/>
    <x v="2"/>
    <x v="4"/>
    <n v="1"/>
    <n v="7"/>
    <n v="7"/>
    <n v="3.5"/>
    <x v="97"/>
  </r>
  <r>
    <n v="1384"/>
    <x v="228"/>
    <x v="2"/>
    <x v="0"/>
    <x v="4"/>
    <n v="5"/>
    <n v="6"/>
    <n v="30"/>
    <n v="3"/>
    <x v="10"/>
  </r>
  <r>
    <n v="1385"/>
    <x v="229"/>
    <x v="4"/>
    <x v="3"/>
    <x v="3"/>
    <n v="4"/>
    <n v="28"/>
    <n v="112"/>
    <n v="14"/>
    <x v="24"/>
  </r>
  <r>
    <n v="1386"/>
    <x v="230"/>
    <x v="3"/>
    <x v="3"/>
    <x v="3"/>
    <n v="9"/>
    <n v="23"/>
    <n v="207"/>
    <n v="11.5"/>
    <x v="229"/>
  </r>
  <r>
    <n v="1387"/>
    <x v="231"/>
    <x v="4"/>
    <x v="2"/>
    <x v="4"/>
    <n v="3"/>
    <n v="6"/>
    <n v="18"/>
    <n v="3"/>
    <x v="138"/>
  </r>
  <r>
    <n v="1388"/>
    <x v="232"/>
    <x v="2"/>
    <x v="0"/>
    <x v="3"/>
    <n v="2"/>
    <n v="38"/>
    <n v="76"/>
    <n v="19"/>
    <x v="230"/>
  </r>
  <r>
    <n v="1389"/>
    <x v="233"/>
    <x v="0"/>
    <x v="3"/>
    <x v="3"/>
    <n v="1"/>
    <n v="39"/>
    <n v="39"/>
    <n v="19.5"/>
    <x v="231"/>
  </r>
  <r>
    <n v="1390"/>
    <x v="233"/>
    <x v="4"/>
    <x v="3"/>
    <x v="1"/>
    <n v="1"/>
    <n v="157.33000000000001"/>
    <n v="157.33000000000001"/>
    <n v="78.67"/>
    <x v="159"/>
  </r>
  <r>
    <n v="1391"/>
    <x v="233"/>
    <x v="1"/>
    <x v="2"/>
    <x v="0"/>
    <n v="8"/>
    <n v="81"/>
    <n v="648"/>
    <n v="40.5"/>
    <x v="232"/>
  </r>
  <r>
    <n v="1392"/>
    <x v="234"/>
    <x v="1"/>
    <x v="1"/>
    <x v="1"/>
    <n v="2"/>
    <n v="202.67"/>
    <n v="405.33"/>
    <n v="101.33"/>
    <x v="233"/>
  </r>
  <r>
    <n v="1393"/>
    <x v="234"/>
    <x v="2"/>
    <x v="3"/>
    <x v="2"/>
    <n v="15"/>
    <n v="9"/>
    <n v="135"/>
    <n v="4.5"/>
    <x v="234"/>
  </r>
  <r>
    <n v="1394"/>
    <x v="234"/>
    <x v="4"/>
    <x v="2"/>
    <x v="2"/>
    <n v="18"/>
    <n v="8"/>
    <n v="144"/>
    <n v="4"/>
    <x v="65"/>
  </r>
  <r>
    <n v="1395"/>
    <x v="235"/>
    <x v="3"/>
    <x v="1"/>
    <x v="0"/>
    <n v="9"/>
    <n v="31"/>
    <n v="279"/>
    <n v="15.5"/>
    <x v="235"/>
  </r>
  <r>
    <n v="1396"/>
    <x v="235"/>
    <x v="3"/>
    <x v="4"/>
    <x v="2"/>
    <n v="10"/>
    <n v="25"/>
    <n v="250"/>
    <n v="12.5"/>
    <x v="226"/>
  </r>
  <r>
    <n v="1397"/>
    <x v="236"/>
    <x v="0"/>
    <x v="4"/>
    <x v="1"/>
    <n v="1"/>
    <n v="480"/>
    <n v="480"/>
    <n v="240"/>
    <x v="61"/>
  </r>
  <r>
    <n v="1398"/>
    <x v="237"/>
    <x v="0"/>
    <x v="1"/>
    <x v="0"/>
    <n v="10"/>
    <n v="50"/>
    <n v="500"/>
    <n v="25"/>
    <x v="236"/>
  </r>
  <r>
    <n v="1399"/>
    <x v="238"/>
    <x v="0"/>
    <x v="3"/>
    <x v="2"/>
    <n v="19"/>
    <n v="7"/>
    <n v="133"/>
    <n v="3.5"/>
    <x v="237"/>
  </r>
  <r>
    <n v="1400"/>
    <x v="238"/>
    <x v="3"/>
    <x v="2"/>
    <x v="4"/>
    <n v="8"/>
    <n v="8"/>
    <n v="64"/>
    <n v="4"/>
    <x v="52"/>
  </r>
  <r>
    <n v="1401"/>
    <x v="239"/>
    <x v="2"/>
    <x v="0"/>
    <x v="1"/>
    <n v="2"/>
    <n v="596"/>
    <n v="1192"/>
    <n v="298"/>
    <x v="238"/>
  </r>
  <r>
    <n v="1402"/>
    <x v="240"/>
    <x v="4"/>
    <x v="3"/>
    <x v="3"/>
    <n v="6"/>
    <n v="47"/>
    <n v="282"/>
    <n v="23.5"/>
    <x v="183"/>
  </r>
  <r>
    <n v="1403"/>
    <x v="241"/>
    <x v="2"/>
    <x v="1"/>
    <x v="1"/>
    <n v="1"/>
    <n v="310"/>
    <n v="310"/>
    <n v="155"/>
    <x v="239"/>
  </r>
  <r>
    <n v="1404"/>
    <x v="242"/>
    <x v="2"/>
    <x v="4"/>
    <x v="2"/>
    <n v="19"/>
    <n v="49"/>
    <n v="931"/>
    <n v="24.5"/>
    <x v="240"/>
  </r>
  <r>
    <n v="1405"/>
    <x v="243"/>
    <x v="2"/>
    <x v="1"/>
    <x v="3"/>
    <n v="2"/>
    <n v="50"/>
    <n v="100"/>
    <n v="25"/>
    <x v="82"/>
  </r>
  <r>
    <n v="1406"/>
    <x v="243"/>
    <x v="2"/>
    <x v="2"/>
    <x v="4"/>
    <n v="4"/>
    <n v="8"/>
    <n v="32"/>
    <n v="4"/>
    <x v="35"/>
  </r>
  <r>
    <n v="1407"/>
    <x v="243"/>
    <x v="1"/>
    <x v="2"/>
    <x v="1"/>
    <n v="2"/>
    <n v="219.33"/>
    <n v="438.67"/>
    <n v="109.67"/>
    <x v="58"/>
  </r>
  <r>
    <n v="1408"/>
    <x v="244"/>
    <x v="0"/>
    <x v="1"/>
    <x v="4"/>
    <n v="10"/>
    <n v="9"/>
    <n v="90"/>
    <n v="4.5"/>
    <x v="5"/>
  </r>
  <r>
    <n v="1409"/>
    <x v="245"/>
    <x v="3"/>
    <x v="3"/>
    <x v="1"/>
    <n v="1"/>
    <n v="200"/>
    <n v="200"/>
    <n v="100"/>
    <x v="41"/>
  </r>
  <r>
    <n v="1410"/>
    <x v="246"/>
    <x v="2"/>
    <x v="0"/>
    <x v="3"/>
    <n v="6"/>
    <n v="38"/>
    <n v="228"/>
    <n v="19"/>
    <x v="176"/>
  </r>
  <r>
    <n v="1411"/>
    <x v="246"/>
    <x v="4"/>
    <x v="1"/>
    <x v="4"/>
    <n v="8"/>
    <n v="9"/>
    <n v="72"/>
    <n v="4.5"/>
    <x v="49"/>
  </r>
  <r>
    <n v="1412"/>
    <x v="247"/>
    <x v="3"/>
    <x v="0"/>
    <x v="4"/>
    <n v="4"/>
    <n v="7"/>
    <n v="28"/>
    <n v="3.5"/>
    <x v="149"/>
  </r>
  <r>
    <n v="1413"/>
    <x v="248"/>
    <x v="3"/>
    <x v="4"/>
    <x v="1"/>
    <n v="2"/>
    <n v="315.89999999999998"/>
    <n v="631.79"/>
    <n v="157.94999999999999"/>
    <x v="241"/>
  </r>
  <r>
    <n v="1414"/>
    <x v="248"/>
    <x v="1"/>
    <x v="0"/>
    <x v="4"/>
    <n v="1"/>
    <n v="7"/>
    <n v="7"/>
    <n v="3.5"/>
    <x v="97"/>
  </r>
  <r>
    <n v="1415"/>
    <x v="249"/>
    <x v="4"/>
    <x v="3"/>
    <x v="3"/>
    <n v="2"/>
    <n v="23"/>
    <n v="46"/>
    <n v="11.5"/>
    <x v="72"/>
  </r>
  <r>
    <n v="1416"/>
    <x v="249"/>
    <x v="4"/>
    <x v="4"/>
    <x v="2"/>
    <n v="14"/>
    <n v="23"/>
    <n v="322"/>
    <n v="11.5"/>
    <x v="242"/>
  </r>
  <r>
    <n v="1417"/>
    <x v="250"/>
    <x v="2"/>
    <x v="0"/>
    <x v="2"/>
    <n v="9"/>
    <n v="28"/>
    <n v="252"/>
    <n v="14"/>
    <x v="166"/>
  </r>
  <r>
    <n v="1418"/>
    <x v="250"/>
    <x v="2"/>
    <x v="4"/>
    <x v="4"/>
    <n v="9"/>
    <n v="7"/>
    <n v="63"/>
    <n v="3.5"/>
    <x v="19"/>
  </r>
  <r>
    <n v="1419"/>
    <x v="251"/>
    <x v="4"/>
    <x v="4"/>
    <x v="3"/>
    <n v="1"/>
    <n v="29"/>
    <n v="29"/>
    <n v="14.5"/>
    <x v="243"/>
  </r>
  <r>
    <n v="1420"/>
    <x v="252"/>
    <x v="3"/>
    <x v="1"/>
    <x v="0"/>
    <n v="2"/>
    <n v="19"/>
    <n v="38"/>
    <n v="9.5"/>
    <x v="46"/>
  </r>
  <r>
    <n v="1421"/>
    <x v="252"/>
    <x v="2"/>
    <x v="4"/>
    <x v="0"/>
    <n v="10"/>
    <n v="211"/>
    <n v="2110"/>
    <n v="105.5"/>
    <x v="244"/>
  </r>
  <r>
    <n v="1422"/>
    <x v="252"/>
    <x v="0"/>
    <x v="3"/>
    <x v="1"/>
    <n v="2"/>
    <n v="324.67"/>
    <n v="649.33000000000004"/>
    <n v="162.33000000000001"/>
    <x v="245"/>
  </r>
  <r>
    <n v="1423"/>
    <x v="253"/>
    <x v="3"/>
    <x v="0"/>
    <x v="3"/>
    <n v="9"/>
    <n v="42"/>
    <n v="378"/>
    <n v="21"/>
    <x v="246"/>
  </r>
  <r>
    <n v="1424"/>
    <x v="254"/>
    <x v="0"/>
    <x v="4"/>
    <x v="3"/>
    <n v="1"/>
    <n v="29"/>
    <n v="29"/>
    <n v="14.5"/>
    <x v="243"/>
  </r>
  <r>
    <n v="1425"/>
    <x v="254"/>
    <x v="0"/>
    <x v="1"/>
    <x v="0"/>
    <n v="1"/>
    <n v="22"/>
    <n v="22"/>
    <n v="11"/>
    <x v="247"/>
  </r>
  <r>
    <n v="1426"/>
    <x v="255"/>
    <x v="0"/>
    <x v="0"/>
    <x v="2"/>
    <n v="16"/>
    <n v="24"/>
    <n v="384"/>
    <n v="12"/>
    <x v="248"/>
  </r>
  <r>
    <n v="1427"/>
    <x v="256"/>
    <x v="3"/>
    <x v="1"/>
    <x v="2"/>
    <n v="6"/>
    <n v="18"/>
    <n v="108"/>
    <n v="9"/>
    <x v="224"/>
  </r>
  <r>
    <n v="1428"/>
    <x v="256"/>
    <x v="0"/>
    <x v="1"/>
    <x v="4"/>
    <n v="6"/>
    <n v="5"/>
    <n v="30"/>
    <n v="2.5"/>
    <x v="10"/>
  </r>
  <r>
    <n v="1429"/>
    <x v="257"/>
    <x v="0"/>
    <x v="3"/>
    <x v="4"/>
    <n v="9"/>
    <n v="5"/>
    <n v="45"/>
    <n v="2.5"/>
    <x v="203"/>
  </r>
  <r>
    <n v="1430"/>
    <x v="258"/>
    <x v="3"/>
    <x v="2"/>
    <x v="1"/>
    <n v="2"/>
    <n v="186"/>
    <n v="372"/>
    <n v="93"/>
    <x v="249"/>
  </r>
  <r>
    <n v="1431"/>
    <x v="259"/>
    <x v="4"/>
    <x v="3"/>
    <x v="0"/>
    <n v="4"/>
    <n v="14"/>
    <n v="56"/>
    <n v="7"/>
    <x v="32"/>
  </r>
  <r>
    <n v="1432"/>
    <x v="259"/>
    <x v="2"/>
    <x v="1"/>
    <x v="1"/>
    <n v="2"/>
    <n v="270"/>
    <n v="540"/>
    <n v="135"/>
    <x v="250"/>
  </r>
  <r>
    <n v="1433"/>
    <x v="259"/>
    <x v="1"/>
    <x v="2"/>
    <x v="1"/>
    <n v="2"/>
    <n v="154"/>
    <n v="308"/>
    <n v="77"/>
    <x v="251"/>
  </r>
  <r>
    <n v="1434"/>
    <x v="259"/>
    <x v="4"/>
    <x v="3"/>
    <x v="1"/>
    <n v="2"/>
    <n v="100"/>
    <n v="200"/>
    <n v="50"/>
    <x v="41"/>
  </r>
  <r>
    <n v="1435"/>
    <x v="260"/>
    <x v="2"/>
    <x v="0"/>
    <x v="4"/>
    <n v="4"/>
    <n v="8"/>
    <n v="32"/>
    <n v="4"/>
    <x v="35"/>
  </r>
  <r>
    <n v="1436"/>
    <x v="260"/>
    <x v="2"/>
    <x v="3"/>
    <x v="4"/>
    <n v="4"/>
    <n v="9"/>
    <n v="36"/>
    <n v="4.5"/>
    <x v="127"/>
  </r>
  <r>
    <n v="1437"/>
    <x v="260"/>
    <x v="2"/>
    <x v="2"/>
    <x v="0"/>
    <n v="8"/>
    <n v="58"/>
    <n v="464"/>
    <n v="29"/>
    <x v="252"/>
  </r>
  <r>
    <n v="1438"/>
    <x v="261"/>
    <x v="2"/>
    <x v="4"/>
    <x v="2"/>
    <n v="3"/>
    <n v="48"/>
    <n v="144"/>
    <n v="24"/>
    <x v="65"/>
  </r>
  <r>
    <n v="1439"/>
    <x v="262"/>
    <x v="4"/>
    <x v="2"/>
    <x v="3"/>
    <n v="5"/>
    <n v="49"/>
    <n v="245"/>
    <n v="24.5"/>
    <x v="4"/>
  </r>
  <r>
    <n v="1440"/>
    <x v="262"/>
    <x v="0"/>
    <x v="1"/>
    <x v="2"/>
    <n v="13"/>
    <n v="6"/>
    <n v="78"/>
    <n v="3"/>
    <x v="151"/>
  </r>
  <r>
    <n v="1441"/>
    <x v="263"/>
    <x v="4"/>
    <x v="2"/>
    <x v="0"/>
    <n v="10"/>
    <n v="63"/>
    <n v="630"/>
    <n v="31.5"/>
    <x v="253"/>
  </r>
  <r>
    <n v="1442"/>
    <x v="264"/>
    <x v="0"/>
    <x v="1"/>
    <x v="3"/>
    <n v="5"/>
    <n v="36"/>
    <n v="180"/>
    <n v="18"/>
    <x v="55"/>
  </r>
  <r>
    <n v="1443"/>
    <x v="264"/>
    <x v="4"/>
    <x v="2"/>
    <x v="1"/>
    <n v="1"/>
    <n v="314"/>
    <n v="314"/>
    <n v="157"/>
    <x v="77"/>
  </r>
  <r>
    <n v="1444"/>
    <x v="264"/>
    <x v="2"/>
    <x v="0"/>
    <x v="4"/>
    <n v="6"/>
    <n v="8"/>
    <n v="48"/>
    <n v="4"/>
    <x v="76"/>
  </r>
  <r>
    <n v="1445"/>
    <x v="265"/>
    <x v="1"/>
    <x v="2"/>
    <x v="0"/>
    <n v="3"/>
    <n v="63"/>
    <n v="189"/>
    <n v="31.5"/>
    <x v="201"/>
  </r>
  <r>
    <n v="1446"/>
    <x v="266"/>
    <x v="1"/>
    <x v="2"/>
    <x v="0"/>
    <n v="3"/>
    <n v="81"/>
    <n v="243"/>
    <n v="40.5"/>
    <x v="254"/>
  </r>
  <r>
    <n v="1447"/>
    <x v="267"/>
    <x v="4"/>
    <x v="1"/>
    <x v="1"/>
    <n v="1"/>
    <n v="268"/>
    <n v="268"/>
    <n v="134"/>
    <x v="255"/>
  </r>
  <r>
    <n v="1448"/>
    <x v="268"/>
    <x v="4"/>
    <x v="0"/>
    <x v="0"/>
    <n v="10"/>
    <n v="174"/>
    <n v="1740"/>
    <n v="87"/>
    <x v="256"/>
  </r>
  <r>
    <n v="1449"/>
    <x v="268"/>
    <x v="4"/>
    <x v="1"/>
    <x v="1"/>
    <n v="2"/>
    <n v="144.66999999999999"/>
    <n v="289.33"/>
    <n v="72.33"/>
    <x v="257"/>
  </r>
  <r>
    <n v="1450"/>
    <x v="269"/>
    <x v="0"/>
    <x v="2"/>
    <x v="1"/>
    <n v="2"/>
    <n v="256.67"/>
    <n v="513.33000000000004"/>
    <n v="128.33000000000001"/>
    <x v="258"/>
  </r>
  <r>
    <n v="1451"/>
    <x v="270"/>
    <x v="1"/>
    <x v="2"/>
    <x v="4"/>
    <n v="7"/>
    <n v="8"/>
    <n v="56"/>
    <n v="4"/>
    <x v="32"/>
  </r>
  <r>
    <n v="1452"/>
    <x v="270"/>
    <x v="1"/>
    <x v="3"/>
    <x v="2"/>
    <n v="17"/>
    <n v="9"/>
    <n v="153"/>
    <n v="4.5"/>
    <x v="259"/>
  </r>
  <r>
    <n v="1453"/>
    <x v="271"/>
    <x v="2"/>
    <x v="3"/>
    <x v="4"/>
    <n v="1"/>
    <n v="9"/>
    <n v="9"/>
    <n v="4.5"/>
    <x v="71"/>
  </r>
  <r>
    <n v="1454"/>
    <x v="272"/>
    <x v="2"/>
    <x v="1"/>
    <x v="1"/>
    <n v="1"/>
    <n v="536"/>
    <n v="536"/>
    <n v="268"/>
    <x v="260"/>
  </r>
  <r>
    <n v="1455"/>
    <x v="272"/>
    <x v="4"/>
    <x v="2"/>
    <x v="2"/>
    <n v="10"/>
    <n v="12"/>
    <n v="120"/>
    <n v="6"/>
    <x v="211"/>
  </r>
  <r>
    <n v="1456"/>
    <x v="272"/>
    <x v="0"/>
    <x v="2"/>
    <x v="1"/>
    <n v="1"/>
    <n v="283.33"/>
    <n v="283.33"/>
    <n v="141.66999999999999"/>
    <x v="261"/>
  </r>
  <r>
    <n v="1457"/>
    <x v="272"/>
    <x v="3"/>
    <x v="4"/>
    <x v="0"/>
    <n v="5"/>
    <n v="113"/>
    <n v="565"/>
    <n v="56.5"/>
    <x v="262"/>
  </r>
  <r>
    <n v="1458"/>
    <x v="273"/>
    <x v="3"/>
    <x v="2"/>
    <x v="2"/>
    <n v="19"/>
    <n v="5"/>
    <n v="95"/>
    <n v="2.5"/>
    <x v="263"/>
  </r>
  <r>
    <n v="1459"/>
    <x v="273"/>
    <x v="0"/>
    <x v="4"/>
    <x v="2"/>
    <n v="5"/>
    <n v="34"/>
    <n v="170"/>
    <n v="17"/>
    <x v="101"/>
  </r>
  <r>
    <n v="1460"/>
    <x v="273"/>
    <x v="2"/>
    <x v="4"/>
    <x v="3"/>
    <n v="1"/>
    <n v="47"/>
    <n v="47"/>
    <n v="23.5"/>
    <x v="8"/>
  </r>
  <r>
    <n v="1461"/>
    <x v="274"/>
    <x v="4"/>
    <x v="4"/>
    <x v="4"/>
    <n v="2"/>
    <n v="7"/>
    <n v="14"/>
    <n v="3.5"/>
    <x v="125"/>
  </r>
  <r>
    <n v="1462"/>
    <x v="275"/>
    <x v="4"/>
    <x v="0"/>
    <x v="1"/>
    <n v="2"/>
    <n v="557.33000000000004"/>
    <n v="1114.67"/>
    <n v="278.67"/>
    <x v="264"/>
  </r>
  <r>
    <n v="1463"/>
    <x v="275"/>
    <x v="2"/>
    <x v="0"/>
    <x v="4"/>
    <n v="3"/>
    <n v="7"/>
    <n v="21"/>
    <n v="3.5"/>
    <x v="25"/>
  </r>
  <r>
    <n v="1464"/>
    <x v="276"/>
    <x v="1"/>
    <x v="1"/>
    <x v="2"/>
    <n v="19"/>
    <n v="17"/>
    <n v="323"/>
    <n v="8.5"/>
    <x v="265"/>
  </r>
  <r>
    <n v="1465"/>
    <x v="277"/>
    <x v="2"/>
    <x v="2"/>
    <x v="2"/>
    <n v="10"/>
    <n v="9"/>
    <n v="90"/>
    <n v="4.5"/>
    <x v="5"/>
  </r>
  <r>
    <n v="1466"/>
    <x v="277"/>
    <x v="0"/>
    <x v="1"/>
    <x v="2"/>
    <n v="8"/>
    <n v="20"/>
    <n v="160"/>
    <n v="10"/>
    <x v="56"/>
  </r>
  <r>
    <n v="1467"/>
    <x v="278"/>
    <x v="0"/>
    <x v="3"/>
    <x v="0"/>
    <n v="5"/>
    <n v="11"/>
    <n v="55"/>
    <n v="5.5"/>
    <x v="266"/>
  </r>
  <r>
    <n v="1468"/>
    <x v="278"/>
    <x v="4"/>
    <x v="3"/>
    <x v="4"/>
    <n v="1"/>
    <n v="9"/>
    <n v="9"/>
    <n v="4.5"/>
    <x v="71"/>
  </r>
  <r>
    <n v="1469"/>
    <x v="279"/>
    <x v="2"/>
    <x v="3"/>
    <x v="1"/>
    <n v="1"/>
    <n v="240.67"/>
    <n v="240.67"/>
    <n v="120.33"/>
    <x v="267"/>
  </r>
  <r>
    <n v="1470"/>
    <x v="280"/>
    <x v="3"/>
    <x v="2"/>
    <x v="4"/>
    <n v="8"/>
    <n v="7"/>
    <n v="56"/>
    <n v="3.5"/>
    <x v="32"/>
  </r>
  <r>
    <n v="1471"/>
    <x v="281"/>
    <x v="4"/>
    <x v="1"/>
    <x v="4"/>
    <n v="9"/>
    <n v="6"/>
    <n v="54"/>
    <n v="3"/>
    <x v="91"/>
  </r>
  <r>
    <n v="1472"/>
    <x v="281"/>
    <x v="3"/>
    <x v="0"/>
    <x v="0"/>
    <n v="4"/>
    <n v="146"/>
    <n v="584"/>
    <n v="73"/>
    <x v="268"/>
  </r>
  <r>
    <n v="1473"/>
    <x v="282"/>
    <x v="3"/>
    <x v="0"/>
    <x v="0"/>
    <n v="4"/>
    <n v="116"/>
    <n v="464"/>
    <n v="58"/>
    <x v="252"/>
  </r>
  <r>
    <n v="1474"/>
    <x v="282"/>
    <x v="0"/>
    <x v="3"/>
    <x v="1"/>
    <n v="2"/>
    <n v="304.67"/>
    <n v="609.33000000000004"/>
    <n v="152.33000000000001"/>
    <x v="269"/>
  </r>
  <r>
    <n v="1475"/>
    <x v="282"/>
    <x v="4"/>
    <x v="2"/>
    <x v="2"/>
    <n v="19"/>
    <n v="8"/>
    <n v="152"/>
    <n v="4"/>
    <x v="94"/>
  </r>
  <r>
    <n v="1476"/>
    <x v="283"/>
    <x v="1"/>
    <x v="1"/>
    <x v="4"/>
    <n v="8"/>
    <n v="5"/>
    <n v="40"/>
    <n v="2.5"/>
    <x v="21"/>
  </r>
  <r>
    <n v="1477"/>
    <x v="284"/>
    <x v="1"/>
    <x v="0"/>
    <x v="4"/>
    <n v="10"/>
    <n v="7"/>
    <n v="70"/>
    <n v="3.5"/>
    <x v="31"/>
  </r>
  <r>
    <n v="1478"/>
    <x v="285"/>
    <x v="4"/>
    <x v="3"/>
    <x v="3"/>
    <n v="9"/>
    <n v="42"/>
    <n v="378"/>
    <n v="21"/>
    <x v="246"/>
  </r>
  <r>
    <n v="1479"/>
    <x v="286"/>
    <x v="0"/>
    <x v="2"/>
    <x v="4"/>
    <n v="4"/>
    <n v="9"/>
    <n v="36"/>
    <n v="4.5"/>
    <x v="127"/>
  </r>
  <r>
    <n v="1480"/>
    <x v="287"/>
    <x v="4"/>
    <x v="2"/>
    <x v="2"/>
    <n v="15"/>
    <n v="7"/>
    <n v="105"/>
    <n v="3.5"/>
    <x v="120"/>
  </r>
  <r>
    <n v="1481"/>
    <x v="288"/>
    <x v="0"/>
    <x v="0"/>
    <x v="0"/>
    <n v="6"/>
    <n v="170"/>
    <n v="1020"/>
    <n v="85"/>
    <x v="270"/>
  </r>
  <r>
    <n v="1482"/>
    <x v="289"/>
    <x v="3"/>
    <x v="2"/>
    <x v="1"/>
    <n v="2"/>
    <n v="304"/>
    <n v="608"/>
    <n v="152"/>
    <x v="271"/>
  </r>
  <r>
    <n v="1483"/>
    <x v="289"/>
    <x v="4"/>
    <x v="4"/>
    <x v="1"/>
    <n v="2"/>
    <n v="366.67"/>
    <n v="733.33"/>
    <n v="183.33"/>
    <x v="272"/>
  </r>
  <r>
    <n v="1484"/>
    <x v="290"/>
    <x v="1"/>
    <x v="4"/>
    <x v="2"/>
    <n v="14"/>
    <n v="32"/>
    <n v="448"/>
    <n v="16"/>
    <x v="273"/>
  </r>
  <r>
    <n v="1485"/>
    <x v="291"/>
    <x v="2"/>
    <x v="0"/>
    <x v="1"/>
    <n v="2"/>
    <n v="314.67"/>
    <n v="629.33000000000004"/>
    <n v="157.33000000000001"/>
    <x v="274"/>
  </r>
  <r>
    <n v="1486"/>
    <x v="292"/>
    <x v="1"/>
    <x v="1"/>
    <x v="0"/>
    <n v="3"/>
    <n v="31"/>
    <n v="93"/>
    <n v="15.5"/>
    <x v="51"/>
  </r>
  <r>
    <n v="1487"/>
    <x v="293"/>
    <x v="1"/>
    <x v="2"/>
    <x v="4"/>
    <n v="8"/>
    <n v="9"/>
    <n v="72"/>
    <n v="4.5"/>
    <x v="49"/>
  </r>
  <r>
    <n v="1488"/>
    <x v="294"/>
    <x v="1"/>
    <x v="4"/>
    <x v="0"/>
    <n v="9"/>
    <n v="192"/>
    <n v="1728"/>
    <n v="96"/>
    <x v="275"/>
  </r>
  <r>
    <n v="1489"/>
    <x v="294"/>
    <x v="0"/>
    <x v="2"/>
    <x v="4"/>
    <n v="4"/>
    <n v="10"/>
    <n v="40"/>
    <n v="5"/>
    <x v="21"/>
  </r>
  <r>
    <n v="1490"/>
    <x v="295"/>
    <x v="0"/>
    <x v="4"/>
    <x v="2"/>
    <n v="7"/>
    <n v="19"/>
    <n v="133"/>
    <n v="9.5"/>
    <x v="237"/>
  </r>
  <r>
    <n v="1491"/>
    <x v="296"/>
    <x v="1"/>
    <x v="1"/>
    <x v="2"/>
    <n v="5"/>
    <n v="23"/>
    <n v="115"/>
    <n v="11.5"/>
    <x v="210"/>
  </r>
  <r>
    <n v="1492"/>
    <x v="297"/>
    <x v="4"/>
    <x v="2"/>
    <x v="2"/>
    <n v="7"/>
    <n v="10"/>
    <n v="70"/>
    <n v="5"/>
    <x v="31"/>
  </r>
  <r>
    <n v="1493"/>
    <x v="298"/>
    <x v="4"/>
    <x v="0"/>
    <x v="0"/>
    <n v="4"/>
    <n v="180"/>
    <n v="720"/>
    <n v="90"/>
    <x v="106"/>
  </r>
  <r>
    <n v="1494"/>
    <x v="298"/>
    <x v="1"/>
    <x v="4"/>
    <x v="0"/>
    <n v="9"/>
    <n v="250"/>
    <n v="2250"/>
    <n v="125"/>
    <x v="276"/>
  </r>
  <r>
    <n v="1495"/>
    <x v="298"/>
    <x v="0"/>
    <x v="0"/>
    <x v="1"/>
    <n v="2"/>
    <n v="376.67"/>
    <n v="753.33"/>
    <n v="188.33"/>
    <x v="277"/>
  </r>
  <r>
    <n v="1496"/>
    <x v="299"/>
    <x v="3"/>
    <x v="0"/>
    <x v="2"/>
    <n v="16"/>
    <n v="36"/>
    <n v="576"/>
    <n v="18"/>
    <x v="278"/>
  </r>
  <r>
    <n v="1497"/>
    <x v="300"/>
    <x v="4"/>
    <x v="0"/>
    <x v="0"/>
    <n v="6"/>
    <n v="134"/>
    <n v="804"/>
    <n v="67"/>
    <x v="279"/>
  </r>
  <r>
    <n v="1498"/>
    <x v="301"/>
    <x v="2"/>
    <x v="2"/>
    <x v="3"/>
    <n v="9"/>
    <n v="27"/>
    <n v="243"/>
    <n v="13.5"/>
    <x v="254"/>
  </r>
  <r>
    <n v="1499"/>
    <x v="302"/>
    <x v="0"/>
    <x v="2"/>
    <x v="1"/>
    <n v="2"/>
    <n v="278"/>
    <n v="556"/>
    <n v="139"/>
    <x v="228"/>
  </r>
  <r>
    <n v="1500"/>
    <x v="303"/>
    <x v="1"/>
    <x v="3"/>
    <x v="4"/>
    <n v="10"/>
    <n v="6"/>
    <n v="60"/>
    <n v="3"/>
    <x v="38"/>
  </r>
  <r>
    <n v="1501"/>
    <x v="303"/>
    <x v="4"/>
    <x v="0"/>
    <x v="4"/>
    <n v="7"/>
    <n v="8"/>
    <n v="56"/>
    <n v="4"/>
    <x v="32"/>
  </r>
  <r>
    <n v="1502"/>
    <x v="304"/>
    <x v="4"/>
    <x v="1"/>
    <x v="4"/>
    <n v="8"/>
    <n v="9"/>
    <n v="72"/>
    <n v="4.5"/>
    <x v="49"/>
  </r>
  <r>
    <n v="1503"/>
    <x v="305"/>
    <x v="2"/>
    <x v="0"/>
    <x v="3"/>
    <n v="2"/>
    <n v="30"/>
    <n v="60"/>
    <n v="15"/>
    <x v="38"/>
  </r>
  <r>
    <n v="1504"/>
    <x v="306"/>
    <x v="1"/>
    <x v="4"/>
    <x v="1"/>
    <n v="2"/>
    <n v="391.28"/>
    <n v="782.56"/>
    <n v="195.64"/>
    <x v="280"/>
  </r>
  <r>
    <n v="1505"/>
    <x v="306"/>
    <x v="2"/>
    <x v="3"/>
    <x v="0"/>
    <n v="2"/>
    <n v="25"/>
    <n v="50"/>
    <n v="12.5"/>
    <x v="40"/>
  </r>
  <r>
    <n v="1506"/>
    <x v="307"/>
    <x v="0"/>
    <x v="2"/>
    <x v="3"/>
    <n v="4"/>
    <n v="45"/>
    <n v="180"/>
    <n v="22.5"/>
    <x v="55"/>
  </r>
  <r>
    <n v="1507"/>
    <x v="307"/>
    <x v="2"/>
    <x v="4"/>
    <x v="0"/>
    <n v="3"/>
    <n v="268"/>
    <n v="804"/>
    <n v="134"/>
    <x v="279"/>
  </r>
  <r>
    <n v="1508"/>
    <x v="308"/>
    <x v="0"/>
    <x v="1"/>
    <x v="2"/>
    <n v="18"/>
    <n v="18"/>
    <n v="324"/>
    <n v="9"/>
    <x v="195"/>
  </r>
  <r>
    <n v="1509"/>
    <x v="309"/>
    <x v="2"/>
    <x v="2"/>
    <x v="1"/>
    <n v="2"/>
    <n v="330.67"/>
    <n v="661.33"/>
    <n v="165.33"/>
    <x v="281"/>
  </r>
  <r>
    <n v="1510"/>
    <x v="310"/>
    <x v="0"/>
    <x v="1"/>
    <x v="3"/>
    <n v="4"/>
    <n v="39"/>
    <n v="156"/>
    <n v="19.5"/>
    <x v="223"/>
  </r>
  <r>
    <n v="1511"/>
    <x v="311"/>
    <x v="3"/>
    <x v="3"/>
    <x v="2"/>
    <n v="20"/>
    <n v="10"/>
    <n v="200"/>
    <n v="5"/>
    <x v="41"/>
  </r>
  <r>
    <n v="1512"/>
    <x v="312"/>
    <x v="4"/>
    <x v="1"/>
    <x v="0"/>
    <n v="5"/>
    <n v="10"/>
    <n v="50"/>
    <n v="5"/>
    <x v="40"/>
  </r>
  <r>
    <n v="1513"/>
    <x v="312"/>
    <x v="4"/>
    <x v="3"/>
    <x v="3"/>
    <n v="2"/>
    <n v="21"/>
    <n v="42"/>
    <n v="10.5"/>
    <x v="219"/>
  </r>
  <r>
    <n v="1514"/>
    <x v="312"/>
    <x v="2"/>
    <x v="3"/>
    <x v="1"/>
    <n v="1"/>
    <n v="110.67"/>
    <n v="110.67"/>
    <n v="55.33"/>
    <x v="282"/>
  </r>
  <r>
    <n v="1515"/>
    <x v="313"/>
    <x v="1"/>
    <x v="2"/>
    <x v="4"/>
    <n v="9"/>
    <n v="5"/>
    <n v="45"/>
    <n v="2.5"/>
    <x v="203"/>
  </r>
  <r>
    <n v="1516"/>
    <x v="313"/>
    <x v="0"/>
    <x v="2"/>
    <x v="4"/>
    <n v="2"/>
    <n v="9"/>
    <n v="18"/>
    <n v="4.5"/>
    <x v="138"/>
  </r>
  <r>
    <n v="1517"/>
    <x v="314"/>
    <x v="4"/>
    <x v="1"/>
    <x v="0"/>
    <n v="8"/>
    <n v="45"/>
    <n v="360"/>
    <n v="22.5"/>
    <x v="198"/>
  </r>
  <r>
    <n v="1518"/>
    <x v="314"/>
    <x v="0"/>
    <x v="0"/>
    <x v="4"/>
    <n v="4"/>
    <n v="9"/>
    <n v="36"/>
    <n v="4.5"/>
    <x v="127"/>
  </r>
  <r>
    <n v="1519"/>
    <x v="315"/>
    <x v="0"/>
    <x v="2"/>
    <x v="3"/>
    <n v="3"/>
    <n v="34"/>
    <n v="102"/>
    <n v="17"/>
    <x v="154"/>
  </r>
  <r>
    <n v="1520"/>
    <x v="315"/>
    <x v="0"/>
    <x v="4"/>
    <x v="1"/>
    <n v="1"/>
    <n v="457.44"/>
    <n v="457.44"/>
    <n v="228.72"/>
    <x v="283"/>
  </r>
  <r>
    <n v="1521"/>
    <x v="315"/>
    <x v="4"/>
    <x v="0"/>
    <x v="1"/>
    <n v="2"/>
    <n v="278.67"/>
    <n v="557.33000000000004"/>
    <n v="139.33000000000001"/>
    <x v="284"/>
  </r>
  <r>
    <n v="1522"/>
    <x v="315"/>
    <x v="2"/>
    <x v="3"/>
    <x v="3"/>
    <n v="4"/>
    <n v="34"/>
    <n v="136"/>
    <n v="17"/>
    <x v="180"/>
  </r>
  <r>
    <n v="1523"/>
    <x v="316"/>
    <x v="2"/>
    <x v="0"/>
    <x v="3"/>
    <n v="5"/>
    <n v="29"/>
    <n v="145"/>
    <n v="14.5"/>
    <x v="208"/>
  </r>
  <r>
    <n v="1524"/>
    <x v="316"/>
    <x v="4"/>
    <x v="3"/>
    <x v="0"/>
    <n v="3"/>
    <n v="24"/>
    <n v="72"/>
    <n v="12"/>
    <x v="49"/>
  </r>
  <r>
    <n v="1525"/>
    <x v="317"/>
    <x v="1"/>
    <x v="0"/>
    <x v="3"/>
    <n v="5"/>
    <n v="47"/>
    <n v="235"/>
    <n v="23.5"/>
    <x v="285"/>
  </r>
  <r>
    <n v="1526"/>
    <x v="318"/>
    <x v="1"/>
    <x v="4"/>
    <x v="1"/>
    <n v="1"/>
    <n v="360"/>
    <n v="360"/>
    <n v="180"/>
    <x v="198"/>
  </r>
  <r>
    <n v="1527"/>
    <x v="319"/>
    <x v="3"/>
    <x v="3"/>
    <x v="1"/>
    <n v="1"/>
    <n v="124.67"/>
    <n v="124.67"/>
    <n v="62.33"/>
    <x v="286"/>
  </r>
  <r>
    <n v="1528"/>
    <x v="319"/>
    <x v="4"/>
    <x v="2"/>
    <x v="0"/>
    <n v="2"/>
    <n v="72"/>
    <n v="144"/>
    <n v="36"/>
    <x v="65"/>
  </r>
  <r>
    <n v="1529"/>
    <x v="319"/>
    <x v="1"/>
    <x v="4"/>
    <x v="3"/>
    <n v="5"/>
    <n v="42"/>
    <n v="210"/>
    <n v="21"/>
    <x v="137"/>
  </r>
  <r>
    <n v="1530"/>
    <x v="319"/>
    <x v="3"/>
    <x v="4"/>
    <x v="2"/>
    <n v="1"/>
    <n v="30"/>
    <n v="30"/>
    <n v="15"/>
    <x v="10"/>
  </r>
  <r>
    <n v="1531"/>
    <x v="320"/>
    <x v="4"/>
    <x v="2"/>
    <x v="0"/>
    <n v="1"/>
    <n v="62"/>
    <n v="62"/>
    <n v="31"/>
    <x v="287"/>
  </r>
  <r>
    <n v="1532"/>
    <x v="320"/>
    <x v="3"/>
    <x v="4"/>
    <x v="4"/>
    <n v="7"/>
    <n v="9"/>
    <n v="63"/>
    <n v="4.5"/>
    <x v="19"/>
  </r>
  <r>
    <n v="1533"/>
    <x v="321"/>
    <x v="0"/>
    <x v="3"/>
    <x v="1"/>
    <n v="1"/>
    <n v="328"/>
    <n v="328"/>
    <n v="164"/>
    <x v="288"/>
  </r>
  <r>
    <n v="1534"/>
    <x v="321"/>
    <x v="4"/>
    <x v="0"/>
    <x v="0"/>
    <n v="5"/>
    <n v="132"/>
    <n v="660"/>
    <n v="66"/>
    <x v="289"/>
  </r>
  <r>
    <n v="1535"/>
    <x v="322"/>
    <x v="1"/>
    <x v="0"/>
    <x v="1"/>
    <n v="1"/>
    <n v="564.66999999999996"/>
    <n v="564.66999999999996"/>
    <n v="282.33"/>
    <x v="290"/>
  </r>
  <r>
    <n v="1536"/>
    <x v="323"/>
    <x v="1"/>
    <x v="0"/>
    <x v="2"/>
    <n v="15"/>
    <n v="34"/>
    <n v="510"/>
    <n v="17"/>
    <x v="291"/>
  </r>
  <r>
    <n v="1537"/>
    <x v="324"/>
    <x v="2"/>
    <x v="1"/>
    <x v="4"/>
    <n v="8"/>
    <n v="5"/>
    <n v="40"/>
    <n v="2.5"/>
    <x v="21"/>
  </r>
  <r>
    <n v="1538"/>
    <x v="325"/>
    <x v="2"/>
    <x v="1"/>
    <x v="0"/>
    <n v="7"/>
    <n v="28"/>
    <n v="196"/>
    <n v="14"/>
    <x v="100"/>
  </r>
  <r>
    <n v="1539"/>
    <x v="326"/>
    <x v="2"/>
    <x v="0"/>
    <x v="0"/>
    <n v="8"/>
    <n v="156"/>
    <n v="1248"/>
    <n v="78"/>
    <x v="292"/>
  </r>
  <r>
    <n v="1540"/>
    <x v="326"/>
    <x v="0"/>
    <x v="1"/>
    <x v="2"/>
    <n v="1"/>
    <n v="21"/>
    <n v="21"/>
    <n v="10.5"/>
    <x v="25"/>
  </r>
  <r>
    <n v="1541"/>
    <x v="326"/>
    <x v="3"/>
    <x v="2"/>
    <x v="3"/>
    <n v="4"/>
    <n v="23"/>
    <n v="92"/>
    <n v="11.5"/>
    <x v="293"/>
  </r>
  <r>
    <n v="1542"/>
    <x v="327"/>
    <x v="1"/>
    <x v="4"/>
    <x v="4"/>
    <n v="1"/>
    <n v="9"/>
    <n v="9"/>
    <n v="4.5"/>
    <x v="71"/>
  </r>
  <r>
    <n v="1543"/>
    <x v="327"/>
    <x v="4"/>
    <x v="0"/>
    <x v="4"/>
    <n v="9"/>
    <n v="9"/>
    <n v="81"/>
    <n v="4.5"/>
    <x v="74"/>
  </r>
  <r>
    <n v="1544"/>
    <x v="327"/>
    <x v="3"/>
    <x v="2"/>
    <x v="1"/>
    <n v="2"/>
    <n v="147.33000000000001"/>
    <n v="294.67"/>
    <n v="73.67"/>
    <x v="294"/>
  </r>
  <r>
    <n v="1545"/>
    <x v="328"/>
    <x v="1"/>
    <x v="0"/>
    <x v="3"/>
    <n v="6"/>
    <n v="49"/>
    <n v="294"/>
    <n v="24.5"/>
    <x v="295"/>
  </r>
  <r>
    <n v="1546"/>
    <x v="329"/>
    <x v="0"/>
    <x v="3"/>
    <x v="3"/>
    <n v="9"/>
    <n v="39"/>
    <n v="351"/>
    <n v="19.5"/>
    <x v="296"/>
  </r>
  <r>
    <n v="1547"/>
    <x v="330"/>
    <x v="0"/>
    <x v="2"/>
    <x v="4"/>
    <n v="7"/>
    <n v="8"/>
    <n v="56"/>
    <n v="4"/>
    <x v="32"/>
  </r>
  <r>
    <n v="1548"/>
    <x v="330"/>
    <x v="0"/>
    <x v="4"/>
    <x v="0"/>
    <n v="5"/>
    <n v="229"/>
    <n v="1145"/>
    <n v="114.5"/>
    <x v="297"/>
  </r>
  <r>
    <n v="1549"/>
    <x v="330"/>
    <x v="3"/>
    <x v="1"/>
    <x v="3"/>
    <n v="7"/>
    <n v="29"/>
    <n v="203"/>
    <n v="14.5"/>
    <x v="167"/>
  </r>
  <r>
    <n v="1550"/>
    <x v="331"/>
    <x v="2"/>
    <x v="2"/>
    <x v="0"/>
    <n v="8"/>
    <n v="72"/>
    <n v="576"/>
    <n v="36"/>
    <x v="278"/>
  </r>
  <r>
    <n v="1551"/>
    <x v="332"/>
    <x v="1"/>
    <x v="1"/>
    <x v="1"/>
    <n v="1"/>
    <n v="134.66999999999999"/>
    <n v="134.66999999999999"/>
    <n v="67.33"/>
    <x v="298"/>
  </r>
  <r>
    <n v="1552"/>
    <x v="332"/>
    <x v="1"/>
    <x v="2"/>
    <x v="2"/>
    <n v="1"/>
    <n v="15"/>
    <n v="15"/>
    <n v="7.5"/>
    <x v="299"/>
  </r>
  <r>
    <n v="1553"/>
    <x v="332"/>
    <x v="3"/>
    <x v="2"/>
    <x v="2"/>
    <n v="1"/>
    <n v="14"/>
    <n v="14"/>
    <n v="7"/>
    <x v="125"/>
  </r>
  <r>
    <n v="1554"/>
    <x v="332"/>
    <x v="1"/>
    <x v="4"/>
    <x v="2"/>
    <n v="16"/>
    <n v="44"/>
    <n v="704"/>
    <n v="22"/>
    <x v="300"/>
  </r>
  <r>
    <n v="1555"/>
    <x v="333"/>
    <x v="1"/>
    <x v="0"/>
    <x v="3"/>
    <n v="8"/>
    <n v="25"/>
    <n v="200"/>
    <n v="12.5"/>
    <x v="41"/>
  </r>
  <r>
    <n v="1556"/>
    <x v="333"/>
    <x v="3"/>
    <x v="1"/>
    <x v="4"/>
    <n v="1"/>
    <n v="7"/>
    <n v="7"/>
    <n v="3.5"/>
    <x v="97"/>
  </r>
  <r>
    <n v="1557"/>
    <x v="334"/>
    <x v="3"/>
    <x v="1"/>
    <x v="2"/>
    <n v="11"/>
    <n v="15"/>
    <n v="165"/>
    <n v="7.5"/>
    <x v="133"/>
  </r>
  <r>
    <n v="1558"/>
    <x v="334"/>
    <x v="3"/>
    <x v="1"/>
    <x v="4"/>
    <n v="6"/>
    <n v="6"/>
    <n v="36"/>
    <n v="3"/>
    <x v="127"/>
  </r>
  <r>
    <n v="1559"/>
    <x v="335"/>
    <x v="0"/>
    <x v="1"/>
    <x v="2"/>
    <n v="17"/>
    <n v="9"/>
    <n v="153"/>
    <n v="4.5"/>
    <x v="259"/>
  </r>
  <r>
    <n v="1560"/>
    <x v="335"/>
    <x v="0"/>
    <x v="2"/>
    <x v="1"/>
    <n v="2"/>
    <n v="174.67"/>
    <n v="349.33"/>
    <n v="87.33"/>
    <x v="301"/>
  </r>
  <r>
    <n v="1561"/>
    <x v="336"/>
    <x v="4"/>
    <x v="4"/>
    <x v="0"/>
    <n v="8"/>
    <n v="272"/>
    <n v="2176"/>
    <n v="136"/>
    <x v="302"/>
  </r>
  <r>
    <n v="1562"/>
    <x v="336"/>
    <x v="1"/>
    <x v="3"/>
    <x v="1"/>
    <n v="1"/>
    <n v="80.67"/>
    <n v="80.67"/>
    <n v="40.33"/>
    <x v="303"/>
  </r>
  <r>
    <n v="1563"/>
    <x v="336"/>
    <x v="0"/>
    <x v="0"/>
    <x v="3"/>
    <n v="6"/>
    <n v="20"/>
    <n v="120"/>
    <n v="10"/>
    <x v="211"/>
  </r>
  <r>
    <n v="1564"/>
    <x v="336"/>
    <x v="3"/>
    <x v="4"/>
    <x v="1"/>
    <n v="2"/>
    <n v="548.21"/>
    <n v="1096.4100000000001"/>
    <n v="274.10000000000002"/>
    <x v="304"/>
  </r>
  <r>
    <n v="1565"/>
    <x v="337"/>
    <x v="0"/>
    <x v="1"/>
    <x v="4"/>
    <n v="6"/>
    <n v="9"/>
    <n v="54"/>
    <n v="4.5"/>
    <x v="91"/>
  </r>
  <r>
    <n v="1566"/>
    <x v="337"/>
    <x v="2"/>
    <x v="0"/>
    <x v="3"/>
    <n v="1"/>
    <n v="37"/>
    <n v="37"/>
    <n v="18.5"/>
    <x v="73"/>
  </r>
  <r>
    <n v="1567"/>
    <x v="338"/>
    <x v="2"/>
    <x v="0"/>
    <x v="4"/>
    <n v="5"/>
    <n v="9"/>
    <n v="45"/>
    <n v="4.5"/>
    <x v="203"/>
  </r>
  <r>
    <n v="1568"/>
    <x v="338"/>
    <x v="3"/>
    <x v="2"/>
    <x v="2"/>
    <n v="11"/>
    <n v="18"/>
    <n v="198"/>
    <n v="9"/>
    <x v="305"/>
  </r>
  <r>
    <n v="1569"/>
    <x v="339"/>
    <x v="3"/>
    <x v="1"/>
    <x v="2"/>
    <n v="2"/>
    <n v="14"/>
    <n v="28"/>
    <n v="7"/>
    <x v="149"/>
  </r>
  <r>
    <n v="1570"/>
    <x v="339"/>
    <x v="1"/>
    <x v="2"/>
    <x v="0"/>
    <n v="9"/>
    <n v="60"/>
    <n v="540"/>
    <n v="30"/>
    <x v="250"/>
  </r>
  <r>
    <n v="1571"/>
    <x v="340"/>
    <x v="0"/>
    <x v="1"/>
    <x v="1"/>
    <n v="1"/>
    <n v="180.67"/>
    <n v="180.67"/>
    <n v="90.33"/>
    <x v="306"/>
  </r>
  <r>
    <n v="1572"/>
    <x v="340"/>
    <x v="2"/>
    <x v="2"/>
    <x v="1"/>
    <n v="2"/>
    <n v="287.33"/>
    <n v="574.66999999999996"/>
    <n v="143.66999999999999"/>
    <x v="307"/>
  </r>
  <r>
    <n v="1573"/>
    <x v="341"/>
    <x v="2"/>
    <x v="2"/>
    <x v="2"/>
    <n v="5"/>
    <n v="16"/>
    <n v="80"/>
    <n v="8"/>
    <x v="2"/>
  </r>
  <r>
    <n v="1574"/>
    <x v="342"/>
    <x v="0"/>
    <x v="1"/>
    <x v="3"/>
    <n v="5"/>
    <n v="21"/>
    <n v="105"/>
    <n v="10.5"/>
    <x v="120"/>
  </r>
  <r>
    <n v="1575"/>
    <x v="343"/>
    <x v="4"/>
    <x v="0"/>
    <x v="3"/>
    <n v="1"/>
    <n v="25"/>
    <n v="25"/>
    <n v="12.5"/>
    <x v="15"/>
  </r>
  <r>
    <n v="1576"/>
    <x v="343"/>
    <x v="1"/>
    <x v="4"/>
    <x v="2"/>
    <n v="2"/>
    <n v="50"/>
    <n v="100"/>
    <n v="25"/>
    <x v="82"/>
  </r>
  <r>
    <n v="1577"/>
    <x v="344"/>
    <x v="3"/>
    <x v="0"/>
    <x v="0"/>
    <n v="1"/>
    <n v="174"/>
    <n v="174"/>
    <n v="87"/>
    <x v="308"/>
  </r>
  <r>
    <n v="1578"/>
    <x v="344"/>
    <x v="4"/>
    <x v="0"/>
    <x v="3"/>
    <n v="1"/>
    <n v="34"/>
    <n v="34"/>
    <n v="17"/>
    <x v="309"/>
  </r>
  <r>
    <n v="1579"/>
    <x v="344"/>
    <x v="0"/>
    <x v="4"/>
    <x v="2"/>
    <n v="8"/>
    <n v="29"/>
    <n v="232"/>
    <n v="14.5"/>
    <x v="310"/>
  </r>
  <r>
    <n v="1580"/>
    <x v="345"/>
    <x v="3"/>
    <x v="0"/>
    <x v="4"/>
    <n v="5"/>
    <n v="8"/>
    <n v="40"/>
    <n v="4"/>
    <x v="21"/>
  </r>
  <r>
    <n v="1581"/>
    <x v="346"/>
    <x v="4"/>
    <x v="1"/>
    <x v="4"/>
    <n v="5"/>
    <n v="5"/>
    <n v="25"/>
    <n v="2.5"/>
    <x v="15"/>
  </r>
  <r>
    <n v="1582"/>
    <x v="347"/>
    <x v="3"/>
    <x v="0"/>
    <x v="2"/>
    <n v="12"/>
    <n v="40"/>
    <n v="480"/>
    <n v="20"/>
    <x v="61"/>
  </r>
  <r>
    <n v="1583"/>
    <x v="347"/>
    <x v="2"/>
    <x v="3"/>
    <x v="4"/>
    <n v="7"/>
    <n v="7"/>
    <n v="49"/>
    <n v="3.5"/>
    <x v="123"/>
  </r>
  <r>
    <n v="1584"/>
    <x v="348"/>
    <x v="4"/>
    <x v="2"/>
    <x v="4"/>
    <n v="10"/>
    <n v="10"/>
    <n v="100"/>
    <n v="5"/>
    <x v="82"/>
  </r>
  <r>
    <n v="1585"/>
    <x v="348"/>
    <x v="3"/>
    <x v="0"/>
    <x v="4"/>
    <n v="6"/>
    <n v="7"/>
    <n v="42"/>
    <n v="3.5"/>
    <x v="219"/>
  </r>
  <r>
    <n v="1586"/>
    <x v="349"/>
    <x v="4"/>
    <x v="1"/>
    <x v="3"/>
    <n v="5"/>
    <n v="50"/>
    <n v="250"/>
    <n v="25"/>
    <x v="226"/>
  </r>
  <r>
    <n v="1587"/>
    <x v="350"/>
    <x v="3"/>
    <x v="0"/>
    <x v="2"/>
    <n v="4"/>
    <n v="40"/>
    <n v="160"/>
    <n v="20"/>
    <x v="56"/>
  </r>
  <r>
    <n v="1588"/>
    <x v="350"/>
    <x v="4"/>
    <x v="4"/>
    <x v="0"/>
    <n v="9"/>
    <n v="202"/>
    <n v="1818"/>
    <n v="101"/>
    <x v="311"/>
  </r>
  <r>
    <n v="1589"/>
    <x v="350"/>
    <x v="4"/>
    <x v="4"/>
    <x v="2"/>
    <n v="1"/>
    <n v="45"/>
    <n v="45"/>
    <n v="22.5"/>
    <x v="203"/>
  </r>
  <r>
    <n v="1590"/>
    <x v="350"/>
    <x v="3"/>
    <x v="2"/>
    <x v="4"/>
    <n v="7"/>
    <n v="8"/>
    <n v="56"/>
    <n v="4"/>
    <x v="32"/>
  </r>
  <r>
    <n v="1591"/>
    <x v="350"/>
    <x v="2"/>
    <x v="2"/>
    <x v="0"/>
    <n v="5"/>
    <n v="89"/>
    <n v="445"/>
    <n v="44.5"/>
    <x v="312"/>
  </r>
  <r>
    <n v="1592"/>
    <x v="351"/>
    <x v="3"/>
    <x v="1"/>
    <x v="1"/>
    <n v="2"/>
    <n v="414.67"/>
    <n v="829.33"/>
    <n v="207.33"/>
    <x v="313"/>
  </r>
  <r>
    <n v="1593"/>
    <x v="351"/>
    <x v="4"/>
    <x v="3"/>
    <x v="4"/>
    <n v="6"/>
    <n v="6"/>
    <n v="36"/>
    <n v="3"/>
    <x v="127"/>
  </r>
  <r>
    <n v="1594"/>
    <x v="351"/>
    <x v="1"/>
    <x v="0"/>
    <x v="2"/>
    <n v="10"/>
    <n v="35"/>
    <n v="350"/>
    <n v="17.5"/>
    <x v="191"/>
  </r>
  <r>
    <n v="1595"/>
    <x v="352"/>
    <x v="3"/>
    <x v="0"/>
    <x v="2"/>
    <n v="1"/>
    <n v="28"/>
    <n v="28"/>
    <n v="14"/>
    <x v="149"/>
  </r>
  <r>
    <n v="1596"/>
    <x v="352"/>
    <x v="3"/>
    <x v="4"/>
    <x v="2"/>
    <n v="1"/>
    <n v="26"/>
    <n v="26"/>
    <n v="13"/>
    <x v="115"/>
  </r>
  <r>
    <n v="1597"/>
    <x v="352"/>
    <x v="4"/>
    <x v="3"/>
    <x v="1"/>
    <n v="2"/>
    <n v="324.67"/>
    <n v="649.33000000000004"/>
    <n v="162.33000000000001"/>
    <x v="245"/>
  </r>
  <r>
    <n v="1598"/>
    <x v="353"/>
    <x v="0"/>
    <x v="3"/>
    <x v="1"/>
    <n v="2"/>
    <n v="92"/>
    <n v="184"/>
    <n v="46"/>
    <x v="314"/>
  </r>
  <r>
    <n v="1599"/>
    <x v="353"/>
    <x v="1"/>
    <x v="3"/>
    <x v="0"/>
    <n v="1"/>
    <n v="14"/>
    <n v="14"/>
    <n v="7"/>
    <x v="125"/>
  </r>
  <r>
    <n v="1600"/>
    <x v="354"/>
    <x v="2"/>
    <x v="2"/>
    <x v="4"/>
    <n v="8"/>
    <n v="10"/>
    <n v="80"/>
    <n v="5"/>
    <x v="2"/>
  </r>
  <r>
    <n v="1601"/>
    <x v="354"/>
    <x v="0"/>
    <x v="1"/>
    <x v="1"/>
    <n v="1"/>
    <n v="334"/>
    <n v="334"/>
    <n v="167"/>
    <x v="315"/>
  </r>
  <r>
    <n v="1602"/>
    <x v="355"/>
    <x v="0"/>
    <x v="0"/>
    <x v="2"/>
    <n v="16"/>
    <n v="29"/>
    <n v="464"/>
    <n v="14.5"/>
    <x v="252"/>
  </r>
  <r>
    <n v="1603"/>
    <x v="355"/>
    <x v="1"/>
    <x v="3"/>
    <x v="2"/>
    <n v="8"/>
    <n v="5"/>
    <n v="40"/>
    <n v="2.5"/>
    <x v="21"/>
  </r>
  <r>
    <n v="1604"/>
    <x v="356"/>
    <x v="2"/>
    <x v="1"/>
    <x v="1"/>
    <n v="2"/>
    <n v="562.66999999999996"/>
    <n v="1125.33"/>
    <n v="281.33"/>
    <x v="316"/>
  </r>
  <r>
    <n v="1605"/>
    <x v="356"/>
    <x v="3"/>
    <x v="0"/>
    <x v="2"/>
    <n v="19"/>
    <n v="20"/>
    <n v="380"/>
    <n v="10"/>
    <x v="156"/>
  </r>
  <r>
    <n v="1606"/>
    <x v="356"/>
    <x v="1"/>
    <x v="0"/>
    <x v="1"/>
    <n v="2"/>
    <n v="535.33000000000004"/>
    <n v="1070.67"/>
    <n v="267.67"/>
    <x v="317"/>
  </r>
  <r>
    <n v="1607"/>
    <x v="356"/>
    <x v="1"/>
    <x v="2"/>
    <x v="2"/>
    <n v="4"/>
    <n v="9"/>
    <n v="36"/>
    <n v="4.5"/>
    <x v="127"/>
  </r>
  <r>
    <n v="1608"/>
    <x v="356"/>
    <x v="0"/>
    <x v="2"/>
    <x v="1"/>
    <n v="2"/>
    <n v="136"/>
    <n v="272"/>
    <n v="68"/>
    <x v="318"/>
  </r>
  <r>
    <n v="1609"/>
    <x v="356"/>
    <x v="4"/>
    <x v="0"/>
    <x v="0"/>
    <n v="1"/>
    <n v="149"/>
    <n v="149"/>
    <n v="74.5"/>
    <x v="319"/>
  </r>
  <r>
    <n v="1610"/>
    <x v="357"/>
    <x v="1"/>
    <x v="4"/>
    <x v="2"/>
    <n v="18"/>
    <n v="44"/>
    <n v="792"/>
    <n v="22"/>
    <x v="320"/>
  </r>
  <r>
    <n v="1611"/>
    <x v="358"/>
    <x v="3"/>
    <x v="4"/>
    <x v="1"/>
    <n v="1"/>
    <n v="486.15"/>
    <n v="486.15"/>
    <n v="243.08"/>
    <x v="321"/>
  </r>
  <r>
    <n v="1612"/>
    <x v="359"/>
    <x v="0"/>
    <x v="2"/>
    <x v="2"/>
    <n v="13"/>
    <n v="19"/>
    <n v="247"/>
    <n v="9.5"/>
    <x v="23"/>
  </r>
  <r>
    <n v="1613"/>
    <x v="360"/>
    <x v="1"/>
    <x v="0"/>
    <x v="1"/>
    <n v="2"/>
    <n v="244"/>
    <n v="488"/>
    <n v="122"/>
    <x v="322"/>
  </r>
  <r>
    <n v="1614"/>
    <x v="361"/>
    <x v="3"/>
    <x v="4"/>
    <x v="2"/>
    <n v="19"/>
    <n v="32"/>
    <n v="608"/>
    <n v="16"/>
    <x v="271"/>
  </r>
  <r>
    <n v="1615"/>
    <x v="362"/>
    <x v="3"/>
    <x v="1"/>
    <x v="4"/>
    <n v="3"/>
    <n v="10"/>
    <n v="30"/>
    <n v="5"/>
    <x v="10"/>
  </r>
  <r>
    <n v="1616"/>
    <x v="362"/>
    <x v="2"/>
    <x v="2"/>
    <x v="0"/>
    <n v="4"/>
    <n v="71"/>
    <n v="284"/>
    <n v="35.5"/>
    <x v="323"/>
  </r>
  <r>
    <n v="1617"/>
    <x v="363"/>
    <x v="3"/>
    <x v="3"/>
    <x v="3"/>
    <n v="2"/>
    <n v="49"/>
    <n v="98"/>
    <n v="24.5"/>
    <x v="324"/>
  </r>
  <r>
    <n v="1618"/>
    <x v="363"/>
    <x v="0"/>
    <x v="4"/>
    <x v="3"/>
    <n v="2"/>
    <n v="41"/>
    <n v="82"/>
    <n v="20.5"/>
    <x v="325"/>
  </r>
  <r>
    <n v="1619"/>
    <x v="364"/>
    <x v="4"/>
    <x v="1"/>
    <x v="1"/>
    <n v="2"/>
    <n v="371.33"/>
    <n v="742.67"/>
    <n v="185.67"/>
    <x v="326"/>
  </r>
  <r>
    <n v="1620"/>
    <x v="365"/>
    <x v="1"/>
    <x v="1"/>
    <x v="3"/>
    <n v="6"/>
    <n v="31"/>
    <n v="186"/>
    <n v="15.5"/>
    <x v="327"/>
  </r>
  <r>
    <n v="1621"/>
    <x v="366"/>
    <x v="1"/>
    <x v="4"/>
    <x v="4"/>
    <n v="4"/>
    <n v="5"/>
    <n v="20"/>
    <n v="2.5"/>
    <x v="37"/>
  </r>
  <r>
    <n v="1622"/>
    <x v="367"/>
    <x v="2"/>
    <x v="4"/>
    <x v="1"/>
    <n v="2"/>
    <n v="511.28"/>
    <n v="1022.56"/>
    <n v="255.64"/>
    <x v="328"/>
  </r>
  <r>
    <n v="1623"/>
    <x v="368"/>
    <x v="0"/>
    <x v="3"/>
    <x v="4"/>
    <n v="2"/>
    <n v="7"/>
    <n v="14"/>
    <n v="3.5"/>
    <x v="125"/>
  </r>
  <r>
    <n v="1624"/>
    <x v="369"/>
    <x v="4"/>
    <x v="1"/>
    <x v="0"/>
    <n v="10"/>
    <n v="23"/>
    <n v="230"/>
    <n v="11.5"/>
    <x v="329"/>
  </r>
  <r>
    <n v="1625"/>
    <x v="369"/>
    <x v="3"/>
    <x v="3"/>
    <x v="1"/>
    <n v="1"/>
    <n v="251.33"/>
    <n v="251.33"/>
    <n v="125.67"/>
    <x v="330"/>
  </r>
  <r>
    <n v="1626"/>
    <x v="370"/>
    <x v="1"/>
    <x v="2"/>
    <x v="0"/>
    <n v="8"/>
    <n v="73"/>
    <n v="584"/>
    <n v="36.5"/>
    <x v="268"/>
  </r>
  <r>
    <n v="1627"/>
    <x v="371"/>
    <x v="4"/>
    <x v="3"/>
    <x v="2"/>
    <n v="11"/>
    <n v="8"/>
    <n v="88"/>
    <n v="4"/>
    <x v="174"/>
  </r>
  <r>
    <n v="1628"/>
    <x v="372"/>
    <x v="3"/>
    <x v="2"/>
    <x v="4"/>
    <n v="9"/>
    <n v="5"/>
    <n v="45"/>
    <n v="2.5"/>
    <x v="203"/>
  </r>
  <r>
    <n v="1629"/>
    <x v="372"/>
    <x v="2"/>
    <x v="3"/>
    <x v="0"/>
    <n v="8"/>
    <n v="10"/>
    <n v="80"/>
    <n v="5"/>
    <x v="2"/>
  </r>
  <r>
    <n v="1630"/>
    <x v="372"/>
    <x v="4"/>
    <x v="4"/>
    <x v="1"/>
    <n v="2"/>
    <n v="498.46"/>
    <n v="996.92"/>
    <n v="249.23"/>
    <x v="331"/>
  </r>
  <r>
    <n v="1631"/>
    <x v="373"/>
    <x v="4"/>
    <x v="0"/>
    <x v="2"/>
    <n v="20"/>
    <n v="22"/>
    <n v="440"/>
    <n v="11"/>
    <x v="332"/>
  </r>
  <r>
    <n v="1632"/>
    <x v="374"/>
    <x v="4"/>
    <x v="4"/>
    <x v="2"/>
    <n v="9"/>
    <n v="23"/>
    <n v="207"/>
    <n v="11.5"/>
    <x v="229"/>
  </r>
  <r>
    <n v="1633"/>
    <x v="374"/>
    <x v="4"/>
    <x v="4"/>
    <x v="0"/>
    <n v="5"/>
    <n v="243"/>
    <n v="1215"/>
    <n v="121.5"/>
    <x v="333"/>
  </r>
  <r>
    <n v="1634"/>
    <x v="374"/>
    <x v="1"/>
    <x v="3"/>
    <x v="4"/>
    <n v="5"/>
    <n v="5"/>
    <n v="25"/>
    <n v="2.5"/>
    <x v="15"/>
  </r>
  <r>
    <n v="1635"/>
    <x v="375"/>
    <x v="3"/>
    <x v="3"/>
    <x v="1"/>
    <n v="1"/>
    <n v="210"/>
    <n v="210"/>
    <n v="105"/>
    <x v="137"/>
  </r>
  <r>
    <n v="1636"/>
    <x v="376"/>
    <x v="3"/>
    <x v="4"/>
    <x v="1"/>
    <n v="2"/>
    <n v="554.87"/>
    <n v="1109.74"/>
    <n v="277.44"/>
    <x v="334"/>
  </r>
  <r>
    <n v="1637"/>
    <x v="376"/>
    <x v="0"/>
    <x v="2"/>
    <x v="4"/>
    <n v="4"/>
    <n v="6"/>
    <n v="24"/>
    <n v="3"/>
    <x v="11"/>
  </r>
  <r>
    <n v="1638"/>
    <x v="377"/>
    <x v="3"/>
    <x v="3"/>
    <x v="0"/>
    <n v="7"/>
    <n v="10"/>
    <n v="70"/>
    <n v="5"/>
    <x v="31"/>
  </r>
  <r>
    <n v="1639"/>
    <x v="377"/>
    <x v="4"/>
    <x v="4"/>
    <x v="3"/>
    <n v="9"/>
    <n v="23"/>
    <n v="207"/>
    <n v="11.5"/>
    <x v="229"/>
  </r>
  <r>
    <n v="1640"/>
    <x v="377"/>
    <x v="2"/>
    <x v="2"/>
    <x v="1"/>
    <n v="2"/>
    <n v="282"/>
    <n v="564"/>
    <n v="141"/>
    <x v="187"/>
  </r>
  <r>
    <n v="1641"/>
    <x v="378"/>
    <x v="4"/>
    <x v="4"/>
    <x v="4"/>
    <n v="2"/>
    <n v="7"/>
    <n v="14"/>
    <n v="3.5"/>
    <x v="125"/>
  </r>
  <r>
    <n v="1642"/>
    <x v="378"/>
    <x v="4"/>
    <x v="4"/>
    <x v="1"/>
    <n v="1"/>
    <n v="400"/>
    <n v="400"/>
    <n v="200"/>
    <x v="335"/>
  </r>
  <r>
    <n v="1643"/>
    <x v="378"/>
    <x v="2"/>
    <x v="2"/>
    <x v="0"/>
    <n v="10"/>
    <n v="73"/>
    <n v="730"/>
    <n v="36.5"/>
    <x v="336"/>
  </r>
  <r>
    <n v="1644"/>
    <x v="379"/>
    <x v="3"/>
    <x v="3"/>
    <x v="4"/>
    <n v="9"/>
    <n v="12"/>
    <n v="108"/>
    <n v="6"/>
    <x v="224"/>
  </r>
  <r>
    <n v="1645"/>
    <x v="379"/>
    <x v="3"/>
    <x v="3"/>
    <x v="0"/>
    <n v="9"/>
    <n v="89"/>
    <n v="801"/>
    <n v="44.5"/>
    <x v="337"/>
  </r>
  <r>
    <n v="1646"/>
    <x v="379"/>
    <x v="0"/>
    <x v="0"/>
    <x v="4"/>
    <n v="4"/>
    <n v="9"/>
    <n v="36"/>
    <n v="4.5"/>
    <x v="127"/>
  </r>
  <r>
    <n v="1647"/>
    <x v="380"/>
    <x v="2"/>
    <x v="2"/>
    <x v="4"/>
    <n v="2"/>
    <n v="14"/>
    <n v="28"/>
    <n v="7"/>
    <x v="149"/>
  </r>
  <r>
    <n v="1648"/>
    <x v="380"/>
    <x v="2"/>
    <x v="2"/>
    <x v="3"/>
    <n v="4"/>
    <n v="27"/>
    <n v="108"/>
    <n v="13.5"/>
    <x v="224"/>
  </r>
  <r>
    <n v="1649"/>
    <x v="380"/>
    <x v="3"/>
    <x v="3"/>
    <x v="0"/>
    <n v="6"/>
    <n v="61"/>
    <n v="366"/>
    <n v="30.5"/>
    <x v="338"/>
  </r>
  <r>
    <n v="1650"/>
    <x v="381"/>
    <x v="4"/>
    <x v="4"/>
    <x v="4"/>
    <n v="5"/>
    <n v="13"/>
    <n v="65"/>
    <n v="6.5"/>
    <x v="339"/>
  </r>
  <r>
    <n v="1651"/>
    <x v="381"/>
    <x v="3"/>
    <x v="3"/>
    <x v="3"/>
    <n v="2"/>
    <n v="27"/>
    <n v="54"/>
    <n v="13.5"/>
    <x v="91"/>
  </r>
  <r>
    <n v="1652"/>
    <x v="381"/>
    <x v="2"/>
    <x v="2"/>
    <x v="2"/>
    <n v="11"/>
    <n v="16"/>
    <n v="176"/>
    <n v="8"/>
    <x v="340"/>
  </r>
  <r>
    <n v="1653"/>
    <x v="382"/>
    <x v="0"/>
    <x v="0"/>
    <x v="0"/>
    <n v="8"/>
    <n v="54"/>
    <n v="432"/>
    <n v="27"/>
    <x v="341"/>
  </r>
  <r>
    <n v="1654"/>
    <x v="382"/>
    <x v="0"/>
    <x v="0"/>
    <x v="1"/>
    <n v="1"/>
    <n v="249"/>
    <n v="249"/>
    <n v="124.5"/>
    <x v="342"/>
  </r>
  <r>
    <n v="1655"/>
    <x v="382"/>
    <x v="4"/>
    <x v="4"/>
    <x v="1"/>
    <n v="1"/>
    <n v="336"/>
    <n v="336"/>
    <n v="168"/>
    <x v="343"/>
  </r>
  <r>
    <n v="1656"/>
    <x v="382"/>
    <x v="4"/>
    <x v="4"/>
    <x v="3"/>
    <n v="9"/>
    <n v="26"/>
    <n v="234"/>
    <n v="13"/>
    <x v="344"/>
  </r>
  <r>
    <n v="1657"/>
    <x v="383"/>
    <x v="1"/>
    <x v="1"/>
    <x v="0"/>
    <n v="4"/>
    <n v="56"/>
    <n v="224"/>
    <n v="28"/>
    <x v="153"/>
  </r>
  <r>
    <n v="1658"/>
    <x v="383"/>
    <x v="4"/>
    <x v="4"/>
    <x v="1"/>
    <n v="2"/>
    <n v="257"/>
    <n v="514"/>
    <n v="128.5"/>
    <x v="345"/>
  </r>
  <r>
    <n v="1659"/>
    <x v="383"/>
    <x v="1"/>
    <x v="1"/>
    <x v="2"/>
    <n v="16"/>
    <n v="21"/>
    <n v="336"/>
    <n v="10.5"/>
    <x v="343"/>
  </r>
  <r>
    <n v="1660"/>
    <x v="383"/>
    <x v="0"/>
    <x v="0"/>
    <x v="2"/>
    <n v="4"/>
    <n v="16"/>
    <n v="64"/>
    <n v="8"/>
    <x v="52"/>
  </r>
  <r>
    <n v="1661"/>
    <x v="383"/>
    <x v="0"/>
    <x v="0"/>
    <x v="2"/>
    <n v="12"/>
    <n v="19"/>
    <n v="228"/>
    <n v="9.5"/>
    <x v="176"/>
  </r>
  <r>
    <n v="1662"/>
    <x v="384"/>
    <x v="4"/>
    <x v="4"/>
    <x v="2"/>
    <n v="11"/>
    <n v="21"/>
    <n v="231"/>
    <n v="10.5"/>
    <x v="128"/>
  </r>
  <r>
    <n v="1663"/>
    <x v="384"/>
    <x v="1"/>
    <x v="1"/>
    <x v="3"/>
    <n v="1"/>
    <n v="21"/>
    <n v="21"/>
    <n v="10.5"/>
    <x v="25"/>
  </r>
  <r>
    <n v="1664"/>
    <x v="384"/>
    <x v="2"/>
    <x v="2"/>
    <x v="2"/>
    <n v="4"/>
    <n v="19"/>
    <n v="76"/>
    <n v="9.5"/>
    <x v="230"/>
  </r>
  <r>
    <n v="1665"/>
    <x v="385"/>
    <x v="4"/>
    <x v="4"/>
    <x v="0"/>
    <n v="7"/>
    <n v="62"/>
    <n v="434"/>
    <n v="31"/>
    <x v="346"/>
  </r>
  <r>
    <n v="1666"/>
    <x v="385"/>
    <x v="3"/>
    <x v="3"/>
    <x v="1"/>
    <n v="1"/>
    <n v="331"/>
    <n v="331"/>
    <n v="165.5"/>
    <x v="347"/>
  </r>
  <r>
    <n v="1667"/>
    <x v="385"/>
    <x v="0"/>
    <x v="0"/>
    <x v="0"/>
    <n v="3"/>
    <n v="84"/>
    <n v="252"/>
    <n v="42"/>
    <x v="166"/>
  </r>
  <r>
    <n v="1668"/>
    <x v="386"/>
    <x v="3"/>
    <x v="3"/>
    <x v="4"/>
    <n v="9"/>
    <n v="12"/>
    <n v="108"/>
    <n v="6"/>
    <x v="224"/>
  </r>
  <r>
    <n v="1669"/>
    <x v="386"/>
    <x v="2"/>
    <x v="2"/>
    <x v="0"/>
    <n v="10"/>
    <n v="57"/>
    <n v="570"/>
    <n v="28.5"/>
    <x v="193"/>
  </r>
  <r>
    <n v="1670"/>
    <x v="386"/>
    <x v="2"/>
    <x v="2"/>
    <x v="3"/>
    <n v="3"/>
    <n v="46"/>
    <n v="138"/>
    <n v="23"/>
    <x v="92"/>
  </r>
  <r>
    <n v="1671"/>
    <x v="387"/>
    <x v="2"/>
    <x v="2"/>
    <x v="3"/>
    <n v="2"/>
    <n v="32"/>
    <n v="64"/>
    <n v="16"/>
    <x v="52"/>
  </r>
  <r>
    <n v="1672"/>
    <x v="387"/>
    <x v="0"/>
    <x v="0"/>
    <x v="1"/>
    <n v="1"/>
    <n v="244"/>
    <n v="244"/>
    <n v="122"/>
    <x v="348"/>
  </r>
  <r>
    <n v="1673"/>
    <x v="387"/>
    <x v="3"/>
    <x v="3"/>
    <x v="2"/>
    <n v="6"/>
    <n v="22"/>
    <n v="132"/>
    <n v="11"/>
    <x v="98"/>
  </r>
  <r>
    <n v="1674"/>
    <x v="388"/>
    <x v="0"/>
    <x v="0"/>
    <x v="3"/>
    <n v="9"/>
    <n v="32"/>
    <n v="288"/>
    <n v="16"/>
    <x v="215"/>
  </r>
  <r>
    <n v="1675"/>
    <x v="388"/>
    <x v="0"/>
    <x v="0"/>
    <x v="2"/>
    <n v="20"/>
    <n v="17"/>
    <n v="340"/>
    <n v="8.5"/>
    <x v="349"/>
  </r>
  <r>
    <n v="1676"/>
    <x v="388"/>
    <x v="4"/>
    <x v="4"/>
    <x v="2"/>
    <n v="15"/>
    <n v="16"/>
    <n v="240"/>
    <n v="8"/>
    <x v="108"/>
  </r>
  <r>
    <n v="1677"/>
    <x v="389"/>
    <x v="3"/>
    <x v="3"/>
    <x v="3"/>
    <n v="8"/>
    <n v="43"/>
    <n v="344"/>
    <n v="21.5"/>
    <x v="64"/>
  </r>
  <r>
    <n v="1678"/>
    <x v="389"/>
    <x v="4"/>
    <x v="4"/>
    <x v="2"/>
    <n v="15"/>
    <n v="11"/>
    <n v="165"/>
    <n v="5.5"/>
    <x v="133"/>
  </r>
  <r>
    <n v="1679"/>
    <x v="389"/>
    <x v="1"/>
    <x v="1"/>
    <x v="2"/>
    <n v="18"/>
    <n v="15"/>
    <n v="270"/>
    <n v="7.5"/>
    <x v="14"/>
  </r>
  <r>
    <n v="1680"/>
    <x v="390"/>
    <x v="3"/>
    <x v="3"/>
    <x v="2"/>
    <n v="13"/>
    <n v="25"/>
    <n v="325"/>
    <n v="12.5"/>
    <x v="350"/>
  </r>
  <r>
    <n v="1681"/>
    <x v="390"/>
    <x v="0"/>
    <x v="0"/>
    <x v="4"/>
    <n v="4"/>
    <n v="9"/>
    <n v="36"/>
    <n v="4.5"/>
    <x v="127"/>
  </r>
  <r>
    <n v="1682"/>
    <x v="390"/>
    <x v="3"/>
    <x v="3"/>
    <x v="3"/>
    <n v="1"/>
    <n v="48"/>
    <n v="48"/>
    <n v="24"/>
    <x v="76"/>
  </r>
  <r>
    <n v="1683"/>
    <x v="390"/>
    <x v="1"/>
    <x v="1"/>
    <x v="1"/>
    <n v="2"/>
    <n v="356"/>
    <n v="712"/>
    <n v="178"/>
    <x v="351"/>
  </r>
  <r>
    <n v="1684"/>
    <x v="391"/>
    <x v="1"/>
    <x v="1"/>
    <x v="0"/>
    <n v="8"/>
    <n v="89"/>
    <n v="712"/>
    <n v="44.5"/>
    <x v="351"/>
  </r>
  <r>
    <n v="1685"/>
    <x v="391"/>
    <x v="4"/>
    <x v="4"/>
    <x v="4"/>
    <n v="1"/>
    <n v="7"/>
    <n v="7"/>
    <n v="3.5"/>
    <x v="97"/>
  </r>
  <r>
    <n v="1686"/>
    <x v="391"/>
    <x v="3"/>
    <x v="3"/>
    <x v="3"/>
    <n v="4"/>
    <n v="33"/>
    <n v="132"/>
    <n v="16.5"/>
    <x v="98"/>
  </r>
  <r>
    <n v="1687"/>
    <x v="391"/>
    <x v="3"/>
    <x v="3"/>
    <x v="0"/>
    <n v="9"/>
    <n v="55"/>
    <n v="495"/>
    <n v="27.5"/>
    <x v="352"/>
  </r>
  <r>
    <n v="1688"/>
    <x v="392"/>
    <x v="3"/>
    <x v="3"/>
    <x v="4"/>
    <n v="3"/>
    <n v="5"/>
    <n v="15"/>
    <n v="2.5"/>
    <x v="299"/>
  </r>
  <r>
    <n v="1689"/>
    <x v="392"/>
    <x v="3"/>
    <x v="3"/>
    <x v="4"/>
    <n v="3"/>
    <n v="6"/>
    <n v="18"/>
    <n v="3"/>
    <x v="138"/>
  </r>
  <r>
    <n v="1690"/>
    <x v="392"/>
    <x v="2"/>
    <x v="2"/>
    <x v="2"/>
    <n v="12"/>
    <n v="12"/>
    <n v="144"/>
    <n v="6"/>
    <x v="65"/>
  </r>
  <r>
    <n v="1691"/>
    <x v="393"/>
    <x v="0"/>
    <x v="0"/>
    <x v="0"/>
    <n v="2"/>
    <n v="83"/>
    <n v="166"/>
    <n v="41.5"/>
    <x v="353"/>
  </r>
  <r>
    <n v="1692"/>
    <x v="393"/>
    <x v="4"/>
    <x v="4"/>
    <x v="0"/>
    <n v="5"/>
    <n v="56"/>
    <n v="280"/>
    <n v="28"/>
    <x v="113"/>
  </r>
  <r>
    <n v="1693"/>
    <x v="393"/>
    <x v="2"/>
    <x v="2"/>
    <x v="2"/>
    <n v="18"/>
    <n v="18"/>
    <n v="324"/>
    <n v="9"/>
    <x v="195"/>
  </r>
  <r>
    <n v="1694"/>
    <x v="393"/>
    <x v="4"/>
    <x v="4"/>
    <x v="3"/>
    <n v="5"/>
    <n v="28"/>
    <n v="140"/>
    <n v="14"/>
    <x v="57"/>
  </r>
  <r>
    <n v="1695"/>
    <x v="394"/>
    <x v="3"/>
    <x v="3"/>
    <x v="3"/>
    <n v="4"/>
    <n v="41"/>
    <n v="164"/>
    <n v="20.5"/>
    <x v="354"/>
  </r>
  <r>
    <n v="1696"/>
    <x v="394"/>
    <x v="1"/>
    <x v="1"/>
    <x v="4"/>
    <n v="2"/>
    <n v="11"/>
    <n v="22"/>
    <n v="5.5"/>
    <x v="247"/>
  </r>
  <r>
    <n v="1697"/>
    <x v="394"/>
    <x v="2"/>
    <x v="2"/>
    <x v="3"/>
    <n v="6"/>
    <n v="29"/>
    <n v="174"/>
    <n v="14.5"/>
    <x v="308"/>
  </r>
  <r>
    <n v="1698"/>
    <x v="395"/>
    <x v="2"/>
    <x v="2"/>
    <x v="0"/>
    <n v="8"/>
    <n v="66"/>
    <n v="528"/>
    <n v="33"/>
    <x v="135"/>
  </r>
  <r>
    <n v="1699"/>
    <x v="395"/>
    <x v="3"/>
    <x v="3"/>
    <x v="1"/>
    <n v="2"/>
    <n v="267"/>
    <n v="534"/>
    <n v="133.5"/>
    <x v="355"/>
  </r>
  <r>
    <n v="1700"/>
    <x v="395"/>
    <x v="1"/>
    <x v="1"/>
    <x v="2"/>
    <n v="9"/>
    <n v="11"/>
    <n v="99"/>
    <n v="5.5"/>
    <x v="110"/>
  </r>
  <r>
    <n v="1701"/>
    <x v="395"/>
    <x v="3"/>
    <x v="3"/>
    <x v="4"/>
    <n v="10"/>
    <n v="13"/>
    <n v="130"/>
    <n v="6.5"/>
    <x v="9"/>
  </r>
  <r>
    <n v="1702"/>
    <x v="396"/>
    <x v="0"/>
    <x v="0"/>
    <x v="3"/>
    <n v="6"/>
    <n v="47"/>
    <n v="282"/>
    <n v="23.5"/>
    <x v="183"/>
  </r>
  <r>
    <n v="1703"/>
    <x v="396"/>
    <x v="0"/>
    <x v="0"/>
    <x v="2"/>
    <n v="2"/>
    <n v="15"/>
    <n v="30"/>
    <n v="7.5"/>
    <x v="10"/>
  </r>
  <r>
    <n v="1704"/>
    <x v="396"/>
    <x v="0"/>
    <x v="0"/>
    <x v="2"/>
    <n v="18"/>
    <n v="22"/>
    <n v="396"/>
    <n v="11"/>
    <x v="216"/>
  </r>
  <r>
    <n v="1705"/>
    <x v="397"/>
    <x v="1"/>
    <x v="1"/>
    <x v="1"/>
    <n v="2"/>
    <n v="269"/>
    <n v="538"/>
    <n v="134.5"/>
    <x v="356"/>
  </r>
  <r>
    <n v="1706"/>
    <x v="397"/>
    <x v="4"/>
    <x v="4"/>
    <x v="4"/>
    <n v="9"/>
    <n v="5"/>
    <n v="45"/>
    <n v="2.5"/>
    <x v="203"/>
  </r>
  <r>
    <n v="1707"/>
    <x v="397"/>
    <x v="2"/>
    <x v="2"/>
    <x v="4"/>
    <n v="1"/>
    <n v="5"/>
    <n v="5"/>
    <n v="2.5"/>
    <x v="357"/>
  </r>
  <r>
    <n v="1708"/>
    <x v="397"/>
    <x v="3"/>
    <x v="3"/>
    <x v="0"/>
    <n v="10"/>
    <n v="87"/>
    <n v="870"/>
    <n v="43.5"/>
    <x v="358"/>
  </r>
  <r>
    <n v="1709"/>
    <x v="398"/>
    <x v="4"/>
    <x v="4"/>
    <x v="1"/>
    <n v="1"/>
    <n v="306"/>
    <n v="306"/>
    <n v="153"/>
    <x v="359"/>
  </r>
  <r>
    <n v="1710"/>
    <x v="398"/>
    <x v="0"/>
    <x v="0"/>
    <x v="1"/>
    <n v="2"/>
    <n v="371"/>
    <n v="742"/>
    <n v="185.5"/>
    <x v="360"/>
  </r>
  <r>
    <n v="1711"/>
    <x v="398"/>
    <x v="2"/>
    <x v="2"/>
    <x v="2"/>
    <n v="16"/>
    <n v="18"/>
    <n v="288"/>
    <n v="9"/>
    <x v="215"/>
  </r>
  <r>
    <n v="1712"/>
    <x v="398"/>
    <x v="2"/>
    <x v="2"/>
    <x v="3"/>
    <n v="5"/>
    <n v="46"/>
    <n v="230"/>
    <n v="23"/>
    <x v="329"/>
  </r>
  <r>
    <n v="1713"/>
    <x v="399"/>
    <x v="3"/>
    <x v="3"/>
    <x v="0"/>
    <n v="8"/>
    <n v="88"/>
    <n v="704"/>
    <n v="44"/>
    <x v="300"/>
  </r>
  <r>
    <n v="1714"/>
    <x v="399"/>
    <x v="4"/>
    <x v="4"/>
    <x v="2"/>
    <n v="11"/>
    <n v="19"/>
    <n v="209"/>
    <n v="9.5"/>
    <x v="361"/>
  </r>
  <r>
    <n v="1715"/>
    <x v="399"/>
    <x v="4"/>
    <x v="4"/>
    <x v="4"/>
    <n v="5"/>
    <n v="7"/>
    <n v="35"/>
    <n v="3.5"/>
    <x v="90"/>
  </r>
  <r>
    <n v="1716"/>
    <x v="399"/>
    <x v="0"/>
    <x v="0"/>
    <x v="2"/>
    <n v="13"/>
    <n v="19"/>
    <n v="247"/>
    <n v="9.5"/>
    <x v="23"/>
  </r>
  <r>
    <n v="1717"/>
    <x v="400"/>
    <x v="3"/>
    <x v="3"/>
    <x v="1"/>
    <n v="1"/>
    <n v="374"/>
    <n v="374"/>
    <n v="187"/>
    <x v="362"/>
  </r>
  <r>
    <n v="1718"/>
    <x v="400"/>
    <x v="4"/>
    <x v="4"/>
    <x v="4"/>
    <n v="6"/>
    <n v="14"/>
    <n v="84"/>
    <n v="7"/>
    <x v="89"/>
  </r>
  <r>
    <n v="1719"/>
    <x v="400"/>
    <x v="3"/>
    <x v="3"/>
    <x v="0"/>
    <n v="1"/>
    <n v="72"/>
    <n v="72"/>
    <n v="36"/>
    <x v="49"/>
  </r>
  <r>
    <n v="1720"/>
    <x v="400"/>
    <x v="4"/>
    <x v="4"/>
    <x v="0"/>
    <n v="4"/>
    <n v="54"/>
    <n v="216"/>
    <n v="27"/>
    <x v="363"/>
  </r>
  <r>
    <n v="1721"/>
    <x v="401"/>
    <x v="3"/>
    <x v="3"/>
    <x v="4"/>
    <n v="5"/>
    <n v="8"/>
    <n v="40"/>
    <n v="4"/>
    <x v="21"/>
  </r>
  <r>
    <n v="1722"/>
    <x v="401"/>
    <x v="4"/>
    <x v="4"/>
    <x v="4"/>
    <n v="7"/>
    <n v="12"/>
    <n v="84"/>
    <n v="6"/>
    <x v="89"/>
  </r>
  <r>
    <n v="1723"/>
    <x v="401"/>
    <x v="1"/>
    <x v="1"/>
    <x v="4"/>
    <n v="10"/>
    <n v="14"/>
    <n v="140"/>
    <n v="7"/>
    <x v="57"/>
  </r>
  <r>
    <n v="1724"/>
    <x v="402"/>
    <x v="4"/>
    <x v="4"/>
    <x v="0"/>
    <n v="6"/>
    <n v="80"/>
    <n v="480"/>
    <n v="40"/>
    <x v="61"/>
  </r>
  <r>
    <n v="1725"/>
    <x v="402"/>
    <x v="4"/>
    <x v="4"/>
    <x v="4"/>
    <n v="7"/>
    <n v="11"/>
    <n v="77"/>
    <n v="5.5"/>
    <x v="364"/>
  </r>
  <r>
    <n v="1726"/>
    <x v="402"/>
    <x v="1"/>
    <x v="1"/>
    <x v="1"/>
    <n v="1"/>
    <n v="343"/>
    <n v="343"/>
    <n v="171.5"/>
    <x v="365"/>
  </r>
  <r>
    <n v="1727"/>
    <x v="402"/>
    <x v="2"/>
    <x v="2"/>
    <x v="1"/>
    <n v="1"/>
    <n v="305"/>
    <n v="305"/>
    <n v="152.5"/>
    <x v="366"/>
  </r>
  <r>
    <n v="1728"/>
    <x v="402"/>
    <x v="2"/>
    <x v="2"/>
    <x v="4"/>
    <n v="3"/>
    <n v="15"/>
    <n v="45"/>
    <n v="7.5"/>
    <x v="203"/>
  </r>
  <r>
    <n v="1729"/>
    <x v="402"/>
    <x v="4"/>
    <x v="4"/>
    <x v="1"/>
    <n v="1"/>
    <n v="324"/>
    <n v="324"/>
    <n v="162"/>
    <x v="195"/>
  </r>
  <r>
    <n v="1730"/>
    <x v="403"/>
    <x v="3"/>
    <x v="3"/>
    <x v="2"/>
    <n v="9"/>
    <n v="18"/>
    <n v="162"/>
    <n v="9"/>
    <x v="105"/>
  </r>
  <r>
    <n v="1731"/>
    <x v="403"/>
    <x v="3"/>
    <x v="3"/>
    <x v="4"/>
    <n v="10"/>
    <n v="12"/>
    <n v="120"/>
    <n v="6"/>
    <x v="211"/>
  </r>
  <r>
    <n v="1732"/>
    <x v="403"/>
    <x v="0"/>
    <x v="0"/>
    <x v="4"/>
    <n v="1"/>
    <n v="6"/>
    <n v="6"/>
    <n v="3"/>
    <x v="172"/>
  </r>
  <r>
    <n v="1733"/>
    <x v="404"/>
    <x v="0"/>
    <x v="0"/>
    <x v="2"/>
    <n v="6"/>
    <n v="25"/>
    <n v="150"/>
    <n v="12.5"/>
    <x v="141"/>
  </r>
  <r>
    <n v="1734"/>
    <x v="404"/>
    <x v="0"/>
    <x v="0"/>
    <x v="0"/>
    <n v="10"/>
    <n v="86"/>
    <n v="860"/>
    <n v="43"/>
    <x v="367"/>
  </r>
  <r>
    <n v="1735"/>
    <x v="405"/>
    <x v="2"/>
    <x v="2"/>
    <x v="3"/>
    <n v="5"/>
    <n v="39"/>
    <n v="195"/>
    <n v="19.5"/>
    <x v="368"/>
  </r>
  <r>
    <n v="1736"/>
    <x v="405"/>
    <x v="3"/>
    <x v="3"/>
    <x v="3"/>
    <n v="2"/>
    <n v="44"/>
    <n v="88"/>
    <n v="22"/>
    <x v="174"/>
  </r>
  <r>
    <n v="1737"/>
    <x v="405"/>
    <x v="2"/>
    <x v="2"/>
    <x v="0"/>
    <n v="1"/>
    <n v="95"/>
    <n v="95"/>
    <n v="47.5"/>
    <x v="263"/>
  </r>
  <r>
    <n v="1738"/>
    <x v="405"/>
    <x v="3"/>
    <x v="3"/>
    <x v="2"/>
    <n v="10"/>
    <n v="12"/>
    <n v="120"/>
    <n v="6"/>
    <x v="211"/>
  </r>
  <r>
    <n v="1739"/>
    <x v="405"/>
    <x v="0"/>
    <x v="0"/>
    <x v="0"/>
    <n v="7"/>
    <n v="51"/>
    <n v="357"/>
    <n v="25.5"/>
    <x v="369"/>
  </r>
  <r>
    <n v="1740"/>
    <x v="406"/>
    <x v="1"/>
    <x v="1"/>
    <x v="0"/>
    <n v="4"/>
    <n v="68"/>
    <n v="272"/>
    <n v="34"/>
    <x v="318"/>
  </r>
  <r>
    <n v="1741"/>
    <x v="406"/>
    <x v="0"/>
    <x v="0"/>
    <x v="3"/>
    <n v="8"/>
    <n v="50"/>
    <n v="400"/>
    <n v="25"/>
    <x v="335"/>
  </r>
  <r>
    <n v="1742"/>
    <x v="407"/>
    <x v="1"/>
    <x v="1"/>
    <x v="4"/>
    <n v="5"/>
    <n v="9"/>
    <n v="45"/>
    <n v="4.5"/>
    <x v="203"/>
  </r>
  <r>
    <n v="1743"/>
    <x v="407"/>
    <x v="2"/>
    <x v="2"/>
    <x v="2"/>
    <n v="18"/>
    <n v="21"/>
    <n v="378"/>
    <n v="10.5"/>
    <x v="246"/>
  </r>
  <r>
    <n v="1744"/>
    <x v="407"/>
    <x v="1"/>
    <x v="1"/>
    <x v="2"/>
    <n v="7"/>
    <n v="23"/>
    <n v="161"/>
    <n v="11.5"/>
    <x v="370"/>
  </r>
  <r>
    <n v="1745"/>
    <x v="408"/>
    <x v="4"/>
    <x v="4"/>
    <x v="3"/>
    <n v="5"/>
    <n v="25"/>
    <n v="125"/>
    <n v="12.5"/>
    <x v="47"/>
  </r>
  <r>
    <n v="1746"/>
    <x v="408"/>
    <x v="4"/>
    <x v="4"/>
    <x v="0"/>
    <n v="6"/>
    <n v="63"/>
    <n v="378"/>
    <n v="31.5"/>
    <x v="246"/>
  </r>
  <r>
    <n v="1747"/>
    <x v="409"/>
    <x v="1"/>
    <x v="1"/>
    <x v="3"/>
    <n v="9"/>
    <n v="25"/>
    <n v="225"/>
    <n v="12.5"/>
    <x v="96"/>
  </r>
  <r>
    <n v="1748"/>
    <x v="409"/>
    <x v="2"/>
    <x v="2"/>
    <x v="4"/>
    <n v="10"/>
    <n v="14"/>
    <n v="140"/>
    <n v="7"/>
    <x v="57"/>
  </r>
  <r>
    <n v="1749"/>
    <x v="409"/>
    <x v="1"/>
    <x v="1"/>
    <x v="4"/>
    <n v="6"/>
    <n v="6"/>
    <n v="36"/>
    <n v="3"/>
    <x v="127"/>
  </r>
  <r>
    <n v="1750"/>
    <x v="409"/>
    <x v="2"/>
    <x v="2"/>
    <x v="2"/>
    <n v="15"/>
    <n v="22"/>
    <n v="330"/>
    <n v="11"/>
    <x v="126"/>
  </r>
  <r>
    <n v="1751"/>
    <x v="410"/>
    <x v="4"/>
    <x v="4"/>
    <x v="1"/>
    <n v="1"/>
    <n v="354"/>
    <n v="354"/>
    <n v="177"/>
    <x v="371"/>
  </r>
  <r>
    <n v="1752"/>
    <x v="410"/>
    <x v="2"/>
    <x v="2"/>
    <x v="1"/>
    <n v="2"/>
    <n v="283"/>
    <n v="566"/>
    <n v="141.5"/>
    <x v="372"/>
  </r>
  <r>
    <n v="1753"/>
    <x v="410"/>
    <x v="3"/>
    <x v="3"/>
    <x v="3"/>
    <n v="2"/>
    <n v="34"/>
    <n v="68"/>
    <n v="17"/>
    <x v="28"/>
  </r>
  <r>
    <n v="1754"/>
    <x v="411"/>
    <x v="1"/>
    <x v="1"/>
    <x v="2"/>
    <n v="1"/>
    <n v="19"/>
    <n v="19"/>
    <n v="9.5"/>
    <x v="373"/>
  </r>
  <r>
    <n v="1755"/>
    <x v="411"/>
    <x v="2"/>
    <x v="2"/>
    <x v="0"/>
    <n v="3"/>
    <n v="76"/>
    <n v="228"/>
    <n v="38"/>
    <x v="176"/>
  </r>
  <r>
    <n v="1756"/>
    <x v="411"/>
    <x v="3"/>
    <x v="3"/>
    <x v="0"/>
    <n v="10"/>
    <n v="86"/>
    <n v="860"/>
    <n v="43"/>
    <x v="367"/>
  </r>
  <r>
    <n v="1757"/>
    <x v="411"/>
    <x v="0"/>
    <x v="0"/>
    <x v="2"/>
    <n v="8"/>
    <n v="12"/>
    <n v="96"/>
    <n v="6"/>
    <x v="134"/>
  </r>
  <r>
    <n v="1758"/>
    <x v="412"/>
    <x v="2"/>
    <x v="2"/>
    <x v="2"/>
    <n v="7"/>
    <n v="24"/>
    <n v="168"/>
    <n v="12"/>
    <x v="79"/>
  </r>
  <r>
    <n v="1759"/>
    <x v="412"/>
    <x v="2"/>
    <x v="2"/>
    <x v="3"/>
    <n v="7"/>
    <n v="20"/>
    <n v="140"/>
    <n v="10"/>
    <x v="57"/>
  </r>
  <r>
    <n v="1760"/>
    <x v="413"/>
    <x v="4"/>
    <x v="4"/>
    <x v="0"/>
    <n v="4"/>
    <n v="88"/>
    <n v="352"/>
    <n v="44"/>
    <x v="212"/>
  </r>
  <r>
    <n v="1761"/>
    <x v="413"/>
    <x v="4"/>
    <x v="4"/>
    <x v="1"/>
    <n v="1"/>
    <n v="212"/>
    <n v="212"/>
    <n v="106"/>
    <x v="374"/>
  </r>
  <r>
    <n v="1762"/>
    <x v="413"/>
    <x v="2"/>
    <x v="2"/>
    <x v="2"/>
    <n v="5"/>
    <n v="13"/>
    <n v="65"/>
    <n v="6.5"/>
    <x v="339"/>
  </r>
  <r>
    <n v="1763"/>
    <x v="413"/>
    <x v="3"/>
    <x v="3"/>
    <x v="3"/>
    <n v="5"/>
    <n v="44"/>
    <n v="220"/>
    <n v="22"/>
    <x v="129"/>
  </r>
  <r>
    <n v="1764"/>
    <x v="414"/>
    <x v="1"/>
    <x v="1"/>
    <x v="4"/>
    <n v="9"/>
    <n v="13"/>
    <n v="117"/>
    <n v="6.5"/>
    <x v="99"/>
  </r>
  <r>
    <n v="1765"/>
    <x v="414"/>
    <x v="4"/>
    <x v="4"/>
    <x v="2"/>
    <n v="5"/>
    <n v="21"/>
    <n v="105"/>
    <n v="10.5"/>
    <x v="120"/>
  </r>
  <r>
    <n v="1766"/>
    <x v="415"/>
    <x v="3"/>
    <x v="3"/>
    <x v="0"/>
    <n v="10"/>
    <n v="75"/>
    <n v="750"/>
    <n v="37.5"/>
    <x v="375"/>
  </r>
  <r>
    <n v="1767"/>
    <x v="415"/>
    <x v="0"/>
    <x v="0"/>
    <x v="3"/>
    <n v="5"/>
    <n v="36"/>
    <n v="180"/>
    <n v="18"/>
    <x v="55"/>
  </r>
  <r>
    <n v="1768"/>
    <x v="415"/>
    <x v="0"/>
    <x v="0"/>
    <x v="0"/>
    <n v="10"/>
    <n v="94"/>
    <n v="940"/>
    <n v="47"/>
    <x v="376"/>
  </r>
  <r>
    <n v="1769"/>
    <x v="416"/>
    <x v="3"/>
    <x v="3"/>
    <x v="1"/>
    <n v="2"/>
    <n v="212"/>
    <n v="424"/>
    <n v="106"/>
    <x v="377"/>
  </r>
  <r>
    <n v="1770"/>
    <x v="416"/>
    <x v="4"/>
    <x v="4"/>
    <x v="4"/>
    <n v="8"/>
    <n v="15"/>
    <n v="120"/>
    <n v="7.5"/>
    <x v="211"/>
  </r>
  <r>
    <n v="1771"/>
    <x v="416"/>
    <x v="2"/>
    <x v="2"/>
    <x v="4"/>
    <n v="9"/>
    <n v="13"/>
    <n v="117"/>
    <n v="6.5"/>
    <x v="99"/>
  </r>
  <r>
    <n v="1772"/>
    <x v="417"/>
    <x v="0"/>
    <x v="0"/>
    <x v="1"/>
    <n v="1"/>
    <n v="373"/>
    <n v="373"/>
    <n v="186.5"/>
    <x v="378"/>
  </r>
  <r>
    <n v="1773"/>
    <x v="417"/>
    <x v="3"/>
    <x v="3"/>
    <x v="4"/>
    <n v="5"/>
    <n v="13"/>
    <n v="65"/>
    <n v="6.5"/>
    <x v="339"/>
  </r>
  <r>
    <n v="1774"/>
    <x v="418"/>
    <x v="1"/>
    <x v="1"/>
    <x v="2"/>
    <n v="11"/>
    <n v="22"/>
    <n v="242"/>
    <n v="11"/>
    <x v="379"/>
  </r>
  <r>
    <n v="1775"/>
    <x v="418"/>
    <x v="2"/>
    <x v="2"/>
    <x v="0"/>
    <n v="4"/>
    <n v="95"/>
    <n v="380"/>
    <n v="47.5"/>
    <x v="156"/>
  </r>
  <r>
    <n v="1776"/>
    <x v="419"/>
    <x v="1"/>
    <x v="1"/>
    <x v="2"/>
    <n v="3"/>
    <n v="20"/>
    <n v="60"/>
    <n v="10"/>
    <x v="38"/>
  </r>
  <r>
    <n v="1777"/>
    <x v="419"/>
    <x v="0"/>
    <x v="0"/>
    <x v="1"/>
    <n v="1"/>
    <n v="206"/>
    <n v="206"/>
    <n v="103"/>
    <x v="380"/>
  </r>
  <r>
    <n v="1778"/>
    <x v="419"/>
    <x v="2"/>
    <x v="2"/>
    <x v="0"/>
    <n v="3"/>
    <n v="81"/>
    <n v="243"/>
    <n v="40.5"/>
    <x v="254"/>
  </r>
  <r>
    <n v="1779"/>
    <x v="419"/>
    <x v="4"/>
    <x v="4"/>
    <x v="0"/>
    <n v="1"/>
    <n v="81"/>
    <n v="81"/>
    <n v="40.5"/>
    <x v="74"/>
  </r>
  <r>
    <n v="1780"/>
    <x v="420"/>
    <x v="1"/>
    <x v="1"/>
    <x v="4"/>
    <n v="9"/>
    <n v="15"/>
    <n v="135"/>
    <n v="7.5"/>
    <x v="234"/>
  </r>
  <r>
    <n v="1781"/>
    <x v="420"/>
    <x v="1"/>
    <x v="1"/>
    <x v="0"/>
    <n v="4"/>
    <n v="82"/>
    <n v="328"/>
    <n v="41"/>
    <x v="288"/>
  </r>
  <r>
    <n v="1782"/>
    <x v="420"/>
    <x v="1"/>
    <x v="1"/>
    <x v="2"/>
    <n v="20"/>
    <n v="15"/>
    <n v="300"/>
    <n v="7.5"/>
    <x v="1"/>
  </r>
  <r>
    <n v="1783"/>
    <x v="421"/>
    <x v="1"/>
    <x v="1"/>
    <x v="2"/>
    <n v="2"/>
    <n v="18"/>
    <n v="36"/>
    <n v="9"/>
    <x v="127"/>
  </r>
  <r>
    <n v="1784"/>
    <x v="421"/>
    <x v="2"/>
    <x v="2"/>
    <x v="2"/>
    <n v="7"/>
    <n v="14"/>
    <n v="98"/>
    <n v="7"/>
    <x v="324"/>
  </r>
  <r>
    <n v="1785"/>
    <x v="422"/>
    <x v="0"/>
    <x v="0"/>
    <x v="3"/>
    <n v="8"/>
    <n v="43"/>
    <n v="344"/>
    <n v="21.5"/>
    <x v="64"/>
  </r>
  <r>
    <n v="1786"/>
    <x v="422"/>
    <x v="4"/>
    <x v="4"/>
    <x v="1"/>
    <n v="1"/>
    <n v="319"/>
    <n v="319"/>
    <n v="159.5"/>
    <x v="381"/>
  </r>
  <r>
    <n v="1787"/>
    <x v="422"/>
    <x v="1"/>
    <x v="1"/>
    <x v="0"/>
    <n v="8"/>
    <n v="60"/>
    <n v="480"/>
    <n v="30"/>
    <x v="61"/>
  </r>
  <r>
    <n v="1788"/>
    <x v="423"/>
    <x v="2"/>
    <x v="2"/>
    <x v="1"/>
    <n v="1"/>
    <n v="375"/>
    <n v="375"/>
    <n v="187.5"/>
    <x v="139"/>
  </r>
  <r>
    <n v="1789"/>
    <x v="423"/>
    <x v="2"/>
    <x v="2"/>
    <x v="3"/>
    <n v="1"/>
    <n v="38"/>
    <n v="38"/>
    <n v="19"/>
    <x v="46"/>
  </r>
  <r>
    <n v="1790"/>
    <x v="424"/>
    <x v="4"/>
    <x v="4"/>
    <x v="2"/>
    <n v="15"/>
    <n v="22"/>
    <n v="330"/>
    <n v="11"/>
    <x v="126"/>
  </r>
  <r>
    <n v="1791"/>
    <x v="424"/>
    <x v="2"/>
    <x v="2"/>
    <x v="1"/>
    <n v="1"/>
    <n v="218"/>
    <n v="218"/>
    <n v="109"/>
    <x v="382"/>
  </r>
  <r>
    <n v="1792"/>
    <x v="424"/>
    <x v="3"/>
    <x v="3"/>
    <x v="0"/>
    <n v="3"/>
    <n v="85"/>
    <n v="255"/>
    <n v="42.5"/>
    <x v="383"/>
  </r>
  <r>
    <n v="1793"/>
    <x v="425"/>
    <x v="0"/>
    <x v="0"/>
    <x v="2"/>
    <n v="18"/>
    <n v="10"/>
    <n v="180"/>
    <n v="5"/>
    <x v="55"/>
  </r>
  <r>
    <n v="1794"/>
    <x v="425"/>
    <x v="0"/>
    <x v="0"/>
    <x v="3"/>
    <n v="6"/>
    <n v="28"/>
    <n v="168"/>
    <n v="14"/>
    <x v="79"/>
  </r>
  <r>
    <n v="1795"/>
    <x v="425"/>
    <x v="2"/>
    <x v="2"/>
    <x v="3"/>
    <n v="6"/>
    <n v="20"/>
    <n v="120"/>
    <n v="10"/>
    <x v="211"/>
  </r>
  <r>
    <n v="1796"/>
    <x v="425"/>
    <x v="0"/>
    <x v="0"/>
    <x v="1"/>
    <n v="1"/>
    <n v="380"/>
    <n v="380"/>
    <n v="190"/>
    <x v="156"/>
  </r>
  <r>
    <n v="1797"/>
    <x v="426"/>
    <x v="4"/>
    <x v="4"/>
    <x v="3"/>
    <n v="7"/>
    <n v="44"/>
    <n v="308"/>
    <n v="22"/>
    <x v="251"/>
  </r>
  <r>
    <n v="1798"/>
    <x v="426"/>
    <x v="1"/>
    <x v="1"/>
    <x v="3"/>
    <n v="2"/>
    <n v="47"/>
    <n v="94"/>
    <n v="23.5"/>
    <x v="384"/>
  </r>
  <r>
    <n v="1799"/>
    <x v="426"/>
    <x v="0"/>
    <x v="0"/>
    <x v="0"/>
    <n v="10"/>
    <n v="92"/>
    <n v="920"/>
    <n v="46"/>
    <x v="385"/>
  </r>
  <r>
    <n v="1800"/>
    <x v="427"/>
    <x v="3"/>
    <x v="3"/>
    <x v="0"/>
    <n v="6"/>
    <n v="59"/>
    <n v="354"/>
    <n v="29.5"/>
    <x v="371"/>
  </r>
  <r>
    <n v="1801"/>
    <x v="427"/>
    <x v="3"/>
    <x v="3"/>
    <x v="0"/>
    <n v="7"/>
    <n v="58"/>
    <n v="406"/>
    <n v="29"/>
    <x v="386"/>
  </r>
  <r>
    <n v="1802"/>
    <x v="428"/>
    <x v="2"/>
    <x v="2"/>
    <x v="4"/>
    <n v="4"/>
    <n v="12"/>
    <n v="48"/>
    <n v="6"/>
    <x v="76"/>
  </r>
  <r>
    <n v="1803"/>
    <x v="428"/>
    <x v="1"/>
    <x v="1"/>
    <x v="3"/>
    <n v="3"/>
    <n v="43"/>
    <n v="129"/>
    <n v="21.5"/>
    <x v="387"/>
  </r>
  <r>
    <n v="1804"/>
    <x v="428"/>
    <x v="0"/>
    <x v="0"/>
    <x v="1"/>
    <n v="1"/>
    <n v="231"/>
    <n v="231"/>
    <n v="115.5"/>
    <x v="128"/>
  </r>
  <r>
    <n v="1805"/>
    <x v="429"/>
    <x v="3"/>
    <x v="3"/>
    <x v="2"/>
    <n v="1"/>
    <n v="22"/>
    <n v="22"/>
    <n v="11"/>
    <x v="247"/>
  </r>
  <r>
    <n v="1806"/>
    <x v="429"/>
    <x v="2"/>
    <x v="2"/>
    <x v="3"/>
    <n v="7"/>
    <n v="33"/>
    <n v="231"/>
    <n v="16.5"/>
    <x v="128"/>
  </r>
  <r>
    <n v="1807"/>
    <x v="430"/>
    <x v="0"/>
    <x v="0"/>
    <x v="1"/>
    <n v="2"/>
    <n v="355"/>
    <n v="710"/>
    <n v="177.5"/>
    <x v="388"/>
  </r>
  <r>
    <n v="1808"/>
    <x v="430"/>
    <x v="0"/>
    <x v="0"/>
    <x v="0"/>
    <n v="7"/>
    <n v="81"/>
    <n v="567"/>
    <n v="40.5"/>
    <x v="389"/>
  </r>
  <r>
    <n v="1809"/>
    <x v="430"/>
    <x v="4"/>
    <x v="4"/>
    <x v="1"/>
    <n v="2"/>
    <n v="254"/>
    <n v="508"/>
    <n v="127"/>
    <x v="390"/>
  </r>
  <r>
    <n v="1810"/>
    <x v="431"/>
    <x v="0"/>
    <x v="0"/>
    <x v="3"/>
    <n v="7"/>
    <n v="38"/>
    <n v="266"/>
    <n v="19"/>
    <x v="391"/>
  </r>
  <r>
    <n v="1811"/>
    <x v="431"/>
    <x v="2"/>
    <x v="2"/>
    <x v="1"/>
    <n v="2"/>
    <n v="245"/>
    <n v="490"/>
    <n v="122.5"/>
    <x v="392"/>
  </r>
  <r>
    <n v="1812"/>
    <x v="432"/>
    <x v="0"/>
    <x v="0"/>
    <x v="0"/>
    <n v="1"/>
    <n v="58"/>
    <n v="58"/>
    <n v="29"/>
    <x v="393"/>
  </r>
  <r>
    <n v="1813"/>
    <x v="432"/>
    <x v="0"/>
    <x v="0"/>
    <x v="3"/>
    <n v="4"/>
    <n v="40"/>
    <n v="160"/>
    <n v="20"/>
    <x v="56"/>
  </r>
  <r>
    <n v="1814"/>
    <x v="432"/>
    <x v="1"/>
    <x v="1"/>
    <x v="4"/>
    <n v="7"/>
    <n v="13"/>
    <n v="91"/>
    <n v="6.5"/>
    <x v="394"/>
  </r>
  <r>
    <n v="1815"/>
    <x v="433"/>
    <x v="2"/>
    <x v="2"/>
    <x v="3"/>
    <n v="6"/>
    <n v="42"/>
    <n v="252"/>
    <n v="21"/>
    <x v="166"/>
  </r>
  <r>
    <n v="1816"/>
    <x v="433"/>
    <x v="0"/>
    <x v="0"/>
    <x v="1"/>
    <n v="2"/>
    <n v="217"/>
    <n v="434"/>
    <n v="108.5"/>
    <x v="346"/>
  </r>
  <r>
    <n v="1817"/>
    <x v="433"/>
    <x v="3"/>
    <x v="3"/>
    <x v="3"/>
    <n v="1"/>
    <n v="34"/>
    <n v="34"/>
    <n v="17"/>
    <x v="309"/>
  </r>
  <r>
    <n v="1818"/>
    <x v="434"/>
    <x v="1"/>
    <x v="1"/>
    <x v="3"/>
    <n v="5"/>
    <n v="35"/>
    <n v="175"/>
    <n v="17.5"/>
    <x v="34"/>
  </r>
  <r>
    <n v="1819"/>
    <x v="434"/>
    <x v="3"/>
    <x v="3"/>
    <x v="0"/>
    <n v="7"/>
    <n v="50"/>
    <n v="350"/>
    <n v="25"/>
    <x v="191"/>
  </r>
  <r>
    <n v="1820"/>
    <x v="434"/>
    <x v="0"/>
    <x v="0"/>
    <x v="2"/>
    <n v="18"/>
    <n v="14"/>
    <n v="252"/>
    <n v="7"/>
    <x v="166"/>
  </r>
  <r>
    <n v="1821"/>
    <x v="435"/>
    <x v="1"/>
    <x v="1"/>
    <x v="2"/>
    <n v="15"/>
    <n v="18"/>
    <n v="270"/>
    <n v="9"/>
    <x v="14"/>
  </r>
  <r>
    <n v="1822"/>
    <x v="435"/>
    <x v="1"/>
    <x v="1"/>
    <x v="2"/>
    <n v="8"/>
    <n v="23"/>
    <n v="184"/>
    <n v="11.5"/>
    <x v="314"/>
  </r>
  <r>
    <n v="1823"/>
    <x v="435"/>
    <x v="2"/>
    <x v="2"/>
    <x v="2"/>
    <n v="1"/>
    <n v="23"/>
    <n v="23"/>
    <n v="11.5"/>
    <x v="395"/>
  </r>
  <r>
    <n v="1824"/>
    <x v="435"/>
    <x v="2"/>
    <x v="2"/>
    <x v="3"/>
    <n v="4"/>
    <n v="28"/>
    <n v="112"/>
    <n v="14"/>
    <x v="24"/>
  </r>
  <r>
    <n v="1825"/>
    <x v="436"/>
    <x v="0"/>
    <x v="0"/>
    <x v="1"/>
    <n v="2"/>
    <n v="244"/>
    <n v="488"/>
    <n v="122"/>
    <x v="322"/>
  </r>
  <r>
    <n v="1826"/>
    <x v="436"/>
    <x v="4"/>
    <x v="4"/>
    <x v="2"/>
    <n v="9"/>
    <n v="23"/>
    <n v="207"/>
    <n v="11.5"/>
    <x v="229"/>
  </r>
  <r>
    <n v="1827"/>
    <x v="436"/>
    <x v="1"/>
    <x v="1"/>
    <x v="2"/>
    <n v="13"/>
    <n v="24"/>
    <n v="312"/>
    <n v="12"/>
    <x v="161"/>
  </r>
  <r>
    <n v="1828"/>
    <x v="437"/>
    <x v="1"/>
    <x v="1"/>
    <x v="2"/>
    <n v="1"/>
    <n v="10"/>
    <n v="10"/>
    <n v="5"/>
    <x v="54"/>
  </r>
  <r>
    <n v="1829"/>
    <x v="437"/>
    <x v="0"/>
    <x v="0"/>
    <x v="1"/>
    <n v="1"/>
    <n v="396"/>
    <n v="396"/>
    <n v="198"/>
    <x v="216"/>
  </r>
  <r>
    <n v="1830"/>
    <x v="437"/>
    <x v="3"/>
    <x v="3"/>
    <x v="4"/>
    <n v="8"/>
    <n v="9"/>
    <n v="72"/>
    <n v="4.5"/>
    <x v="49"/>
  </r>
  <r>
    <n v="1831"/>
    <x v="438"/>
    <x v="3"/>
    <x v="3"/>
    <x v="4"/>
    <n v="3"/>
    <n v="11"/>
    <n v="33"/>
    <n v="5.5"/>
    <x v="83"/>
  </r>
  <r>
    <n v="1832"/>
    <x v="438"/>
    <x v="4"/>
    <x v="4"/>
    <x v="4"/>
    <n v="4"/>
    <n v="9"/>
    <n v="36"/>
    <n v="4.5"/>
    <x v="127"/>
  </r>
  <r>
    <n v="1833"/>
    <x v="439"/>
    <x v="1"/>
    <x v="1"/>
    <x v="1"/>
    <n v="1"/>
    <n v="299"/>
    <n v="299"/>
    <n v="149.5"/>
    <x v="396"/>
  </r>
  <r>
    <n v="1834"/>
    <x v="439"/>
    <x v="4"/>
    <x v="4"/>
    <x v="2"/>
    <n v="19"/>
    <n v="15"/>
    <n v="285"/>
    <n v="7.5"/>
    <x v="397"/>
  </r>
  <r>
    <n v="1835"/>
    <x v="439"/>
    <x v="0"/>
    <x v="0"/>
    <x v="2"/>
    <n v="4"/>
    <n v="14"/>
    <n v="56"/>
    <n v="7"/>
    <x v="32"/>
  </r>
  <r>
    <n v="1836"/>
    <x v="439"/>
    <x v="0"/>
    <x v="0"/>
    <x v="3"/>
    <n v="4"/>
    <n v="27"/>
    <n v="108"/>
    <n v="13.5"/>
    <x v="224"/>
  </r>
  <r>
    <n v="1837"/>
    <x v="440"/>
    <x v="4"/>
    <x v="4"/>
    <x v="1"/>
    <n v="2"/>
    <n v="205"/>
    <n v="410"/>
    <n v="102.5"/>
    <x v="146"/>
  </r>
  <r>
    <n v="1838"/>
    <x v="440"/>
    <x v="1"/>
    <x v="1"/>
    <x v="0"/>
    <n v="5"/>
    <n v="97"/>
    <n v="485"/>
    <n v="48.5"/>
    <x v="398"/>
  </r>
  <r>
    <n v="1839"/>
    <x v="441"/>
    <x v="1"/>
    <x v="1"/>
    <x v="1"/>
    <n v="1"/>
    <n v="323"/>
    <n v="323"/>
    <n v="161.5"/>
    <x v="265"/>
  </r>
  <r>
    <n v="1840"/>
    <x v="442"/>
    <x v="3"/>
    <x v="3"/>
    <x v="3"/>
    <n v="7"/>
    <n v="22"/>
    <n v="154"/>
    <n v="11"/>
    <x v="150"/>
  </r>
  <r>
    <n v="1841"/>
    <x v="443"/>
    <x v="2"/>
    <x v="2"/>
    <x v="1"/>
    <n v="2"/>
    <n v="364"/>
    <n v="728"/>
    <n v="182"/>
    <x v="399"/>
  </r>
  <r>
    <n v="1842"/>
    <x v="444"/>
    <x v="2"/>
    <x v="2"/>
    <x v="1"/>
    <n v="1"/>
    <n v="233"/>
    <n v="233"/>
    <n v="116.5"/>
    <x v="400"/>
  </r>
  <r>
    <n v="1843"/>
    <x v="445"/>
    <x v="0"/>
    <x v="0"/>
    <x v="1"/>
    <n v="1"/>
    <n v="314"/>
    <n v="314"/>
    <n v="157"/>
    <x v="77"/>
  </r>
  <r>
    <n v="1844"/>
    <x v="446"/>
    <x v="4"/>
    <x v="4"/>
    <x v="1"/>
    <n v="1"/>
    <n v="364"/>
    <n v="364"/>
    <n v="182"/>
    <x v="401"/>
  </r>
  <r>
    <n v="1845"/>
    <x v="446"/>
    <x v="1"/>
    <x v="1"/>
    <x v="2"/>
    <n v="13"/>
    <n v="19"/>
    <n v="247"/>
    <n v="9.5"/>
    <x v="23"/>
  </r>
  <r>
    <n v="1846"/>
    <x v="447"/>
    <x v="0"/>
    <x v="0"/>
    <x v="2"/>
    <n v="19"/>
    <n v="18"/>
    <n v="342"/>
    <n v="9"/>
    <x v="402"/>
  </r>
  <r>
    <n v="1847"/>
    <x v="447"/>
    <x v="1"/>
    <x v="1"/>
    <x v="4"/>
    <n v="6"/>
    <n v="6"/>
    <n v="36"/>
    <n v="3"/>
    <x v="127"/>
  </r>
  <r>
    <n v="1848"/>
    <x v="448"/>
    <x v="0"/>
    <x v="0"/>
    <x v="4"/>
    <n v="4"/>
    <n v="7"/>
    <n v="28"/>
    <n v="3.5"/>
    <x v="149"/>
  </r>
  <r>
    <n v="1849"/>
    <x v="448"/>
    <x v="3"/>
    <x v="3"/>
    <x v="3"/>
    <n v="5"/>
    <n v="25"/>
    <n v="125"/>
    <n v="12.5"/>
    <x v="47"/>
  </r>
  <r>
    <n v="1850"/>
    <x v="449"/>
    <x v="4"/>
    <x v="4"/>
    <x v="4"/>
    <n v="5"/>
    <n v="9"/>
    <n v="45"/>
    <n v="4.5"/>
    <x v="203"/>
  </r>
  <r>
    <n v="1851"/>
    <x v="450"/>
    <x v="4"/>
    <x v="4"/>
    <x v="1"/>
    <n v="2"/>
    <n v="290"/>
    <n v="580"/>
    <n v="145"/>
    <x v="403"/>
  </r>
  <r>
    <n v="1852"/>
    <x v="451"/>
    <x v="4"/>
    <x v="4"/>
    <x v="3"/>
    <n v="2"/>
    <n v="43"/>
    <n v="86"/>
    <n v="21.5"/>
    <x v="404"/>
  </r>
  <r>
    <n v="1853"/>
    <x v="452"/>
    <x v="1"/>
    <x v="1"/>
    <x v="1"/>
    <n v="1"/>
    <n v="339"/>
    <n v="339"/>
    <n v="169.5"/>
    <x v="119"/>
  </r>
  <r>
    <n v="1854"/>
    <x v="453"/>
    <x v="3"/>
    <x v="3"/>
    <x v="2"/>
    <n v="19"/>
    <n v="10"/>
    <n v="190"/>
    <n v="5"/>
    <x v="182"/>
  </r>
  <r>
    <n v="1855"/>
    <x v="454"/>
    <x v="0"/>
    <x v="0"/>
    <x v="1"/>
    <n v="2"/>
    <n v="277"/>
    <n v="554"/>
    <n v="138.5"/>
    <x v="405"/>
  </r>
  <r>
    <n v="1856"/>
    <x v="455"/>
    <x v="3"/>
    <x v="3"/>
    <x v="4"/>
    <n v="5"/>
    <n v="9"/>
    <n v="45"/>
    <n v="4.5"/>
    <x v="203"/>
  </r>
  <r>
    <n v="1857"/>
    <x v="456"/>
    <x v="3"/>
    <x v="3"/>
    <x v="4"/>
    <n v="2"/>
    <n v="6"/>
    <n v="12"/>
    <n v="3"/>
    <x v="66"/>
  </r>
  <r>
    <n v="1858"/>
    <x v="456"/>
    <x v="0"/>
    <x v="0"/>
    <x v="1"/>
    <n v="2"/>
    <n v="221"/>
    <n v="442"/>
    <n v="110.5"/>
    <x v="406"/>
  </r>
  <r>
    <n v="1859"/>
    <x v="456"/>
    <x v="4"/>
    <x v="4"/>
    <x v="1"/>
    <n v="2"/>
    <n v="255"/>
    <n v="510"/>
    <n v="127.5"/>
    <x v="291"/>
  </r>
  <r>
    <n v="1860"/>
    <x v="457"/>
    <x v="3"/>
    <x v="3"/>
    <x v="0"/>
    <n v="3"/>
    <n v="94"/>
    <n v="282"/>
    <n v="47"/>
    <x v="183"/>
  </r>
  <r>
    <n v="1861"/>
    <x v="458"/>
    <x v="3"/>
    <x v="3"/>
    <x v="3"/>
    <n v="7"/>
    <n v="27"/>
    <n v="189"/>
    <n v="13.5"/>
    <x v="201"/>
  </r>
  <r>
    <n v="1862"/>
    <x v="458"/>
    <x v="2"/>
    <x v="2"/>
    <x v="0"/>
    <n v="7"/>
    <n v="54"/>
    <n v="378"/>
    <n v="27"/>
    <x v="246"/>
  </r>
  <r>
    <n v="1863"/>
    <x v="459"/>
    <x v="0"/>
    <x v="0"/>
    <x v="2"/>
    <n v="8"/>
    <n v="10"/>
    <n v="80"/>
    <n v="5"/>
    <x v="2"/>
  </r>
  <r>
    <n v="1864"/>
    <x v="459"/>
    <x v="4"/>
    <x v="4"/>
    <x v="4"/>
    <n v="2"/>
    <n v="12"/>
    <n v="24"/>
    <n v="6"/>
    <x v="11"/>
  </r>
  <r>
    <n v="1865"/>
    <x v="459"/>
    <x v="1"/>
    <x v="1"/>
    <x v="4"/>
    <n v="3"/>
    <n v="8"/>
    <n v="24"/>
    <n v="4"/>
    <x v="11"/>
  </r>
  <r>
    <n v="1866"/>
    <x v="460"/>
    <x v="0"/>
    <x v="0"/>
    <x v="1"/>
    <n v="2"/>
    <n v="313"/>
    <n v="626"/>
    <n v="156.5"/>
    <x v="407"/>
  </r>
  <r>
    <n v="1867"/>
    <x v="460"/>
    <x v="4"/>
    <x v="4"/>
    <x v="1"/>
    <n v="2"/>
    <n v="302"/>
    <n v="604"/>
    <n v="151"/>
    <x v="408"/>
  </r>
  <r>
    <n v="1868"/>
    <x v="461"/>
    <x v="4"/>
    <x v="4"/>
    <x v="0"/>
    <n v="4"/>
    <n v="67"/>
    <n v="268"/>
    <n v="33.5"/>
    <x v="255"/>
  </r>
  <r>
    <n v="1869"/>
    <x v="462"/>
    <x v="3"/>
    <x v="3"/>
    <x v="3"/>
    <n v="5"/>
    <n v="50"/>
    <n v="250"/>
    <n v="25"/>
    <x v="226"/>
  </r>
  <r>
    <n v="1870"/>
    <x v="463"/>
    <x v="4"/>
    <x v="4"/>
    <x v="2"/>
    <n v="15"/>
    <n v="15"/>
    <n v="225"/>
    <n v="7.5"/>
    <x v="96"/>
  </r>
  <r>
    <n v="1871"/>
    <x v="463"/>
    <x v="2"/>
    <x v="2"/>
    <x v="4"/>
    <n v="5"/>
    <n v="8"/>
    <n v="40"/>
    <n v="4"/>
    <x v="21"/>
  </r>
  <r>
    <n v="1872"/>
    <x v="464"/>
    <x v="1"/>
    <x v="1"/>
    <x v="0"/>
    <n v="7"/>
    <n v="53"/>
    <n v="371"/>
    <n v="26.5"/>
    <x v="409"/>
  </r>
  <r>
    <n v="1873"/>
    <x v="464"/>
    <x v="3"/>
    <x v="3"/>
    <x v="3"/>
    <n v="6"/>
    <n v="24"/>
    <n v="144"/>
    <n v="12"/>
    <x v="65"/>
  </r>
  <r>
    <n v="1874"/>
    <x v="464"/>
    <x v="4"/>
    <x v="4"/>
    <x v="1"/>
    <n v="1"/>
    <n v="315"/>
    <n v="315"/>
    <n v="157.5"/>
    <x v="171"/>
  </r>
  <r>
    <n v="1875"/>
    <x v="465"/>
    <x v="0"/>
    <x v="0"/>
    <x v="3"/>
    <n v="2"/>
    <n v="45"/>
    <n v="90"/>
    <n v="22.5"/>
    <x v="5"/>
  </r>
  <r>
    <n v="1876"/>
    <x v="465"/>
    <x v="2"/>
    <x v="2"/>
    <x v="4"/>
    <n v="8"/>
    <n v="8"/>
    <n v="64"/>
    <n v="4"/>
    <x v="52"/>
  </r>
  <r>
    <n v="1877"/>
    <x v="466"/>
    <x v="4"/>
    <x v="4"/>
    <x v="1"/>
    <n v="1"/>
    <n v="339"/>
    <n v="339"/>
    <n v="169.5"/>
    <x v="119"/>
  </r>
  <r>
    <n v="1878"/>
    <x v="466"/>
    <x v="2"/>
    <x v="2"/>
    <x v="3"/>
    <n v="4"/>
    <n v="50"/>
    <n v="200"/>
    <n v="25"/>
    <x v="41"/>
  </r>
  <r>
    <n v="1879"/>
    <x v="467"/>
    <x v="4"/>
    <x v="4"/>
    <x v="0"/>
    <n v="8"/>
    <n v="50"/>
    <n v="400"/>
    <n v="25"/>
    <x v="335"/>
  </r>
  <r>
    <n v="1880"/>
    <x v="467"/>
    <x v="1"/>
    <x v="1"/>
    <x v="2"/>
    <n v="10"/>
    <n v="25"/>
    <n v="250"/>
    <n v="12.5"/>
    <x v="226"/>
  </r>
  <r>
    <n v="1881"/>
    <x v="468"/>
    <x v="0"/>
    <x v="0"/>
    <x v="4"/>
    <n v="2"/>
    <n v="11"/>
    <n v="22"/>
    <n v="5.5"/>
    <x v="247"/>
  </r>
  <r>
    <n v="1882"/>
    <x v="469"/>
    <x v="0"/>
    <x v="0"/>
    <x v="1"/>
    <n v="2"/>
    <n v="267"/>
    <n v="534"/>
    <n v="133.5"/>
    <x v="355"/>
  </r>
  <r>
    <n v="1883"/>
    <x v="470"/>
    <x v="0"/>
    <x v="0"/>
    <x v="4"/>
    <n v="7"/>
    <n v="15"/>
    <n v="105"/>
    <n v="7.5"/>
    <x v="120"/>
  </r>
  <r>
    <n v="1884"/>
    <x v="471"/>
    <x v="3"/>
    <x v="3"/>
    <x v="4"/>
    <n v="1"/>
    <n v="8"/>
    <n v="8"/>
    <n v="4"/>
    <x v="222"/>
  </r>
  <r>
    <n v="1885"/>
    <x v="472"/>
    <x v="0"/>
    <x v="0"/>
    <x v="0"/>
    <n v="4"/>
    <n v="81"/>
    <n v="324"/>
    <n v="40.5"/>
    <x v="195"/>
  </r>
  <r>
    <n v="1886"/>
    <x v="473"/>
    <x v="0"/>
    <x v="0"/>
    <x v="3"/>
    <n v="8"/>
    <n v="26"/>
    <n v="208"/>
    <n v="13"/>
    <x v="410"/>
  </r>
  <r>
    <n v="1887"/>
    <x v="474"/>
    <x v="0"/>
    <x v="0"/>
    <x v="2"/>
    <n v="10"/>
    <n v="25"/>
    <n v="250"/>
    <n v="12.5"/>
    <x v="226"/>
  </r>
  <r>
    <n v="1888"/>
    <x v="475"/>
    <x v="0"/>
    <x v="0"/>
    <x v="0"/>
    <n v="1"/>
    <n v="74"/>
    <n v="74"/>
    <n v="37"/>
    <x v="411"/>
  </r>
  <r>
    <n v="1889"/>
    <x v="476"/>
    <x v="1"/>
    <x v="1"/>
    <x v="2"/>
    <n v="7"/>
    <n v="17"/>
    <n v="119"/>
    <n v="8.5"/>
    <x v="412"/>
  </r>
  <r>
    <n v="1890"/>
    <x v="477"/>
    <x v="3"/>
    <x v="3"/>
    <x v="0"/>
    <n v="6"/>
    <n v="89"/>
    <n v="534"/>
    <n v="44.5"/>
    <x v="355"/>
  </r>
  <r>
    <n v="1891"/>
    <x v="477"/>
    <x v="4"/>
    <x v="4"/>
    <x v="0"/>
    <n v="2"/>
    <n v="64"/>
    <n v="128"/>
    <n v="32"/>
    <x v="413"/>
  </r>
  <r>
    <n v="1892"/>
    <x v="477"/>
    <x v="2"/>
    <x v="2"/>
    <x v="1"/>
    <n v="1"/>
    <n v="325"/>
    <n v="325"/>
    <n v="162.5"/>
    <x v="350"/>
  </r>
  <r>
    <n v="1893"/>
    <x v="478"/>
    <x v="4"/>
    <x v="4"/>
    <x v="2"/>
    <n v="8"/>
    <n v="14"/>
    <n v="112"/>
    <n v="7"/>
    <x v="24"/>
  </r>
  <r>
    <n v="1894"/>
    <x v="478"/>
    <x v="2"/>
    <x v="2"/>
    <x v="1"/>
    <n v="2"/>
    <n v="380"/>
    <n v="760"/>
    <n v="190"/>
    <x v="414"/>
  </r>
  <r>
    <n v="1895"/>
    <x v="478"/>
    <x v="0"/>
    <x v="0"/>
    <x v="1"/>
    <n v="2"/>
    <n v="316"/>
    <n v="632"/>
    <n v="158"/>
    <x v="132"/>
  </r>
  <r>
    <n v="1896"/>
    <x v="479"/>
    <x v="4"/>
    <x v="4"/>
    <x v="3"/>
    <n v="6"/>
    <n v="21"/>
    <n v="126"/>
    <n v="10.5"/>
    <x v="80"/>
  </r>
  <r>
    <n v="1897"/>
    <x v="480"/>
    <x v="0"/>
    <x v="0"/>
    <x v="3"/>
    <n v="1"/>
    <n v="32"/>
    <n v="32"/>
    <n v="16"/>
    <x v="35"/>
  </r>
  <r>
    <n v="1898"/>
    <x v="480"/>
    <x v="1"/>
    <x v="1"/>
    <x v="0"/>
    <n v="6"/>
    <n v="73"/>
    <n v="438"/>
    <n v="36.5"/>
    <x v="415"/>
  </r>
  <r>
    <n v="1899"/>
    <x v="481"/>
    <x v="2"/>
    <x v="2"/>
    <x v="4"/>
    <n v="9"/>
    <n v="9"/>
    <n v="81"/>
    <n v="4.5"/>
    <x v="74"/>
  </r>
  <r>
    <n v="1900"/>
    <x v="482"/>
    <x v="4"/>
    <x v="4"/>
    <x v="3"/>
    <n v="3"/>
    <n v="33"/>
    <n v="99"/>
    <n v="16.5"/>
    <x v="110"/>
  </r>
  <r>
    <n v="1901"/>
    <x v="483"/>
    <x v="2"/>
    <x v="2"/>
    <x v="3"/>
    <n v="7"/>
    <n v="49"/>
    <n v="343"/>
    <n v="24.5"/>
    <x v="365"/>
  </r>
  <r>
    <n v="1902"/>
    <x v="483"/>
    <x v="1"/>
    <x v="1"/>
    <x v="4"/>
    <n v="4"/>
    <n v="7"/>
    <n v="28"/>
    <n v="3.5"/>
    <x v="149"/>
  </r>
  <r>
    <n v="1903"/>
    <x v="484"/>
    <x v="3"/>
    <x v="3"/>
    <x v="2"/>
    <n v="5"/>
    <n v="20"/>
    <n v="100"/>
    <n v="10"/>
    <x v="82"/>
  </r>
  <r>
    <n v="1904"/>
    <x v="484"/>
    <x v="0"/>
    <x v="0"/>
    <x v="2"/>
    <n v="8"/>
    <n v="22"/>
    <n v="176"/>
    <n v="11"/>
    <x v="340"/>
  </r>
  <r>
    <n v="1905"/>
    <x v="485"/>
    <x v="3"/>
    <x v="3"/>
    <x v="2"/>
    <n v="20"/>
    <n v="21"/>
    <n v="420"/>
    <n v="10.5"/>
    <x v="416"/>
  </r>
  <r>
    <n v="1906"/>
    <x v="485"/>
    <x v="3"/>
    <x v="3"/>
    <x v="2"/>
    <n v="15"/>
    <n v="15"/>
    <n v="225"/>
    <n v="7.5"/>
    <x v="96"/>
  </r>
  <r>
    <n v="1907"/>
    <x v="486"/>
    <x v="0"/>
    <x v="0"/>
    <x v="4"/>
    <n v="7"/>
    <n v="6"/>
    <n v="42"/>
    <n v="3"/>
    <x v="219"/>
  </r>
  <r>
    <n v="1908"/>
    <x v="487"/>
    <x v="3"/>
    <x v="3"/>
    <x v="3"/>
    <n v="4"/>
    <n v="50"/>
    <n v="200"/>
    <n v="25"/>
    <x v="41"/>
  </r>
  <r>
    <n v="1909"/>
    <x v="488"/>
    <x v="0"/>
    <x v="0"/>
    <x v="0"/>
    <n v="2"/>
    <n v="80"/>
    <n v="160"/>
    <n v="40"/>
    <x v="56"/>
  </r>
  <r>
    <n v="1910"/>
    <x v="488"/>
    <x v="4"/>
    <x v="4"/>
    <x v="0"/>
    <n v="5"/>
    <n v="68"/>
    <n v="340"/>
    <n v="34"/>
    <x v="349"/>
  </r>
  <r>
    <n v="1911"/>
    <x v="489"/>
    <x v="3"/>
    <x v="3"/>
    <x v="1"/>
    <n v="1"/>
    <n v="257"/>
    <n v="257"/>
    <n v="128.5"/>
    <x v="417"/>
  </r>
  <r>
    <n v="1912"/>
    <x v="489"/>
    <x v="0"/>
    <x v="0"/>
    <x v="3"/>
    <n v="6"/>
    <n v="21"/>
    <n v="126"/>
    <n v="10.5"/>
    <x v="80"/>
  </r>
  <r>
    <n v="1913"/>
    <x v="489"/>
    <x v="4"/>
    <x v="4"/>
    <x v="0"/>
    <n v="9"/>
    <n v="67"/>
    <n v="603"/>
    <n v="33.5"/>
    <x v="418"/>
  </r>
  <r>
    <n v="1914"/>
    <x v="489"/>
    <x v="4"/>
    <x v="4"/>
    <x v="3"/>
    <n v="4"/>
    <n v="24"/>
    <n v="96"/>
    <n v="12"/>
    <x v="134"/>
  </r>
  <r>
    <n v="1915"/>
    <x v="490"/>
    <x v="1"/>
    <x v="1"/>
    <x v="2"/>
    <n v="1"/>
    <n v="17"/>
    <n v="17"/>
    <n v="8.5"/>
    <x v="419"/>
  </r>
  <r>
    <n v="1916"/>
    <x v="491"/>
    <x v="0"/>
    <x v="0"/>
    <x v="1"/>
    <n v="1"/>
    <n v="364"/>
    <n v="364"/>
    <n v="182"/>
    <x v="401"/>
  </r>
  <r>
    <n v="1917"/>
    <x v="492"/>
    <x v="3"/>
    <x v="3"/>
    <x v="0"/>
    <n v="5"/>
    <n v="71"/>
    <n v="355"/>
    <n v="35.5"/>
    <x v="420"/>
  </r>
  <r>
    <n v="1918"/>
    <x v="493"/>
    <x v="4"/>
    <x v="4"/>
    <x v="2"/>
    <n v="11"/>
    <n v="13"/>
    <n v="143"/>
    <n v="6.5"/>
    <x v="421"/>
  </r>
  <r>
    <n v="1919"/>
    <x v="493"/>
    <x v="2"/>
    <x v="2"/>
    <x v="2"/>
    <n v="11"/>
    <n v="22"/>
    <n v="242"/>
    <n v="11"/>
    <x v="379"/>
  </r>
  <r>
    <n v="1920"/>
    <x v="494"/>
    <x v="1"/>
    <x v="1"/>
    <x v="3"/>
    <n v="4"/>
    <n v="32"/>
    <n v="128"/>
    <n v="16"/>
    <x v="413"/>
  </r>
  <r>
    <n v="1921"/>
    <x v="495"/>
    <x v="0"/>
    <x v="0"/>
    <x v="0"/>
    <n v="7"/>
    <n v="67"/>
    <n v="469"/>
    <n v="33.5"/>
    <x v="422"/>
  </r>
  <r>
    <n v="1922"/>
    <x v="496"/>
    <x v="2"/>
    <x v="2"/>
    <x v="3"/>
    <n v="5"/>
    <n v="43"/>
    <n v="215"/>
    <n v="21.5"/>
    <x v="423"/>
  </r>
  <r>
    <n v="1923"/>
    <x v="496"/>
    <x v="4"/>
    <x v="4"/>
    <x v="3"/>
    <n v="4"/>
    <n v="44"/>
    <n v="176"/>
    <n v="22"/>
    <x v="340"/>
  </r>
  <r>
    <n v="1924"/>
    <x v="497"/>
    <x v="1"/>
    <x v="1"/>
    <x v="2"/>
    <n v="1"/>
    <n v="19"/>
    <n v="19"/>
    <n v="9.5"/>
    <x v="373"/>
  </r>
  <r>
    <n v="1925"/>
    <x v="498"/>
    <x v="0"/>
    <x v="0"/>
    <x v="1"/>
    <n v="1"/>
    <n v="254"/>
    <n v="254"/>
    <n v="127"/>
    <x v="424"/>
  </r>
  <r>
    <n v="1926"/>
    <x v="498"/>
    <x v="0"/>
    <x v="0"/>
    <x v="3"/>
    <n v="2"/>
    <n v="24"/>
    <n v="48"/>
    <n v="12"/>
    <x v="76"/>
  </r>
  <r>
    <n v="1927"/>
    <x v="499"/>
    <x v="3"/>
    <x v="3"/>
    <x v="2"/>
    <n v="11"/>
    <n v="19"/>
    <n v="209"/>
    <n v="9.5"/>
    <x v="361"/>
  </r>
  <r>
    <n v="1928"/>
    <x v="499"/>
    <x v="3"/>
    <x v="3"/>
    <x v="4"/>
    <n v="2"/>
    <n v="10"/>
    <n v="20"/>
    <n v="5"/>
    <x v="37"/>
  </r>
  <r>
    <n v="1929"/>
    <x v="500"/>
    <x v="0"/>
    <x v="0"/>
    <x v="1"/>
    <n v="2"/>
    <n v="241"/>
    <n v="482"/>
    <n v="120.5"/>
    <x v="425"/>
  </r>
  <r>
    <n v="1930"/>
    <x v="501"/>
    <x v="0"/>
    <x v="0"/>
    <x v="2"/>
    <n v="18"/>
    <n v="23"/>
    <n v="414"/>
    <n v="11.5"/>
    <x v="217"/>
  </r>
  <r>
    <n v="1931"/>
    <x v="502"/>
    <x v="4"/>
    <x v="4"/>
    <x v="1"/>
    <n v="2"/>
    <n v="379"/>
    <n v="758"/>
    <n v="189.5"/>
    <x v="426"/>
  </r>
  <r>
    <n v="1932"/>
    <x v="502"/>
    <x v="4"/>
    <x v="4"/>
    <x v="2"/>
    <n v="1"/>
    <n v="10"/>
    <n v="10"/>
    <n v="5"/>
    <x v="54"/>
  </r>
  <r>
    <n v="1933"/>
    <x v="502"/>
    <x v="2"/>
    <x v="2"/>
    <x v="1"/>
    <n v="1"/>
    <n v="285"/>
    <n v="285"/>
    <n v="142.5"/>
    <x v="39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72B478-2B2C-4E95-9A4A-36ED390615DC}" name="TablaDiná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O5:AA107" firstHeaderRow="1" firstDataRow="2" firstDataCol="1"/>
  <pivotFields count="13">
    <pivotField axis="axisRow" showAll="0">
      <items count="101">
        <item x="59"/>
        <item x="81"/>
        <item x="27"/>
        <item x="99"/>
        <item x="39"/>
        <item x="0"/>
        <item x="63"/>
        <item x="87"/>
        <item x="51"/>
        <item x="48"/>
        <item x="72"/>
        <item x="93"/>
        <item x="9"/>
        <item x="54"/>
        <item x="56"/>
        <item x="26"/>
        <item x="37"/>
        <item x="33"/>
        <item x="49"/>
        <item x="44"/>
        <item x="2"/>
        <item x="74"/>
        <item x="57"/>
        <item x="77"/>
        <item x="11"/>
        <item x="94"/>
        <item x="6"/>
        <item x="95"/>
        <item x="13"/>
        <item x="38"/>
        <item x="91"/>
        <item x="28"/>
        <item x="16"/>
        <item x="34"/>
        <item x="18"/>
        <item x="20"/>
        <item x="86"/>
        <item x="41"/>
        <item x="84"/>
        <item x="5"/>
        <item x="36"/>
        <item x="70"/>
        <item x="73"/>
        <item x="61"/>
        <item x="3"/>
        <item x="83"/>
        <item x="24"/>
        <item x="96"/>
        <item x="52"/>
        <item x="97"/>
        <item x="58"/>
        <item x="79"/>
        <item x="71"/>
        <item x="1"/>
        <item x="45"/>
        <item x="17"/>
        <item x="15"/>
        <item x="80"/>
        <item x="19"/>
        <item x="12"/>
        <item x="35"/>
        <item x="40"/>
        <item x="76"/>
        <item x="14"/>
        <item x="23"/>
        <item x="89"/>
        <item x="10"/>
        <item x="22"/>
        <item x="42"/>
        <item x="67"/>
        <item x="31"/>
        <item x="25"/>
        <item x="82"/>
        <item x="46"/>
        <item x="32"/>
        <item x="85"/>
        <item x="75"/>
        <item x="7"/>
        <item x="66"/>
        <item x="60"/>
        <item x="55"/>
        <item x="47"/>
        <item x="21"/>
        <item x="90"/>
        <item x="29"/>
        <item x="69"/>
        <item x="50"/>
        <item x="62"/>
        <item x="43"/>
        <item x="78"/>
        <item x="64"/>
        <item x="98"/>
        <item x="53"/>
        <item x="88"/>
        <item x="65"/>
        <item x="68"/>
        <item x="30"/>
        <item x="4"/>
        <item x="8"/>
        <item x="92"/>
        <item t="default"/>
      </items>
    </pivotField>
    <pivotField showAll="0"/>
    <pivotField axis="axisCol" showAll="0">
      <items count="12">
        <item x="3"/>
        <item x="7"/>
        <item x="2"/>
        <item x="6"/>
        <item x="0"/>
        <item x="4"/>
        <item x="9"/>
        <item x="10"/>
        <item x="8"/>
        <item x="5"/>
        <item x="1"/>
        <item t="default"/>
      </items>
    </pivotField>
    <pivotField showAll="0"/>
    <pivotField showAll="0"/>
    <pivotField showAll="0"/>
    <pivotField showAll="0"/>
    <pivotField showAll="0"/>
    <pivotField dataField="1" showAll="0"/>
    <pivotField showAll="0"/>
    <pivotField showAll="0"/>
    <pivotField showAll="0"/>
    <pivotField showAll="0"/>
  </pivotFields>
  <rowFields count="1">
    <field x="0"/>
  </rowFields>
  <rowItems count="1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i>
  </rowItems>
  <colFields count="1">
    <field x="2"/>
  </colFields>
  <colItems count="12">
    <i>
      <x/>
    </i>
    <i>
      <x v="1"/>
    </i>
    <i>
      <x v="2"/>
    </i>
    <i>
      <x v="3"/>
    </i>
    <i>
      <x v="4"/>
    </i>
    <i>
      <x v="5"/>
    </i>
    <i>
      <x v="6"/>
    </i>
    <i>
      <x v="7"/>
    </i>
    <i>
      <x v="8"/>
    </i>
    <i>
      <x v="9"/>
    </i>
    <i>
      <x v="10"/>
    </i>
    <i t="grand">
      <x/>
    </i>
  </colItems>
  <dataFields count="1">
    <dataField name="Suma de Calificación Proyectos (1-10)"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A3E30AD-93EB-4185-A578-D09DB194B5DA}" name="TablaDinámica1" cacheId="2" applyNumberFormats="0" applyBorderFormats="0" applyFontFormats="0" applyPatternFormats="0" applyAlignmentFormats="0" applyWidthHeightFormats="1" dataCaption="Valores" tag="63c261f9-bac1-417c-afd0-4a0823b26cad" updatedVersion="8" minRefreshableVersion="3" useAutoFormatting="1" itemPrintTitles="1" createdVersion="8" indent="0" outline="1" outlineData="1" multipleFieldFilters="0">
  <location ref="K83:L127" firstHeaderRow="1" firstDataRow="1" firstDataCol="1"/>
  <pivotFields count="2">
    <pivotField dataField="1" subtotalTop="0" showAll="0" defaultSubtotal="0"/>
    <pivotField axis="axisRow" allDrilled="1" subtotalTop="0" showAll="0" dataSourceSort="1" defaultSubtotal="0" defaultAttributeDrillState="1">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s>
    </pivotField>
  </pivotFields>
  <rowFields count="1">
    <field x="1"/>
  </rowFields>
  <rowItems count="4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t="grand">
      <x/>
    </i>
  </rowItems>
  <colItems count="1">
    <i/>
  </colItems>
  <dataFields count="1">
    <dataField name="Suma de Ingreso Neto" fld="0" baseField="0" baseItem="0"/>
  </dataFields>
  <pivotHierarchies count="13">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adatos2]"/>
        <x15:activeTabTopLevelEntity name="[tablapai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275AB3-F920-4CB7-B5A0-3488DF9AEA7B}" name="marca y comercial" cacheId="13" applyNumberFormats="0" applyBorderFormats="0" applyFontFormats="0" applyPatternFormats="0" applyAlignmentFormats="0" applyWidthHeightFormats="1" dataCaption="Valores" updatedVersion="8" minRefreshableVersion="5" useAutoFormatting="1" itemPrintTitles="1" createdVersion="8" indent="0" outline="1" outlineData="1" multipleFieldFilters="0" chartFormat="7">
  <location ref="O219:S224" firstHeaderRow="1" firstDataRow="2" firstDataCol="1"/>
  <pivotFields count="13">
    <pivotField showAll="0"/>
    <pivotField numFmtId="14" showAll="0">
      <items count="50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t="default"/>
      </items>
    </pivotField>
    <pivotField axis="axisCol" showAll="0">
      <items count="6">
        <item x="3"/>
        <item x="1"/>
        <item x="0"/>
        <item h="1" x="4"/>
        <item h="1" x="2"/>
        <item t="default"/>
      </items>
    </pivotField>
    <pivotField axis="axisRow" showAll="0">
      <items count="6">
        <item x="4"/>
        <item x="1"/>
        <item x="3"/>
        <item h="1" x="0"/>
        <item h="1" x="2"/>
        <item t="default"/>
      </items>
    </pivotField>
    <pivotField showAll="0">
      <items count="6">
        <item x="0"/>
        <item x="3"/>
        <item x="2"/>
        <item x="1"/>
        <item x="4"/>
        <item t="default"/>
      </items>
    </pivotField>
    <pivotField showAll="0"/>
    <pivotField numFmtId="172" showAll="0"/>
    <pivotField numFmtId="172" showAll="0"/>
    <pivotField numFmtId="172" showAll="0"/>
    <pivotField dataField="1" numFmtId="172" showAll="0"/>
    <pivotField showAll="0" defaultSubtotal="0"/>
    <pivotField showAll="0" defaultSubtotal="0"/>
    <pivotField showAll="0" defaultSubtotal="0">
      <items count="4">
        <item x="0"/>
        <item x="1"/>
        <item x="2"/>
        <item x="3"/>
      </items>
    </pivotField>
  </pivotFields>
  <rowFields count="1">
    <field x="3"/>
  </rowFields>
  <rowItems count="4">
    <i>
      <x/>
    </i>
    <i>
      <x v="1"/>
    </i>
    <i>
      <x v="2"/>
    </i>
    <i t="grand">
      <x/>
    </i>
  </rowItems>
  <colFields count="1">
    <field x="2"/>
  </colFields>
  <colItems count="4">
    <i>
      <x/>
    </i>
    <i>
      <x v="1"/>
    </i>
    <i>
      <x v="2"/>
    </i>
    <i t="grand">
      <x/>
    </i>
  </colItems>
  <dataFields count="1">
    <dataField name="Suma de Beneficio" fld="9" baseField="0" baseItem="0" numFmtId="172"/>
  </dataFields>
  <chartFormats count="11">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2" format="0" series="1">
      <pivotArea type="data" outline="0" fieldPosition="0">
        <references count="2">
          <reference field="4294967294" count="1" selected="0">
            <x v="0"/>
          </reference>
          <reference field="2" count="1" selected="0">
            <x v="0"/>
          </reference>
        </references>
      </pivotArea>
    </chartFormat>
    <chartFormat chart="2" format="1" series="1">
      <pivotArea type="data" outline="0" fieldPosition="0">
        <references count="2">
          <reference field="4294967294" count="1" selected="0">
            <x v="0"/>
          </reference>
          <reference field="2" count="1" selected="0">
            <x v="1"/>
          </reference>
        </references>
      </pivotArea>
    </chartFormat>
    <chartFormat chart="2" format="2" series="1">
      <pivotArea type="data" outline="0" fieldPosition="0">
        <references count="2">
          <reference field="4294967294" count="1" selected="0">
            <x v="0"/>
          </reference>
          <reference field="2" count="1" selected="0">
            <x v="2"/>
          </reference>
        </references>
      </pivotArea>
    </chartFormat>
    <chartFormat chart="2" format="3" series="1">
      <pivotArea type="data" outline="0" fieldPosition="0">
        <references count="2">
          <reference field="4294967294" count="1" selected="0">
            <x v="0"/>
          </reference>
          <reference field="2" count="1" selected="0">
            <x v="3"/>
          </reference>
        </references>
      </pivotArea>
    </chartFormat>
    <chartFormat chart="2" format="4" series="1">
      <pivotArea type="data" outline="0" fieldPosition="0">
        <references count="2">
          <reference field="4294967294" count="1" selected="0">
            <x v="0"/>
          </reference>
          <reference field="2" count="1" selected="0">
            <x v="4"/>
          </reference>
        </references>
      </pivotArea>
    </chartFormat>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80" name="FECHA">
      <autoFilter ref="A1">
        <filterColumn colId="0">
          <customFilters and="1">
            <customFilter operator="greaterThanOrEqual" val="44317"/>
            <customFilter operator="lessThanOrEqual" val="445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1396616-6127-49A4-8F72-C1CAC3334DE7}" name="articulos y comercial" cacheId="13" applyNumberFormats="0" applyBorderFormats="0" applyFontFormats="0" applyPatternFormats="0" applyAlignmentFormats="0" applyWidthHeightFormats="1" dataCaption="Valores" updatedVersion="8" minRefreshableVersion="5" useAutoFormatting="1" itemPrintTitles="1" createdVersion="8" indent="0" outline="1" outlineData="1" multipleFieldFilters="0" chartFormat="15">
  <location ref="O210:S217" firstHeaderRow="1" firstDataRow="2" firstDataCol="1"/>
  <pivotFields count="13">
    <pivotField showAll="0"/>
    <pivotField numFmtId="14" showAll="0">
      <items count="50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t="default"/>
      </items>
    </pivotField>
    <pivotField axis="axisCol" showAll="0">
      <items count="6">
        <item x="3"/>
        <item x="1"/>
        <item x="0"/>
        <item h="1" x="4"/>
        <item h="1" x="2"/>
        <item t="default"/>
      </items>
    </pivotField>
    <pivotField showAll="0">
      <items count="6">
        <item x="4"/>
        <item x="1"/>
        <item x="3"/>
        <item x="0"/>
        <item x="2"/>
        <item t="default"/>
      </items>
    </pivotField>
    <pivotField axis="axisRow" showAll="0">
      <items count="6">
        <item x="0"/>
        <item x="3"/>
        <item x="2"/>
        <item x="1"/>
        <item x="4"/>
        <item t="default"/>
      </items>
    </pivotField>
    <pivotField showAll="0"/>
    <pivotField numFmtId="172" showAll="0"/>
    <pivotField numFmtId="172" showAll="0"/>
    <pivotField numFmtId="172" showAll="0"/>
    <pivotField dataField="1" numFmtId="172" showAll="0"/>
    <pivotField showAll="0" defaultSubtotal="0"/>
    <pivotField showAll="0" defaultSubtotal="0"/>
    <pivotField showAll="0" defaultSubtotal="0">
      <items count="4">
        <item x="0"/>
        <item x="1"/>
        <item x="2"/>
        <item x="3"/>
      </items>
    </pivotField>
  </pivotFields>
  <rowFields count="1">
    <field x="4"/>
  </rowFields>
  <rowItems count="6">
    <i>
      <x/>
    </i>
    <i>
      <x v="1"/>
    </i>
    <i>
      <x v="2"/>
    </i>
    <i>
      <x v="3"/>
    </i>
    <i>
      <x v="4"/>
    </i>
    <i t="grand">
      <x/>
    </i>
  </rowItems>
  <colFields count="1">
    <field x="2"/>
  </colFields>
  <colItems count="4">
    <i>
      <x/>
    </i>
    <i>
      <x v="1"/>
    </i>
    <i>
      <x v="2"/>
    </i>
    <i t="grand">
      <x/>
    </i>
  </colItems>
  <dataFields count="1">
    <dataField name="Suma de Beneficio" fld="9" baseField="0" baseItem="0" numFmtId="172"/>
  </dataFields>
  <chartFormats count="5">
    <chartFormat chart="8" format="0" series="1">
      <pivotArea type="data" outline="0" fieldPosition="0">
        <references count="2">
          <reference field="4294967294" count="1" selected="0">
            <x v="0"/>
          </reference>
          <reference field="2" count="1" selected="0">
            <x v="0"/>
          </reference>
        </references>
      </pivotArea>
    </chartFormat>
    <chartFormat chart="8" format="1" series="1">
      <pivotArea type="data" outline="0" fieldPosition="0">
        <references count="2">
          <reference field="4294967294" count="1" selected="0">
            <x v="0"/>
          </reference>
          <reference field="2" count="1" selected="0">
            <x v="1"/>
          </reference>
        </references>
      </pivotArea>
    </chartFormat>
    <chartFormat chart="8" format="2" series="1">
      <pivotArea type="data" outline="0" fieldPosition="0">
        <references count="2">
          <reference field="4294967294" count="1" selected="0">
            <x v="0"/>
          </reference>
          <reference field="2" count="1" selected="0">
            <x v="2"/>
          </reference>
        </references>
      </pivotArea>
    </chartFormat>
    <chartFormat chart="8" format="3" series="1">
      <pivotArea type="data" outline="0" fieldPosition="0">
        <references count="2">
          <reference field="4294967294" count="1" selected="0">
            <x v="0"/>
          </reference>
          <reference field="2" count="1" selected="0">
            <x v="3"/>
          </reference>
        </references>
      </pivotArea>
    </chartFormat>
    <chartFormat chart="8" format="4" series="1">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filters count="1">
    <filter fld="1" type="dateBetween" evalOrder="-1" id="92" name="FECHA">
      <autoFilter ref="A1">
        <filterColumn colId="0">
          <customFilters and="1">
            <customFilter operator="greaterThanOrEqual" val="44317"/>
            <customFilter operator="lessThanOrEqual" val="445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D7D8330-21A1-4C85-A214-45D41EA08D9C}" name="marca" cacheId="13" applyNumberFormats="0" applyBorderFormats="0" applyFontFormats="0" applyPatternFormats="0" applyAlignmentFormats="0" applyWidthHeightFormats="1" dataCaption="Valores" updatedVersion="8" minRefreshableVersion="5" useAutoFormatting="1" itemPrintTitles="1" createdVersion="8" indent="0" outline="1" outlineData="1" multipleFieldFilters="0" chartFormat="10">
  <location ref="O201:P207" firstHeaderRow="1" firstDataRow="1" firstDataCol="1"/>
  <pivotFields count="13">
    <pivotField showAll="0"/>
    <pivotField numFmtId="14" showAll="0">
      <items count="50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t="default"/>
      </items>
    </pivotField>
    <pivotField showAll="0"/>
    <pivotField axis="axisRow" showAll="0" sortType="ascending">
      <items count="6">
        <item x="4"/>
        <item x="1"/>
        <item x="3"/>
        <item x="0"/>
        <item x="2"/>
        <item t="default"/>
      </items>
      <autoSortScope>
        <pivotArea dataOnly="0" outline="0" fieldPosition="0">
          <references count="1">
            <reference field="4294967294" count="1" selected="0">
              <x v="0"/>
            </reference>
          </references>
        </pivotArea>
      </autoSortScope>
    </pivotField>
    <pivotField showAll="0"/>
    <pivotField showAll="0"/>
    <pivotField numFmtId="172" showAll="0"/>
    <pivotField numFmtId="172" showAll="0"/>
    <pivotField numFmtId="172" showAll="0"/>
    <pivotField dataField="1" numFmtId="172" showAll="0"/>
    <pivotField showAll="0" defaultSubtotal="0"/>
    <pivotField showAll="0" defaultSubtotal="0"/>
    <pivotField showAll="0" defaultSubtotal="0">
      <items count="4">
        <item x="0"/>
        <item x="1"/>
        <item x="2"/>
        <item x="3"/>
      </items>
    </pivotField>
  </pivotFields>
  <rowFields count="1">
    <field x="3"/>
  </rowFields>
  <rowItems count="6">
    <i>
      <x v="1"/>
    </i>
    <i>
      <x v="2"/>
    </i>
    <i>
      <x v="4"/>
    </i>
    <i>
      <x v="3"/>
    </i>
    <i>
      <x/>
    </i>
    <i t="grand">
      <x/>
    </i>
  </rowItems>
  <colItems count="1">
    <i/>
  </colItems>
  <dataFields count="1">
    <dataField name="Suma de Beneficio" fld="9" baseField="0" baseItem="0" numFmtId="172"/>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3"/>
          </reference>
        </references>
      </pivotArea>
    </chartFormat>
    <chartFormat chart="0" format="2">
      <pivotArea type="data" outline="0" fieldPosition="0">
        <references count="2">
          <reference field="4294967294" count="1" selected="0">
            <x v="0"/>
          </reference>
          <reference field="3" count="1" selected="0">
            <x v="0"/>
          </reference>
        </references>
      </pivotArea>
    </chartFormat>
    <chartFormat chart="0" format="3">
      <pivotArea type="data" outline="0" fieldPosition="0">
        <references count="2">
          <reference field="4294967294" count="1" selected="0">
            <x v="0"/>
          </reference>
          <reference field="3" count="1" selected="0">
            <x v="4"/>
          </reference>
        </references>
      </pivotArea>
    </chartFormat>
    <chartFormat chart="0" format="4">
      <pivotArea type="data" outline="0" fieldPosition="0">
        <references count="2">
          <reference field="4294967294" count="1" selected="0">
            <x v="0"/>
          </reference>
          <reference field="3" count="1" selected="0">
            <x v="1"/>
          </reference>
        </references>
      </pivotArea>
    </chartFormat>
    <chartFormat chart="0" format="5">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filters count="1">
    <filter fld="1" type="dateBetween" evalOrder="-1" id="80" name="FECHA">
      <autoFilter ref="A1">
        <filterColumn colId="0">
          <customFilters and="1">
            <customFilter operator="greaterThanOrEqual" val="44317"/>
            <customFilter operator="lessThanOrEqual" val="445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6C09351-8885-4141-B52B-B4A9BC51AB4E}" name="comercial" cacheId="13" applyNumberFormats="0" applyBorderFormats="0" applyFontFormats="0" applyPatternFormats="0" applyAlignmentFormats="0" applyWidthHeightFormats="1" dataCaption="Valores" updatedVersion="8" minRefreshableVersion="5" itemPrintTitles="1" createdVersion="8" indent="0" outline="1" outlineData="1" multipleFieldFilters="0" chartFormat="13" fieldListSortAscending="1">
  <location ref="O193:P197" firstHeaderRow="1" firstDataRow="1" firstDataCol="1"/>
  <pivotFields count="13">
    <pivotField showAll="0"/>
    <pivotField numFmtId="14" showAll="0">
      <items count="50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t="default"/>
      </items>
    </pivotField>
    <pivotField axis="axisRow" showAll="0" sortType="ascending">
      <items count="6">
        <item x="3"/>
        <item x="1"/>
        <item x="0"/>
        <item h="1" x="4"/>
        <item h="1" x="2"/>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72" showAll="0"/>
    <pivotField numFmtId="172" showAll="0"/>
    <pivotField numFmtId="172" showAll="0"/>
    <pivotField dataField="1" numFmtId="172" showAll="0">
      <items count="428">
        <item x="357"/>
        <item x="172"/>
        <item x="97"/>
        <item x="222"/>
        <item x="71"/>
        <item x="54"/>
        <item x="66"/>
        <item x="125"/>
        <item x="299"/>
        <item x="419"/>
        <item x="138"/>
        <item x="373"/>
        <item x="37"/>
        <item x="25"/>
        <item x="247"/>
        <item x="395"/>
        <item x="11"/>
        <item x="15"/>
        <item x="115"/>
        <item x="20"/>
        <item x="149"/>
        <item x="243"/>
        <item x="10"/>
        <item x="35"/>
        <item x="83"/>
        <item x="309"/>
        <item x="90"/>
        <item x="127"/>
        <item x="73"/>
        <item x="46"/>
        <item x="231"/>
        <item x="21"/>
        <item x="219"/>
        <item x="63"/>
        <item x="75"/>
        <item x="203"/>
        <item x="72"/>
        <item x="8"/>
        <item x="76"/>
        <item x="123"/>
        <item x="40"/>
        <item x="91"/>
        <item x="266"/>
        <item x="32"/>
        <item x="112"/>
        <item x="393"/>
        <item x="38"/>
        <item x="287"/>
        <item x="19"/>
        <item x="52"/>
        <item x="339"/>
        <item x="104"/>
        <item x="28"/>
        <item x="31"/>
        <item x="49"/>
        <item x="411"/>
        <item x="163"/>
        <item x="230"/>
        <item x="364"/>
        <item x="151"/>
        <item x="2"/>
        <item x="303"/>
        <item x="74"/>
        <item x="325"/>
        <item x="89"/>
        <item x="118"/>
        <item x="404"/>
        <item x="174"/>
        <item x="5"/>
        <item x="394"/>
        <item x="293"/>
        <item x="51"/>
        <item x="384"/>
        <item x="263"/>
        <item x="134"/>
        <item x="324"/>
        <item x="110"/>
        <item x="82"/>
        <item x="177"/>
        <item x="154"/>
        <item x="120"/>
        <item x="224"/>
        <item x="202"/>
        <item x="282"/>
        <item x="145"/>
        <item x="24"/>
        <item x="210"/>
        <item x="99"/>
        <item x="412"/>
        <item x="211"/>
        <item x="33"/>
        <item x="17"/>
        <item x="103"/>
        <item x="286"/>
        <item x="47"/>
        <item x="80"/>
        <item x="413"/>
        <item x="387"/>
        <item x="9"/>
        <item x="98"/>
        <item x="237"/>
        <item x="298"/>
        <item x="234"/>
        <item x="180"/>
        <item x="92"/>
        <item x="57"/>
        <item x="421"/>
        <item x="65"/>
        <item x="208"/>
        <item x="42"/>
        <item x="173"/>
        <item x="194"/>
        <item x="142"/>
        <item x="319"/>
        <item x="141"/>
        <item x="94"/>
        <item x="259"/>
        <item x="150"/>
        <item x="223"/>
        <item x="159"/>
        <item x="56"/>
        <item x="370"/>
        <item x="105"/>
        <item x="354"/>
        <item x="133"/>
        <item x="353"/>
        <item x="79"/>
        <item x="101"/>
        <item x="136"/>
        <item x="308"/>
        <item x="34"/>
        <item x="340"/>
        <item x="36"/>
        <item x="55"/>
        <item x="306"/>
        <item x="209"/>
        <item x="314"/>
        <item x="227"/>
        <item x="327"/>
        <item x="13"/>
        <item x="201"/>
        <item x="182"/>
        <item x="116"/>
        <item x="368"/>
        <item x="100"/>
        <item x="305"/>
        <item x="41"/>
        <item x="70"/>
        <item x="167"/>
        <item x="7"/>
        <item x="143"/>
        <item x="380"/>
        <item x="229"/>
        <item x="410"/>
        <item x="361"/>
        <item x="137"/>
        <item x="374"/>
        <item x="16"/>
        <item x="423"/>
        <item x="363"/>
        <item x="382"/>
        <item x="117"/>
        <item x="220"/>
        <item x="129"/>
        <item x="153"/>
        <item x="96"/>
        <item x="176"/>
        <item x="329"/>
        <item x="128"/>
        <item x="189"/>
        <item x="310"/>
        <item x="400"/>
        <item x="344"/>
        <item x="285"/>
        <item x="29"/>
        <item x="147"/>
        <item x="108"/>
        <item x="267"/>
        <item x="379"/>
        <item x="254"/>
        <item x="348"/>
        <item x="4"/>
        <item x="23"/>
        <item x="342"/>
        <item x="226"/>
        <item x="330"/>
        <item x="166"/>
        <item x="424"/>
        <item x="383"/>
        <item x="417"/>
        <item x="148"/>
        <item x="111"/>
        <item x="391"/>
        <item x="225"/>
        <item x="255"/>
        <item x="14"/>
        <item x="318"/>
        <item x="170"/>
        <item x="88"/>
        <item x="207"/>
        <item x="235"/>
        <item x="113"/>
        <item x="183"/>
        <item x="261"/>
        <item x="323"/>
        <item x="397"/>
        <item x="81"/>
        <item x="204"/>
        <item x="215"/>
        <item x="257"/>
        <item x="295"/>
        <item x="294"/>
        <item x="396"/>
        <item x="1"/>
        <item x="62"/>
        <item x="366"/>
        <item x="359"/>
        <item x="251"/>
        <item x="239"/>
        <item x="161"/>
        <item x="77"/>
        <item x="171"/>
        <item x="381"/>
        <item x="131"/>
        <item x="242"/>
        <item x="12"/>
        <item x="265"/>
        <item x="195"/>
        <item x="350"/>
        <item x="288"/>
        <item x="18"/>
        <item x="126"/>
        <item x="347"/>
        <item x="315"/>
        <item x="343"/>
        <item x="119"/>
        <item x="349"/>
        <item x="402"/>
        <item x="365"/>
        <item x="64"/>
        <item x="197"/>
        <item x="109"/>
        <item x="301"/>
        <item x="191"/>
        <item x="296"/>
        <item x="212"/>
        <item x="371"/>
        <item x="420"/>
        <item x="369"/>
        <item x="198"/>
        <item x="401"/>
        <item x="338"/>
        <item x="409"/>
        <item x="249"/>
        <item x="378"/>
        <item x="362"/>
        <item x="139"/>
        <item x="246"/>
        <item x="156"/>
        <item x="248"/>
        <item x="181"/>
        <item x="216"/>
        <item x="335"/>
        <item x="169"/>
        <item x="233"/>
        <item x="386"/>
        <item x="146"/>
        <item x="217"/>
        <item x="416"/>
        <item x="377"/>
        <item x="190"/>
        <item x="206"/>
        <item x="341"/>
        <item x="346"/>
        <item x="415"/>
        <item x="58"/>
        <item x="332"/>
        <item x="214"/>
        <item x="152"/>
        <item x="406"/>
        <item x="164"/>
        <item x="312"/>
        <item x="273"/>
        <item x="85"/>
        <item x="22"/>
        <item x="158"/>
        <item x="67"/>
        <item x="27"/>
        <item x="283"/>
        <item x="39"/>
        <item x="160"/>
        <item x="252"/>
        <item x="168"/>
        <item x="175"/>
        <item x="422"/>
        <item x="61"/>
        <item x="425"/>
        <item x="398"/>
        <item x="321"/>
        <item x="322"/>
        <item x="392"/>
        <item x="178"/>
        <item x="352"/>
        <item x="236"/>
        <item x="121"/>
        <item x="390"/>
        <item x="291"/>
        <item x="124"/>
        <item x="258"/>
        <item x="345"/>
        <item x="130"/>
        <item x="199"/>
        <item x="135"/>
        <item x="68"/>
        <item x="355"/>
        <item x="260"/>
        <item x="356"/>
        <item x="250"/>
        <item x="45"/>
        <item x="43"/>
        <item x="405"/>
        <item x="228"/>
        <item x="284"/>
        <item x="48"/>
        <item x="6"/>
        <item x="187"/>
        <item x="290"/>
        <item x="262"/>
        <item x="372"/>
        <item x="186"/>
        <item x="389"/>
        <item x="3"/>
        <item x="107"/>
        <item x="193"/>
        <item x="213"/>
        <item x="307"/>
        <item x="278"/>
        <item x="403"/>
        <item x="268"/>
        <item x="114"/>
        <item x="50"/>
        <item x="162"/>
        <item x="59"/>
        <item x="418"/>
        <item x="408"/>
        <item x="26"/>
        <item x="271"/>
        <item x="269"/>
        <item x="86"/>
        <item x="407"/>
        <item x="274"/>
        <item x="253"/>
        <item x="241"/>
        <item x="132"/>
        <item x="188"/>
        <item x="232"/>
        <item x="245"/>
        <item x="200"/>
        <item x="44"/>
        <item x="93"/>
        <item x="289"/>
        <item x="281"/>
        <item x="218"/>
        <item x="300"/>
        <item x="388"/>
        <item x="351"/>
        <item x="106"/>
        <item x="399"/>
        <item x="336"/>
        <item x="272"/>
        <item x="60"/>
        <item x="192"/>
        <item x="360"/>
        <item x="326"/>
        <item x="157"/>
        <item x="375"/>
        <item x="277"/>
        <item x="185"/>
        <item x="426"/>
        <item x="414"/>
        <item x="179"/>
        <item x="165"/>
        <item x="84"/>
        <item x="280"/>
        <item x="320"/>
        <item x="337"/>
        <item x="279"/>
        <item x="140"/>
        <item x="184"/>
        <item x="69"/>
        <item x="313"/>
        <item x="155"/>
        <item x="144"/>
        <item x="367"/>
        <item x="358"/>
        <item x="385"/>
        <item x="240"/>
        <item x="376"/>
        <item x="30"/>
        <item x="102"/>
        <item x="122"/>
        <item x="221"/>
        <item x="0"/>
        <item x="331"/>
        <item x="270"/>
        <item x="328"/>
        <item x="53"/>
        <item x="317"/>
        <item x="78"/>
        <item x="304"/>
        <item x="334"/>
        <item x="264"/>
        <item x="316"/>
        <item x="297"/>
        <item x="95"/>
        <item x="238"/>
        <item x="333"/>
        <item x="87"/>
        <item x="292"/>
        <item x="205"/>
        <item x="275"/>
        <item x="256"/>
        <item x="311"/>
        <item x="196"/>
        <item x="244"/>
        <item x="302"/>
        <item x="276"/>
        <item t="default"/>
      </items>
    </pivotField>
    <pivotField showAll="0" defaultSubtotal="0"/>
    <pivotField showAll="0" defaultSubtotal="0"/>
    <pivotField showAll="0" defaultSubtotal="0">
      <items count="4">
        <item x="0"/>
        <item x="1"/>
        <item x="2"/>
        <item x="3"/>
      </items>
    </pivotField>
  </pivotFields>
  <rowFields count="1">
    <field x="2"/>
  </rowFields>
  <rowItems count="4">
    <i>
      <x v="1"/>
    </i>
    <i>
      <x/>
    </i>
    <i>
      <x v="2"/>
    </i>
    <i t="grand">
      <x/>
    </i>
  </rowItems>
  <colItems count="1">
    <i/>
  </colItems>
  <dataFields count="1">
    <dataField name="Suma de Beneficio" fld="9" baseField="0" baseItem="0" numFmtId="172"/>
  </dataFields>
  <formats count="1">
    <format dxfId="7">
      <pivotArea collapsedLevelsAreSubtotals="1" fieldPosition="0">
        <references count="1">
          <reference field="2" count="0"/>
        </references>
      </pivotArea>
    </format>
  </format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80" name="FECHA">
      <autoFilter ref="A1">
        <filterColumn colId="0">
          <customFilters and="1">
            <customFilter operator="greaterThanOrEqual" val="44317"/>
            <customFilter operator="lessThanOrEqual" val="445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B49B46C-4FF4-4A0B-A138-A0988ED59356}" name="TOTALES AÑOS" cacheId="13"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3">
  <location ref="O177:R191" firstHeaderRow="1" firstDataRow="2" firstDataCol="1"/>
  <pivotFields count="13">
    <pivotField showAll="0"/>
    <pivotField numFmtId="14" showAll="0">
      <items count="50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t="default"/>
      </items>
    </pivotField>
    <pivotField showAll="0"/>
    <pivotField showAll="0"/>
    <pivotField showAll="0"/>
    <pivotField showAll="0"/>
    <pivotField numFmtId="172" showAll="0"/>
    <pivotField numFmtId="172" showAll="0"/>
    <pivotField numFmtId="172" showAll="0"/>
    <pivotField dataField="1" numFmtId="172"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5">
        <item sd="0" x="0"/>
        <item sd="0" x="1"/>
        <item sd="0" x="2"/>
        <item sd="0" x="3"/>
        <item t="default"/>
      </items>
    </pivotField>
  </pivotFields>
  <rowFields count="1">
    <field x="10"/>
  </rowFields>
  <rowItems count="13">
    <i>
      <x v="1"/>
    </i>
    <i>
      <x v="2"/>
    </i>
    <i>
      <x v="3"/>
    </i>
    <i>
      <x v="4"/>
    </i>
    <i>
      <x v="5"/>
    </i>
    <i>
      <x v="6"/>
    </i>
    <i>
      <x v="7"/>
    </i>
    <i>
      <x v="8"/>
    </i>
    <i>
      <x v="9"/>
    </i>
    <i>
      <x v="10"/>
    </i>
    <i>
      <x v="11"/>
    </i>
    <i>
      <x v="12"/>
    </i>
    <i t="grand">
      <x/>
    </i>
  </rowItems>
  <colFields count="1">
    <field x="12"/>
  </colFields>
  <colItems count="3">
    <i>
      <x v="1"/>
    </i>
    <i>
      <x v="2"/>
    </i>
    <i t="grand">
      <x/>
    </i>
  </colItems>
  <dataFields count="1">
    <dataField name="total" fld="9" baseField="0" baseItem="0" numFmtId="172"/>
  </dataFields>
  <chartFormats count="2">
    <chartFormat chart="0" format="0" series="1">
      <pivotArea type="data" outline="0" fieldPosition="0">
        <references count="2">
          <reference field="4294967294" count="1" selected="0">
            <x v="0"/>
          </reference>
          <reference field="12" count="1" selected="0">
            <x v="1"/>
          </reference>
        </references>
      </pivotArea>
    </chartFormat>
    <chartFormat chart="0" format="1" series="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6E03A80-7AED-4D89-8F8D-66049BDA917D}" name="TablaDinámica2"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P23:S30" firstHeaderRow="1" firstDataRow="2" firstDataCol="1" rowPageCount="1" colPageCount="1"/>
  <pivotFields count="14">
    <pivotField showAll="0"/>
    <pivotField showAll="0"/>
    <pivotField showAll="0"/>
    <pivotField showAll="0"/>
    <pivotField axis="axisRow" showAll="0">
      <items count="6">
        <item x="3"/>
        <item x="2"/>
        <item x="0"/>
        <item x="4"/>
        <item x="1"/>
        <item t="default"/>
      </items>
    </pivotField>
    <pivotField showAll="0"/>
    <pivotField showAll="0"/>
    <pivotField axis="axisCol" showAll="0">
      <items count="3">
        <item x="0"/>
        <item x="1"/>
        <item t="default"/>
      </items>
    </pivotField>
    <pivotField showAll="0"/>
    <pivotField axis="axisPage" multipleItemSelectionAllowed="1" showAll="0">
      <items count="10">
        <item h="1" x="7"/>
        <item h="1" x="4"/>
        <item h="1" x="8"/>
        <item h="1" x="5"/>
        <item h="1" x="6"/>
        <item x="1"/>
        <item x="0"/>
        <item x="3"/>
        <item x="2"/>
        <item t="default"/>
      </items>
    </pivotField>
    <pivotField dataField="1" showAll="0"/>
    <pivotField showAll="0"/>
    <pivotField showAll="0"/>
    <pivotField showAll="0"/>
  </pivotFields>
  <rowFields count="1">
    <field x="4"/>
  </rowFields>
  <rowItems count="6">
    <i>
      <x/>
    </i>
    <i>
      <x v="1"/>
    </i>
    <i>
      <x v="2"/>
    </i>
    <i>
      <x v="3"/>
    </i>
    <i>
      <x v="4"/>
    </i>
    <i t="grand">
      <x/>
    </i>
  </rowItems>
  <colFields count="1">
    <field x="7"/>
  </colFields>
  <colItems count="3">
    <i>
      <x/>
    </i>
    <i>
      <x v="1"/>
    </i>
    <i t="grand">
      <x/>
    </i>
  </colItems>
  <pageFields count="1">
    <pageField fld="9" hier="-1"/>
  </pageFields>
  <dataFields count="1">
    <dataField name="Suma de Expectativa inversión 2018" fld="10" baseField="4" baseItem="4"/>
  </dataFields>
  <formats count="2">
    <format dxfId="47">
      <pivotArea collapsedLevelsAreSubtotals="1" fieldPosition="0">
        <references count="1">
          <reference field="4" count="0"/>
        </references>
      </pivotArea>
    </format>
    <format dxfId="46">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DC82D7E-4075-46BD-AAFF-95295B4083E8}" name="TablaDinámica1"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P11:S18" firstHeaderRow="1" firstDataRow="2" firstDataCol="1" rowPageCount="1" colPageCount="1"/>
  <pivotFields count="14">
    <pivotField showAll="0"/>
    <pivotField showAll="0"/>
    <pivotField showAll="0"/>
    <pivotField showAll="0"/>
    <pivotField axis="axisRow" showAll="0">
      <items count="6">
        <item x="3"/>
        <item x="2"/>
        <item x="0"/>
        <item x="4"/>
        <item x="1"/>
        <item t="default"/>
      </items>
    </pivotField>
    <pivotField showAll="0"/>
    <pivotField showAll="0"/>
    <pivotField axis="axisCol" showAll="0">
      <items count="3">
        <item x="0"/>
        <item x="1"/>
        <item t="default"/>
      </items>
    </pivotField>
    <pivotField showAll="0"/>
    <pivotField axis="axisPage" multipleItemSelectionAllowed="1" showAll="0">
      <items count="10">
        <item h="1" x="7"/>
        <item h="1" x="4"/>
        <item h="1" x="8"/>
        <item h="1" x="5"/>
        <item h="1" x="6"/>
        <item x="1"/>
        <item x="0"/>
        <item x="3"/>
        <item x="2"/>
        <item t="default"/>
      </items>
    </pivotField>
    <pivotField showAll="0"/>
    <pivotField dataField="1" showAll="0"/>
    <pivotField showAll="0"/>
    <pivotField showAll="0"/>
  </pivotFields>
  <rowFields count="1">
    <field x="4"/>
  </rowFields>
  <rowItems count="6">
    <i>
      <x/>
    </i>
    <i>
      <x v="1"/>
    </i>
    <i>
      <x v="2"/>
    </i>
    <i>
      <x v="3"/>
    </i>
    <i>
      <x v="4"/>
    </i>
    <i t="grand">
      <x/>
    </i>
  </rowItems>
  <colFields count="1">
    <field x="7"/>
  </colFields>
  <colItems count="3">
    <i>
      <x/>
    </i>
    <i>
      <x v="1"/>
    </i>
    <i t="grand">
      <x/>
    </i>
  </colItems>
  <pageFields count="1">
    <pageField fld="9" hier="-1"/>
  </pageFields>
  <dataFields count="1">
    <dataField name="Suma de Inversión real 2018" fld="11" baseField="4" baseItem="0"/>
  </dataFields>
  <formats count="2">
    <format dxfId="49">
      <pivotArea collapsedLevelsAreSubtotals="1" fieldPosition="0">
        <references count="1">
          <reference field="4" count="0"/>
        </references>
      </pivotArea>
    </format>
    <format dxfId="48">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2" connectionId="2" xr16:uid="{5491A821-018F-4B71-80BE-E044D5411090}" autoFormatId="16" applyNumberFormats="0" applyBorderFormats="0" applyFontFormats="0" applyPatternFormats="0" applyAlignmentFormats="0" applyWidthHeightFormats="0">
  <queryTableRefresh nextId="11">
    <queryTableFields count="9">
      <queryTableField id="1" name="Países.1" tableColumnId="1"/>
      <queryTableField id="2" name="Países.2" tableColumnId="2"/>
      <queryTableField id="3" name="Fecha" tableColumnId="3"/>
      <queryTableField id="4" name="PIB Trim Per Capita" tableColumnId="4"/>
      <queryTableField id="5" name="Var. PIB Trim Per Capita" tableColumnId="5"/>
      <queryTableField id="6" name="Var. anual PIB Trim Per Capita" tableColumnId="6"/>
      <queryTableField id="7" name="PIB Trim Per Capita_3" tableColumnId="7"/>
      <queryTableField id="8" name="Var. anual PIB Trim Per Capita_5" tableColumnId="8"/>
      <queryTableField id="9" name="Var. PIB Trim Per Capita_7"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osExternos_1" connectionId="1" xr16:uid="{12DB813F-B4D3-45F3-AAC4-EFF6C3128BED}" autoFormatId="16" applyNumberFormats="0" applyBorderFormats="0" applyFontFormats="0" applyPatternFormats="0" applyAlignmentFormats="0" applyWidthHeightFormats="0">
  <queryTableRefresh nextId="6">
    <queryTableFields count="5">
      <queryTableField id="1" name="Países.1" tableColumnId="1"/>
      <queryTableField id="2" name="Fecha" tableColumnId="2"/>
      <queryTableField id="3" name="PIB anual" tableColumnId="3"/>
      <queryTableField id="4" name="PIB anual_2" tableColumnId="4"/>
      <queryTableField id="5" name="Var. PIB (%)"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País_de_orígen" xr10:uid="{5EE9DB51-C450-462F-892F-C7BAD19DD430}" sourceName="País de orígen">
  <pivotTables>
    <pivotTable tabId="11" name="TablaDinámica1"/>
  </pivotTables>
  <data>
    <tabular pivotCacheId="680438046">
      <items count="11">
        <i x="3" s="1"/>
        <i x="7" s="1"/>
        <i x="2" s="1"/>
        <i x="6" s="1"/>
        <i x="0" s="1"/>
        <i x="4" s="1"/>
        <i x="9" s="1"/>
        <i x="10" s="1"/>
        <i x="8" s="1"/>
        <i x="5"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alificación_Proyectos__1_10" xr10:uid="{D6F73E63-381F-49CD-876B-3A333FBCA8DC}" sourceName="Calificación Proyectos (1-10)">
  <pivotTables>
    <pivotTable tabId="16" name="TablaDinámica1"/>
    <pivotTable tabId="16" name="TablaDinámica2"/>
  </pivotTables>
  <data>
    <tabular pivotCacheId="1370903876">
      <items count="9">
        <i x="7"/>
        <i x="4"/>
        <i x="8"/>
        <i x="5"/>
        <i x="6"/>
        <i x="1" s="1"/>
        <i x="0"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OMERCIAL" xr10:uid="{D6CB4231-6E5A-43BD-9EC6-2F77BBE1B123}" sourceName="COMERCIAL">
  <pivotTables>
    <pivotTable tabId="23" name="articulos y comercial"/>
    <pivotTable tabId="23" name="comercial"/>
    <pivotTable tabId="23" name="marca y comercial"/>
  </pivotTables>
  <data>
    <tabular pivotCacheId="1390091321">
      <items count="5">
        <i x="3" s="1"/>
        <i x="1" s="1"/>
        <i x="0" s="1"/>
        <i x="4"/>
        <i x="2"/>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MARCA" xr10:uid="{DA8F6756-5A77-426D-9B9B-7BBD2687EAD8}" sourceName="MARCA">
  <pivotTables>
    <pivotTable tabId="23" name="marca y comercial"/>
  </pivotTables>
  <data>
    <tabular pivotCacheId="1390091321">
      <items count="5">
        <i x="4" s="1"/>
        <i x="1" s="1"/>
        <i x="3" s="1"/>
        <i x="0"/>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ís de orígen" xr10:uid="{633F4F90-ED9F-4B36-93AB-1E36CB65CCD2}" cache="SegmentaciónDeDatos_País_de_orígen" caption="País de orígen" columnCount="1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ERCIAL" xr10:uid="{BF072C2A-F9D6-4D11-91FA-9F0ECE7B3645}" cache="SegmentaciónDeDatos_COMERCIAL" caption="COMERCIAL" columnCount="5" showCaption="0" style="SlicerStyleDark1" rowHeight="241300"/>
  <slicer name="MARCA" xr10:uid="{45FC0DDA-FDD8-45CE-85F6-2D0D14ABC0D2}" cache="SegmentaciónDeDatos_MARCA" caption="MARCA" columnCount="4" showCaption="0" style="SlicerStyleDark2"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lificación Proyectos (1-10)" xr10:uid="{206849B0-9B22-4D61-82A2-66FE2E53AEDC}" cache="SegmentaciónDeDatos_Calificación_Proyectos__1_10" caption="Calificación Proyectos (1-10)" columnCount="9" rowHeight="241300"/>
</slicers>
</file>

<file path=xl/tables/_rels/table8.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A0707CC-355B-41E5-B46F-6A8F16081A43}" name="Tabla2" displayName="Tabla2" ref="Q3:S9" totalsRowShown="0" tableBorderDxfId="163">
  <autoFilter ref="Q3:S9" xr:uid="{6A0707CC-355B-41E5-B46F-6A8F16081A43}"/>
  <tableColumns count="3">
    <tableColumn id="1" xr3:uid="{4CE2D6B6-DF50-4CEA-97B0-2273A47B8050}" name="¿Cuál es la inversión real 2018 de cada sector?" dataDxfId="162"/>
    <tableColumn id="2" xr3:uid="{B00AAE4C-73AD-457C-AD0F-9552C2F87996}" name="Columna1" dataDxfId="161"/>
    <tableColumn id="3" xr3:uid="{4D520799-F2FE-4FFD-AC12-5911CCC69549}" name="=sumar.si(RANGO DE DATOS, EL DATO O TEXTO, RANGO A SUMAR)" dataDxfId="160"/>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FE502D2-D097-4AAA-A1B1-570D0E44AF6A}" name="Tabla3" displayName="Tabla3" ref="B3:O103" totalsRowShown="0" headerRowDxfId="159" tableBorderDxfId="158">
  <autoFilter ref="B3:O103" xr:uid="{2FE502D2-D097-4AAA-A1B1-570D0E44AF6A}"/>
  <tableColumns count="14">
    <tableColumn id="1" xr3:uid="{204DB976-57A2-4354-8485-868BD26264A3}" name="Nombre" dataDxfId="157"/>
    <tableColumn id="2" xr3:uid="{66BB01F3-8B7D-46E6-A385-419504787B0D}" name="País de orígen" dataDxfId="156"/>
    <tableColumn id="3" xr3:uid="{85823369-B4A5-430F-873D-94B324395661}" name="Sector" dataDxfId="155"/>
    <tableColumn id="4" xr3:uid="{A0AEA3E5-F673-44D1-B583-B324B3062ABE}" name="Intención frente a los proyectos" dataDxfId="154"/>
    <tableColumn id="5" xr3:uid="{9E7C54BD-AEF6-4B5F-A9E3-EAB9FE1AEF62}" name="Detalle inversión" dataDxfId="153"/>
    <tableColumn id="6" xr3:uid="{ABEEB655-A878-487A-8C38-4AFFAF21CF50}" name="Conoce algún proyecto o no" dataDxfId="152"/>
    <tableColumn id="7" xr3:uid="{4F517EEC-60F2-4548-BFE2-C55C9BFA79AD}" name="Calificación Feria (1010)" dataDxfId="151"/>
    <tableColumn id="8" xr3:uid="{C81A3AA6-56F0-4AEE-8B43-33807ABF439B}" name="Calificación Proyectos (1010)" dataDxfId="150"/>
    <tableColumn id="9" xr3:uid="{FB5AC581-5545-4358-BAF2-E4D26C3D7CB7}" name="Expectativa inversión 2018" dataDxfId="149"/>
    <tableColumn id="10" xr3:uid="{9257C65E-9D72-45C3-863E-C0F44FBE343E}" name="Inversión real 2018" dataDxfId="148"/>
    <tableColumn id="11" xr3:uid="{2AE7E8CD-B247-47F5-91E2-B11645254A81}" name="Inversión real 2017" dataDxfId="147"/>
    <tableColumn id="12" xr3:uid="{18FEB68F-EF83-46C3-8D7C-1341F16D34C8}" name="Inversión real 2016" dataDxfId="146"/>
    <tableColumn id="13" xr3:uid="{659271BF-DFED-40E8-8274-5C1686DDDCA9}" name="var 201702016" dataDxfId="145">
      <calculatedColumnFormula>(Tabla3[[#This Row],[Inversión real 2017]]-Tabla3[[#This Row],[Inversión real 2016]])/Tabla3[[#This Row],[Inversión real 2016]]</calculatedColumnFormula>
    </tableColumn>
    <tableColumn id="14" xr3:uid="{077C7CAA-D899-4161-9293-6C674004B341}" name="VAR 201702018" dataDxfId="144">
      <calculatedColumnFormula>(Tabla3[[#This Row],[Inversión real 2017]]-Tabla3[[#This Row],[Inversión real 2018]])/Tabla3[[#This Row],[Inversión real 2018]]</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8DC32FF-0652-45FF-951E-4709DC6EEB2F}" name="Tabla1" displayName="Tabla1" ref="B2:E7" totalsRowShown="0">
  <autoFilter ref="B2:E7" xr:uid="{B8DC32FF-0652-45FF-951E-4709DC6EEB2F}"/>
  <tableColumns count="4">
    <tableColumn id="1" xr3:uid="{02203C75-9D59-47C3-A95B-EA06668FBE6A}" name="CIUDAD"/>
    <tableColumn id="2" xr3:uid="{A4595089-ABEF-48B7-8258-170A8ED099D7}" name="VENTAS"/>
    <tableColumn id="3" xr3:uid="{D307F4BE-4490-480A-9AAB-C83D7FD6CE83}" name="CIUDADANOS"/>
    <tableColumn id="4" xr3:uid="{62EA09BE-D3DF-46E9-89C0-66FB707A7C19}" name="EMPRESA"/>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C6CDD09-BDFA-4C52-A201-F5840163D0C2}" name="Tabla5" displayName="Tabla5" ref="A8:M108" totalsRowShown="0" headerRowDxfId="143" dataDxfId="141" headerRowBorderDxfId="142" tableBorderDxfId="140" totalsRowBorderDxfId="139" dataCellStyle="Moneda">
  <autoFilter ref="A8:M108" xr:uid="{6C6CDD09-BDFA-4C52-A201-F5840163D0C2}"/>
  <tableColumns count="13">
    <tableColumn id="1" xr3:uid="{A6BC3FA9-4343-42AC-80C8-6C43CC660480}" name="Nombre" dataDxfId="138"/>
    <tableColumn id="2" xr3:uid="{63079B57-7237-406B-B155-249CC81B632C}" name="Mail" dataDxfId="137"/>
    <tableColumn id="3" xr3:uid="{30DBDDF4-CECA-4E53-A39D-84FAC8DA7514}" name="País de orígen" dataDxfId="136"/>
    <tableColumn id="4" xr3:uid="{3B65F78C-553D-4F34-B016-C9C81EFFA367}" name="Sector" dataDxfId="135"/>
    <tableColumn id="5" xr3:uid="{B45743D1-8222-46C9-8C6F-73D4D20157AF}" name="Intención frente a los proyectos" dataDxfId="134">
      <calculatedColumnFormula>IFERROR(VLOOKUP(A9,bdbuscarv!$A$1:$M$101,5,FALSE),"no encontrado")</calculatedColumnFormula>
    </tableColumn>
    <tableColumn id="6" xr3:uid="{DAD2F546-7401-4950-8CD3-CFCBD74BF982}" name="Detalle inversión" dataDxfId="133">
      <calculatedColumnFormula>IFERROR(VLOOKUP(A9,Tabla4[#All],6,FALSE),"no encontrado")</calculatedColumnFormula>
    </tableColumn>
    <tableColumn id="7" xr3:uid="{DD2753FB-AE41-4693-909E-C764D39C1F6D}" name="Conoce algún proyecto o no" dataDxfId="132">
      <calculatedColumnFormula>IFERROR(VLOOKUP(A9,Tabla4[#All],7,FALSE),"no encontrado")</calculatedColumnFormula>
    </tableColumn>
    <tableColumn id="8" xr3:uid="{396A9712-B857-4B27-83A9-9D9E13AFC7FC}" name="Calificación Feria (1-10)" dataDxfId="131">
      <calculatedColumnFormula>IFERROR(VLOOKUP(A9,Tabla4[#All],8,FALSE),"no encontrado")</calculatedColumnFormula>
    </tableColumn>
    <tableColumn id="9" xr3:uid="{2A9B6940-F32D-426F-9900-3AABF11B2BAC}" name="Calificación Proyectos (1-10)" dataDxfId="130" dataCellStyle="Millares">
      <calculatedColumnFormula>IFERROR(VLOOKUP(A9,Tabla4[#All],9,FALSE),"no encontrado")</calculatedColumnFormula>
    </tableColumn>
    <tableColumn id="10" xr3:uid="{88759F2F-E1FF-4B0F-AA11-4F12188D4328}" name="Expectativa inversión 2018" dataDxfId="129" dataCellStyle="Moneda">
      <calculatedColumnFormula>IFERROR(VLOOKUP(A9,Tabla4[#All],$J$7,FALSE),"no encontrado")</calculatedColumnFormula>
    </tableColumn>
    <tableColumn id="11" xr3:uid="{45AF1B3D-353D-4F7D-B85A-833C9CDDAE14}" name="Inversión real 2018" dataDxfId="128" dataCellStyle="Moneda">
      <calculatedColumnFormula>IFERROR(VLOOKUP(A9,Tabla4[#All],$K$7,FALSE),"no encontrado")</calculatedColumnFormula>
    </tableColumn>
    <tableColumn id="12" xr3:uid="{B71696B5-D7F0-4A5D-8A8E-71AB08C583D3}" name="Inversión real 2017" dataDxfId="127" dataCellStyle="Moneda">
      <calculatedColumnFormula>IFERROR(VLOOKUP(A9,Tabla4[#All],$L$7,FALSE),"no encontrado")</calculatedColumnFormula>
    </tableColumn>
    <tableColumn id="13" xr3:uid="{495B8785-A87A-4EE5-901F-CA396E2CB55C}" name="Inversión real 2016" dataDxfId="126" dataCellStyle="Moneda">
      <calculatedColumnFormula>IFERROR(VLOOKUP(A9,Tabla4[#All],$M$7,FALSE),"no encontrado")</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50D3FD1-31C2-4758-A86C-8D1537338BF9}" name="Tabla4" displayName="Tabla4" ref="A1:M101" totalsRowShown="0" headerRowDxfId="125" headerRowBorderDxfId="124" tableBorderDxfId="123" totalsRowBorderDxfId="122">
  <autoFilter ref="A1:M101" xr:uid="{C50D3FD1-31C2-4758-A86C-8D1537338BF9}"/>
  <tableColumns count="13">
    <tableColumn id="1" xr3:uid="{E97CDCB9-F19B-44D1-B4FB-FAD1502A636F}" name="Nombre" dataDxfId="121"/>
    <tableColumn id="2" xr3:uid="{E00FDC44-C4DA-4FE2-8CD7-69E77EF80C39}" name="Mail" dataDxfId="120"/>
    <tableColumn id="3" xr3:uid="{1A763027-C9AB-4FAF-9BB6-958D051E5949}" name="País de orígen" dataDxfId="119"/>
    <tableColumn id="4" xr3:uid="{A6AE2406-49D2-4699-9223-8676A5374DBC}" name="Sector" dataDxfId="118"/>
    <tableColumn id="5" xr3:uid="{24D777D6-C905-46DC-A206-0534FDAEF5CF}" name="Intención frente a los proyectos" dataDxfId="117"/>
    <tableColumn id="6" xr3:uid="{FCB06F2B-331F-427B-A220-817F96D67512}" name="Detalle inversión" dataDxfId="116"/>
    <tableColumn id="7" xr3:uid="{879A6EF4-E221-447B-B1B4-FA8EF0E586F5}" name="Conoce algún proyecto o no" dataDxfId="115"/>
    <tableColumn id="8" xr3:uid="{7EBC14E6-7807-4E05-BCE1-26F12DE54C31}" name="Calificación Feria (1-10)" dataDxfId="114"/>
    <tableColumn id="9" xr3:uid="{C3D3EEE6-CE45-475C-B297-A527F4FD5DF6}" name="Calificación Proyectos (1-10)" dataDxfId="113"/>
    <tableColumn id="10" xr3:uid="{6A4B7780-C785-45F5-AE19-AB99C19C6656}" name="Expectativa inversión 2018" dataDxfId="112"/>
    <tableColumn id="11" xr3:uid="{0988E2E6-3158-4597-9BFF-9DC20C94EA8D}" name="Inversión real 2018" dataDxfId="111"/>
    <tableColumn id="12" xr3:uid="{DDE1DD9D-A2D6-4ACE-9196-28E6D420F9B2}" name="Inversión real 2017" dataDxfId="110"/>
    <tableColumn id="13" xr3:uid="{EE62C9C3-23D4-4C24-A8C3-759B2ABC909C}" name="Inversión real 2016" dataDxfId="109"/>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72B415C-C893-44DB-BA80-16C7985C8172}" name="tabladatos2" displayName="tabladatos2" ref="B3:H672" totalsRowShown="0" headerRowDxfId="108" dataDxfId="106" headerRowBorderDxfId="107" tableBorderDxfId="105" totalsRowBorderDxfId="104">
  <autoFilter ref="B3:H672" xr:uid="{072B415C-C893-44DB-BA80-16C7985C8172}"/>
  <tableColumns count="7">
    <tableColumn id="1" xr3:uid="{BF6E7CA6-1319-4DB0-97E6-8952CE991CE2}" name="Producto" dataDxfId="103"/>
    <tableColumn id="2" xr3:uid="{8EAC33DE-4B9E-4856-A919-40C789B26BDA}" name="Fecha" dataDxfId="102"/>
    <tableColumn id="3" xr3:uid="{E93F22A9-36A2-494E-856C-F06883EA99B3}" name="Unidades" dataDxfId="101"/>
    <tableColumn id="4" xr3:uid="{511B35E5-C6B3-4E69-8580-FCC3B887FFE2}" name="Venta Bruto" dataDxfId="100"/>
    <tableColumn id="5" xr3:uid="{711DA2C7-E675-4EE9-93E1-194D77BA2E55}" name="Coste de Producto" dataDxfId="99"/>
    <tableColumn id="6" xr3:uid="{A4CCC3C6-DD35-4CCF-9A39-3D3D1D2322A7}" name="Ingreso Neto" dataDxfId="98"/>
    <tableColumn id="7" xr3:uid="{2A3F7F2C-39F9-4E43-BC13-E5CC229DAB36}" name="Codigo" dataDxfId="97"/>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FB88942-0A73-48E5-B659-4DB8392C37CA}" name="tablapaises" displayName="tablapaises" ref="L3:M46" totalsRowShown="0" headerRowDxfId="96" headerRowBorderDxfId="95" tableBorderDxfId="94" totalsRowBorderDxfId="93">
  <autoFilter ref="L3:M46" xr:uid="{3FB88942-0A73-48E5-B659-4DB8392C37CA}"/>
  <tableColumns count="2">
    <tableColumn id="1" xr3:uid="{84A1924A-A501-4FBA-8F7B-87CB6CD62DE4}" name="Codigo" dataDxfId="92"/>
    <tableColumn id="2" xr3:uid="{C7D88E32-711B-48CE-BE21-706A96D407A7}" name="Pais" dataDxfId="91"/>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8BBEBBB-BFA3-4AB9-9126-60C926C9C282}" name="Tabla_4" displayName="Tabla_4" ref="A1:I60" tableType="queryTable" totalsRowShown="0">
  <autoFilter ref="A1:I60" xr:uid="{E8BBEBBB-BFA3-4AB9-9126-60C926C9C282}"/>
  <tableColumns count="9">
    <tableColumn id="1" xr3:uid="{50C6ABD2-29AB-422A-B506-0B979C4E0B1D}" uniqueName="1" name="Países.1" queryTableFieldId="1" dataDxfId="90"/>
    <tableColumn id="2" xr3:uid="{8BF1F35B-C896-46C7-8E81-8B00385D875A}" uniqueName="2" name="Países.2" queryTableFieldId="2" dataDxfId="89"/>
    <tableColumn id="3" xr3:uid="{F9994B69-766E-4E75-B9FB-6A209B61C983}" uniqueName="3" name="Fecha" queryTableFieldId="3" dataDxfId="88"/>
    <tableColumn id="4" xr3:uid="{F2F57556-CD60-4DC4-A1C3-4376809899AE}" uniqueName="4" name="PIB Trim Per Capita" queryTableFieldId="4" dataDxfId="87"/>
    <tableColumn id="5" xr3:uid="{53384CA2-C77C-4C6B-B007-17D7F3417A9F}" uniqueName="5" name="Var. PIB Trim Per Capita" queryTableFieldId="5" dataDxfId="86"/>
    <tableColumn id="6" xr3:uid="{B4505D82-D6E6-49E9-AD2E-7694963A0F0E}" uniqueName="6" name="Var. anual PIB Trim Per Capita" queryTableFieldId="6" dataDxfId="85"/>
    <tableColumn id="7" xr3:uid="{FF12C296-827A-4017-A99F-0A17755D2E6C}" uniqueName="7" name="PIB Trim Per Capita_3" queryTableFieldId="7" dataDxfId="84"/>
    <tableColumn id="8" xr3:uid="{8A87ACD8-E5E8-49E2-94F3-0861FCDB33A5}" uniqueName="8" name="Var. anual PIB Trim Per Capita_5" queryTableFieldId="8" dataDxfId="83"/>
    <tableColumn id="9" xr3:uid="{A24F6FDC-9ADD-4A2A-A654-F0241151ADA8}" uniqueName="9" name="Var. PIB Trim Per Capita_7" queryTableFieldId="9"/>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6D3F098-CFC2-40A9-AAE4-AB3E3EA7E2BC}" name="Tabla11" displayName="Tabla11" ref="A1:N640" totalsRowShown="0" headerRowDxfId="82" headerRowBorderDxfId="81" tableBorderDxfId="80" totalsRowBorderDxfId="79">
  <autoFilter ref="A1:N640" xr:uid="{E6D3F098-CFC2-40A9-AAE4-AB3E3EA7E2BC}"/>
  <tableColumns count="14">
    <tableColumn id="1" xr3:uid="{96927B1F-D9BE-4F54-ADCC-502AD7BC11CF}" name="Factura" dataDxfId="78"/>
    <tableColumn id="2" xr3:uid="{423461E1-8404-4D6D-8F53-C7F25534361B}" name="Fecha" dataDxfId="77"/>
    <tableColumn id="3" xr3:uid="{B9B310FD-9995-4AF7-BA6E-EFF8E00D6C4A}" name="Comercial" dataDxfId="76"/>
    <tableColumn id="4" xr3:uid="{D4869218-587F-4F58-99B3-E07FBE527230}" name="Marca" dataDxfId="75"/>
    <tableColumn id="5" xr3:uid="{E6EAA4CD-78BE-4C2E-9317-32BA62DCD151}" name="Decripcion" dataDxfId="74"/>
    <tableColumn id="6" xr3:uid="{BA9ECAF1-E4DB-493F-9870-3FD8794DCA14}" name="Base Imponible" dataDxfId="73"/>
    <tableColumn id="7" xr3:uid="{338D94F5-DFA3-483E-A258-E02A5B9DF522}" name="%Iva" dataDxfId="72"/>
    <tableColumn id="8" xr3:uid="{C3FBB400-D964-43C0-8398-FA692A085B36}" name="Total" dataDxfId="71"/>
    <tableColumn id="9" xr3:uid="{6D4016A9-712B-4EF7-8E5C-0FF98EA465B9}" name="Mayuscula" dataDxfId="70">
      <calculatedColumnFormula>UPPER(Tabla11[[#This Row],[Comercial]])</calculatedColumnFormula>
    </tableColumn>
    <tableColumn id="10" xr3:uid="{5F735450-B9DC-4B68-BEB2-C7DBD0BA0C6E}" name="Minuscula" dataDxfId="69">
      <calculatedColumnFormula>LOWER(Tabla11[[#This Row],[Comercial]])</calculatedColumnFormula>
    </tableColumn>
    <tableColumn id="11" xr3:uid="{EE47BC23-547C-4554-92D7-E9FDECFBAA0D}" name="Nombre Propio" dataDxfId="68">
      <calculatedColumnFormula>PROPER(Tabla11[[#This Row],[Comercial]])</calculatedColumnFormula>
    </tableColumn>
    <tableColumn id="12" xr3:uid="{F1A1E05E-C0F5-49B4-9802-D47D413F911B}" name="rellenar automatico"/>
    <tableColumn id="13" xr3:uid="{C6644196-E13E-4283-8945-DB1307A00E7A}" name="derecha" dataDxfId="67">
      <calculatedColumnFormula>RIGHT(Tabla11[[#This Row],[Comercial]],4)</calculatedColumnFormula>
    </tableColumn>
    <tableColumn id="14" xr3:uid="{1234C96A-49D4-42EC-997B-8DFD6358E9BF}" name="izquierda" dataDxfId="66">
      <calculatedColumnFormula>LEFT(Tabla11[[#This Row],[Minuscula]],6)</calculatedColumnFormula>
    </tableColum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8F7A5B8-B89C-43B1-9C76-385FF2928B4A}" name="Tabla12" displayName="Tabla12" ref="K1:R111" totalsRowShown="0" headerRowDxfId="65" dataDxfId="64">
  <autoFilter ref="K1:R111" xr:uid="{98F7A5B8-B89C-43B1-9C76-385FF2928B4A}"/>
  <tableColumns count="8">
    <tableColumn id="1" xr3:uid="{C3912F6C-F3E2-4C0B-A414-13A4E87EA0E1}" name="FACTURA" dataDxfId="63"/>
    <tableColumn id="2" xr3:uid="{E34FA570-982B-4550-9928-3CD9E6B4D864}" name="FECHA" dataDxfId="62"/>
    <tableColumn id="3" xr3:uid="{10A15909-E148-41E0-BB08-116874BBB360}" name="COMERCIAL" dataDxfId="61"/>
    <tableColumn id="4" xr3:uid="{C6502B30-D6DF-41D4-9B06-C7736F33EB26}" name="DECRIPCION" dataDxfId="60"/>
    <tableColumn id="5" xr3:uid="{74FA38CF-8535-4068-9655-DC5C43C4000B}" name="BASE IMPONIBLE" dataDxfId="59"/>
    <tableColumn id="6" xr3:uid="{11EC51BB-1CBB-4FC3-9353-C8F9C9895956}" name="%IVA" dataDxfId="58"/>
    <tableColumn id="7" xr3:uid="{3781C5AB-7B9E-4CBC-B72B-B36BE3856F1B}" name="TOTAL" dataDxfId="57"/>
    <tableColumn id="8" xr3:uid="{BD372A21-DDB7-4F18-96D9-DED8C398C4C8}" name="UNICA" dataDxfId="56">
      <calculatedColumnFormula>COUNTIF(Tabla12[FACTURA],Tabla12[[#This Row],[FACTURA]])</calculatedColumnFormula>
    </tableColumn>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09164D5-3E5E-4585-A081-40F445ABD510}" name="DASHBOARD" displayName="DASHBOARD" ref="D174:M1107" totalsRowShown="0" headerRowDxfId="13" dataDxfId="14" headerRowBorderDxfId="26" tableBorderDxfId="27" totalsRowBorderDxfId="25">
  <autoFilter ref="D174:M1107" xr:uid="{B09164D5-3E5E-4585-A081-40F445ABD510}"/>
  <tableColumns count="10">
    <tableColumn id="1" xr3:uid="{0C3CBAAF-D296-4E0B-8240-886E8276B5CD}" name="FACTURA" dataDxfId="24"/>
    <tableColumn id="2" xr3:uid="{63F068BB-F123-41A4-A682-ADCBAE5C4567}" name="FECHA" dataDxfId="23"/>
    <tableColumn id="3" xr3:uid="{1815D5C2-07DC-4BC6-B765-A1CE714DCA93}" name="COMERCIAL" dataDxfId="22"/>
    <tableColumn id="4" xr3:uid="{D7C7D2AE-6939-4B7D-B549-69D234A1037E}" name="MARCA" dataDxfId="21"/>
    <tableColumn id="5" xr3:uid="{FCAD0E88-CB9A-493F-B447-2BFA543A5EF6}" name="DECRIPCION" dataDxfId="20"/>
    <tableColumn id="6" xr3:uid="{56D77D21-6229-439D-92CE-FC4B93118D03}" name="Cantidad" dataDxfId="19"/>
    <tableColumn id="7" xr3:uid="{45737ED7-5993-489F-906D-E1D62CE7EDD8}" name="PVP" dataDxfId="18"/>
    <tableColumn id="8" xr3:uid="{88D71F53-45CC-4A39-8219-E6D3272E40D8}" name="Venta" dataDxfId="17"/>
    <tableColumn id="9" xr3:uid="{9AD24161-D4C3-467F-9E67-9D92EC6553DA}" name="Coste/ ud" dataDxfId="16"/>
    <tableColumn id="10" xr3:uid="{E6157348-956D-40F9-9328-88B07A09EF67}" name="Beneficio" dataDxfId="15"/>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7C19894-D8B8-4A1B-B6E8-ECECFBA539D4}" name="Tabla13" displayName="Tabla13" ref="A1:E14" totalsRowShown="0">
  <autoFilter ref="A1:E14" xr:uid="{37C19894-D8B8-4A1B-B6E8-ECECFBA539D4}"/>
  <tableColumns count="5">
    <tableColumn id="1" xr3:uid="{C6B7D9DA-1CBD-4039-BA66-35564901262C}" name="Escala de tiempo" dataDxfId="45"/>
    <tableColumn id="2" xr3:uid="{DA3522C8-95C1-4218-AF57-F56B3972F61C}" name="Valores"/>
    <tableColumn id="3" xr3:uid="{AEE288E7-7D75-456A-B738-3ACB9A034B30}" name="Previsión"/>
    <tableColumn id="4" xr3:uid="{741D97E3-6EAA-4DE2-90F5-7FA8CC0E893E}" name="Límite de confianza inferior"/>
    <tableColumn id="5" xr3:uid="{1F64C194-6FBE-494C-8716-7432993B5CB8}" name="Límite de confianza superior"/>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242B7BD-ECD8-4E16-BC59-82B8B0C1E699}" name="Tabla_1" displayName="Tabla_1" ref="A1:E214" tableType="queryTable" totalsRowShown="0">
  <autoFilter ref="A1:E214" xr:uid="{1242B7BD-ECD8-4E16-BC59-82B8B0C1E699}"/>
  <tableColumns count="5">
    <tableColumn id="1" xr3:uid="{AAF8EC33-70F8-4249-A914-7AABA38BD8AF}" uniqueName="1" name="Países.1" queryTableFieldId="1" dataDxfId="55"/>
    <tableColumn id="2" xr3:uid="{FFE9411C-1C96-4B39-9CE2-54B7FB97A992}" uniqueName="2" name="Fecha" queryTableFieldId="2"/>
    <tableColumn id="3" xr3:uid="{A20C9F0C-43E5-4F4C-B3D5-CF1A2C72D1D0}" uniqueName="3" name="PIB anual" queryTableFieldId="3" dataDxfId="54"/>
    <tableColumn id="4" xr3:uid="{33BCD676-1F6C-4331-BC39-A4257F6006C3}" uniqueName="4" name="PIB anual_2" queryTableFieldId="4" dataDxfId="53"/>
    <tableColumn id="5" xr3:uid="{C30C3260-C33F-4E8B-ADBA-273601DE0AFA}" uniqueName="5" name="Var. PIB (%)" queryTableFieldId="5"/>
  </tableColumns>
  <tableStyleInfo name="TableStyleMedium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622083A-FF75-409C-AA52-9CC73250E68D}" name="Tabla6" displayName="Tabla6" ref="C2:J5" totalsRowShown="0">
  <autoFilter ref="C2:J5" xr:uid="{C622083A-FF75-409C-AA52-9CC73250E68D}"/>
  <tableColumns count="8">
    <tableColumn id="1" xr3:uid="{32854021-099D-42EE-91C2-B6B863737DDC}" name="factura"/>
    <tableColumn id="2" xr3:uid="{43E36FAE-D60E-44D3-B2D3-D600B607DC2B}" name="fecha"/>
    <tableColumn id="3" xr3:uid="{7011291C-D221-4A6B-8865-B502E831F751}" name="comercial"/>
    <tableColumn id="4" xr3:uid="{E997EC37-2443-490A-A1D5-AEF45FCA730D}" name="marca"/>
    <tableColumn id="5" xr3:uid="{28A9DDDB-A346-44A8-BBD4-93450266651D}" name="descripcion"/>
    <tableColumn id="6" xr3:uid="{BF3F82B2-DE1C-41C5-99B8-F28B0772C24E}" name="base imponible" dataDxfId="52" dataCellStyle="Moneda"/>
    <tableColumn id="7" xr3:uid="{08C0AAC3-A18A-483F-A69E-73EC49DABA6F}" name="%iva" dataDxfId="51">
      <calculatedColumnFormula>H3*0.21</calculatedColumnFormula>
    </tableColumn>
    <tableColumn id="8" xr3:uid="{4BB4BF63-4425-4E9A-8F64-C841115B4E5E}" name="total" dataDxfId="50">
      <calculatedColumnFormula>H3+I3</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Marquesina">
      <a:dk1>
        <a:srgbClr val="000000"/>
      </a:dk1>
      <a:lt1>
        <a:sysClr val="window" lastClr="FFFFFF"/>
      </a:lt1>
      <a:dk2>
        <a:srgbClr val="5E5E5E"/>
      </a:dk2>
      <a:lt2>
        <a:srgbClr val="DDDDDD"/>
      </a:lt2>
      <a:accent1>
        <a:srgbClr val="418AB3"/>
      </a:accent1>
      <a:accent2>
        <a:srgbClr val="A6B727"/>
      </a:accent2>
      <a:accent3>
        <a:srgbClr val="F69200"/>
      </a:accent3>
      <a:accent4>
        <a:srgbClr val="838383"/>
      </a:accent4>
      <a:accent5>
        <a:srgbClr val="FEC306"/>
      </a:accent5>
      <a:accent6>
        <a:srgbClr val="DF5327"/>
      </a:accent6>
      <a:hlink>
        <a:srgbClr val="F59E00"/>
      </a:hlink>
      <a:folHlink>
        <a:srgbClr val="B2B2B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FECHA" xr10:uid="{E399F4F2-602F-43AF-95D6-3929CD0022EE}" sourceName="FECHA">
  <pivotTables>
    <pivotTable tabId="23" name="articulos y comercial"/>
    <pivotTable tabId="23" name="comercial"/>
    <pivotTable tabId="23" name="marca"/>
    <pivotTable tabId="23" name="marca y comercial"/>
  </pivotTables>
  <state minimalRefreshVersion="6" lastRefreshVersion="6" pivotCacheId="1390091321" filterType="dateBetween">
    <selection startDate="2021-05-01T00:00:00" endDate="2021-12-31T00:00:00"/>
    <bounds startDate="2020-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FECHA" xr10:uid="{47451E75-BB70-49EA-988F-949406D991DE}" cache="NativeTimeline_FECHA" caption="FECHA" showHeader="0" showSelectionLabel="0" showTimeLevel="0" level="2" selectionLevel="2" scrollPosition="2020-01-01T00:00:00" style="TimeSlicerStyleLight2"/>
</timelines>
</file>

<file path=xl/worksheets/_rels/sheet1.xml.rels><?xml version="1.0" encoding="UTF-8" standalone="yes"?>
<Relationships xmlns="http://schemas.openxmlformats.org/package/2006/relationships"><Relationship Id="rId1" Type="http://schemas.openxmlformats.org/officeDocument/2006/relationships/hyperlink" Target="mailto:felipeguzmanbotero@gmail.com" TargetMode="Externa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mailto:ALBERT@gmail.com" TargetMode="Externa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hyperlink" Target="mailto:ALBERT@gmail.com" TargetMode="External"/></Relationships>
</file>

<file path=xl/worksheets/_rels/sheet11.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pivotTable" Target="../pivotTables/pivotTable2.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4.xml.rels><?xml version="1.0" encoding="UTF-8" standalone="yes"?>
<Relationships xmlns="http://schemas.openxmlformats.org/package/2006/relationships"><Relationship Id="rId8" Type="http://schemas.openxmlformats.org/officeDocument/2006/relationships/table" Target="../tables/table11.xml"/><Relationship Id="rId3" Type="http://schemas.openxmlformats.org/officeDocument/2006/relationships/pivotTable" Target="../pivotTables/pivotTable5.xml"/><Relationship Id="rId7" Type="http://schemas.openxmlformats.org/officeDocument/2006/relationships/table" Target="../tables/table10.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drawing" Target="../drawings/drawing2.xml"/><Relationship Id="rId5" Type="http://schemas.openxmlformats.org/officeDocument/2006/relationships/pivotTable" Target="../pivotTables/pivotTable7.xml"/><Relationship Id="rId10" Type="http://schemas.microsoft.com/office/2011/relationships/timeline" Target="../timelines/timeline1.xml"/><Relationship Id="rId4" Type="http://schemas.openxmlformats.org/officeDocument/2006/relationships/pivotTable" Target="../pivotTables/pivotTable6.xml"/><Relationship Id="rId9" Type="http://schemas.microsoft.com/office/2007/relationships/slicer" Target="../slicers/slicer2.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9.xml"/><Relationship Id="rId1" Type="http://schemas.openxmlformats.org/officeDocument/2006/relationships/pivotTable" Target="../pivotTables/pivotTable8.xml"/><Relationship Id="rId4" Type="http://schemas.microsoft.com/office/2007/relationships/slicer" Target="../slicers/slicer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1088B-7E5A-4D1E-847A-0237E1152F08}">
  <sheetPr codeName="Hoja1"/>
  <dimension ref="A1:I101"/>
  <sheetViews>
    <sheetView workbookViewId="0">
      <selection activeCell="E19" sqref="E19"/>
    </sheetView>
  </sheetViews>
  <sheetFormatPr baseColWidth="10" defaultRowHeight="15"/>
  <cols>
    <col min="1" max="1" width="29.42578125" bestFit="1" customWidth="1"/>
    <col min="2" max="2" width="30.5703125" bestFit="1" customWidth="1"/>
    <col min="7" max="7" width="17.85546875" bestFit="1" customWidth="1"/>
    <col min="8" max="8" width="16.85546875" bestFit="1" customWidth="1"/>
  </cols>
  <sheetData>
    <row r="1" spans="1:9" ht="15.75" thickBot="1">
      <c r="A1" s="248" t="s">
        <v>154</v>
      </c>
      <c r="B1" s="249"/>
      <c r="C1" s="1"/>
      <c r="D1" s="1"/>
      <c r="E1" s="1"/>
      <c r="F1" s="1"/>
      <c r="G1" s="1"/>
      <c r="H1" s="1"/>
    </row>
    <row r="2" spans="1:9" ht="15.75" thickBot="1">
      <c r="A2" s="23" t="s">
        <v>0</v>
      </c>
      <c r="B2" s="23" t="s">
        <v>155</v>
      </c>
      <c r="C2" s="3"/>
      <c r="D2" s="1"/>
      <c r="E2" s="1"/>
      <c r="F2" s="1"/>
      <c r="G2" s="1"/>
      <c r="H2" s="1"/>
    </row>
    <row r="3" spans="1:9" ht="15.75" thickBot="1">
      <c r="A3" s="23" t="s">
        <v>156</v>
      </c>
      <c r="B3" s="40" t="s">
        <v>157</v>
      </c>
      <c r="C3" s="3"/>
      <c r="D3" s="1"/>
      <c r="E3" s="42" t="s">
        <v>161</v>
      </c>
      <c r="F3" s="43"/>
      <c r="G3" s="250" t="s">
        <v>162</v>
      </c>
      <c r="H3" s="251"/>
      <c r="I3" s="252"/>
    </row>
    <row r="4" spans="1:9" ht="15.75" thickBot="1">
      <c r="A4" s="23" t="s">
        <v>1</v>
      </c>
      <c r="B4" s="28">
        <v>10000000</v>
      </c>
      <c r="C4" s="3"/>
      <c r="D4" s="1"/>
      <c r="E4" s="44" t="s">
        <v>163</v>
      </c>
      <c r="F4" s="43"/>
      <c r="G4" s="45" t="s">
        <v>17</v>
      </c>
      <c r="H4" s="46" t="s">
        <v>10</v>
      </c>
      <c r="I4" s="46" t="s">
        <v>55</v>
      </c>
    </row>
    <row r="5" spans="1:9" ht="15.75" thickBot="1">
      <c r="A5" s="23" t="s">
        <v>2</v>
      </c>
      <c r="B5" s="23">
        <v>2</v>
      </c>
      <c r="C5" s="1"/>
      <c r="D5" s="1"/>
      <c r="E5" s="24" t="s">
        <v>17</v>
      </c>
      <c r="F5" s="43"/>
      <c r="G5" s="25" t="s">
        <v>18</v>
      </c>
      <c r="H5" s="24" t="s">
        <v>27</v>
      </c>
      <c r="I5" s="24" t="s">
        <v>56</v>
      </c>
    </row>
    <row r="6" spans="1:9" ht="15.75" thickBot="1">
      <c r="A6" s="23" t="s">
        <v>158</v>
      </c>
      <c r="B6" s="23" t="s">
        <v>21</v>
      </c>
      <c r="C6" s="3"/>
      <c r="D6" s="1"/>
      <c r="E6" s="24" t="s">
        <v>10</v>
      </c>
      <c r="F6" s="43"/>
      <c r="G6" s="25" t="s">
        <v>23</v>
      </c>
      <c r="H6" s="24" t="s">
        <v>11</v>
      </c>
      <c r="I6" s="24" t="s">
        <v>80</v>
      </c>
    </row>
    <row r="7" spans="1:9" ht="15.75" thickBot="1">
      <c r="A7" s="41" t="s">
        <v>4</v>
      </c>
      <c r="B7" s="41" t="s">
        <v>55</v>
      </c>
      <c r="C7" s="3"/>
      <c r="D7" s="1"/>
      <c r="E7" s="24" t="s">
        <v>55</v>
      </c>
      <c r="F7" s="43"/>
      <c r="G7" s="47"/>
      <c r="H7" s="43"/>
      <c r="I7" s="43"/>
    </row>
    <row r="8" spans="1:9" ht="15.75" thickBot="1">
      <c r="A8" s="41" t="s">
        <v>5</v>
      </c>
      <c r="B8" s="41" t="s">
        <v>80</v>
      </c>
      <c r="C8" s="3"/>
      <c r="D8" s="1"/>
      <c r="E8" s="1"/>
      <c r="F8" s="1"/>
      <c r="G8" s="1"/>
      <c r="H8" s="1"/>
    </row>
    <row r="9" spans="1:9" ht="15.75" thickBot="1">
      <c r="A9" s="23" t="s">
        <v>6</v>
      </c>
      <c r="B9" s="23" t="s">
        <v>159</v>
      </c>
      <c r="C9" s="3"/>
      <c r="D9" s="1"/>
      <c r="E9" s="1"/>
      <c r="F9" s="1"/>
      <c r="G9" s="1"/>
      <c r="H9" s="1"/>
    </row>
    <row r="10" spans="1:9" ht="15.75" thickBot="1">
      <c r="A10" s="23" t="s">
        <v>7</v>
      </c>
      <c r="B10" s="23" t="s">
        <v>160</v>
      </c>
      <c r="C10" s="3"/>
      <c r="D10" s="1"/>
      <c r="E10" s="1"/>
      <c r="F10" s="1"/>
      <c r="G10" s="1"/>
      <c r="H10" s="1"/>
    </row>
    <row r="11" spans="1:9" ht="15.75" thickBot="1">
      <c r="A11" s="1"/>
      <c r="B11" s="2"/>
      <c r="C11" s="1"/>
      <c r="D11" s="1"/>
      <c r="E11" s="1"/>
      <c r="F11" s="1"/>
      <c r="G11" s="1"/>
      <c r="H11" s="1"/>
    </row>
    <row r="12" spans="1:9">
      <c r="A12" s="253" t="s">
        <v>164</v>
      </c>
      <c r="B12" s="254"/>
      <c r="C12" s="254"/>
      <c r="D12" s="254"/>
      <c r="E12" s="254"/>
      <c r="F12" s="254"/>
      <c r="G12" s="254"/>
      <c r="H12" s="255"/>
    </row>
    <row r="13" spans="1:9">
      <c r="A13" s="256"/>
      <c r="B13" s="257"/>
      <c r="C13" s="257"/>
      <c r="D13" s="257"/>
      <c r="E13" s="257"/>
      <c r="F13" s="257"/>
      <c r="G13" s="257"/>
      <c r="H13" s="258"/>
    </row>
    <row r="14" spans="1:9">
      <c r="A14" s="256"/>
      <c r="B14" s="257"/>
      <c r="C14" s="257"/>
      <c r="D14" s="257"/>
      <c r="E14" s="257"/>
      <c r="F14" s="257"/>
      <c r="G14" s="257"/>
      <c r="H14" s="258"/>
    </row>
    <row r="15" spans="1:9" ht="15.75" thickBot="1">
      <c r="A15" s="259"/>
      <c r="B15" s="260"/>
      <c r="C15" s="260"/>
      <c r="D15" s="260"/>
      <c r="E15" s="260"/>
      <c r="F15" s="260"/>
      <c r="G15" s="260"/>
      <c r="H15" s="261"/>
    </row>
    <row r="16" spans="1:9" ht="15.75" thickBot="1">
      <c r="A16" s="1"/>
      <c r="B16" s="2"/>
      <c r="C16" s="1"/>
      <c r="D16" s="1"/>
      <c r="E16" s="1"/>
      <c r="F16" s="1"/>
      <c r="G16" s="1"/>
      <c r="H16" s="1"/>
    </row>
    <row r="17" spans="1:8" ht="15.75" thickBot="1">
      <c r="A17" s="1"/>
      <c r="B17" s="2"/>
      <c r="C17" s="3"/>
      <c r="D17" s="1"/>
      <c r="E17" s="1"/>
      <c r="F17" s="1"/>
      <c r="G17" s="1"/>
      <c r="H17" s="1"/>
    </row>
    <row r="18" spans="1:8" ht="15.75" thickBot="1">
      <c r="A18" s="1"/>
      <c r="B18" s="2"/>
      <c r="C18" s="3"/>
      <c r="D18" s="1"/>
      <c r="E18" s="1"/>
      <c r="F18" s="1"/>
      <c r="G18" s="1"/>
      <c r="H18" s="1"/>
    </row>
    <row r="19" spans="1:8" ht="15.75" thickBot="1">
      <c r="A19" s="1"/>
      <c r="B19" s="2"/>
      <c r="C19" s="3"/>
      <c r="D19" s="1"/>
      <c r="E19" s="1"/>
      <c r="F19" s="1"/>
      <c r="G19" s="1"/>
      <c r="H19" s="1"/>
    </row>
    <row r="20" spans="1:8" ht="15.75" thickBot="1">
      <c r="A20" s="1"/>
      <c r="B20" s="2"/>
      <c r="C20" s="1"/>
      <c r="D20" s="1"/>
      <c r="E20" s="1"/>
      <c r="F20" s="1"/>
      <c r="G20" s="1"/>
      <c r="H20" s="1"/>
    </row>
    <row r="21" spans="1:8" ht="15.75" thickBot="1">
      <c r="A21" s="1"/>
      <c r="B21" s="2"/>
      <c r="C21" s="3"/>
      <c r="D21" s="1"/>
      <c r="E21" s="1"/>
      <c r="F21" s="1"/>
      <c r="G21" s="1"/>
      <c r="H21" s="1"/>
    </row>
    <row r="22" spans="1:8" ht="15.75" thickBot="1">
      <c r="A22" s="1"/>
      <c r="B22" s="2"/>
      <c r="C22" s="1"/>
      <c r="D22" s="1"/>
      <c r="E22" s="1"/>
      <c r="F22" s="1"/>
      <c r="G22" s="1"/>
      <c r="H22" s="1"/>
    </row>
    <row r="23" spans="1:8" ht="15.75" thickBot="1">
      <c r="A23" s="1"/>
      <c r="B23" s="2"/>
      <c r="C23" s="3"/>
      <c r="D23" s="1"/>
      <c r="E23" s="1"/>
      <c r="F23" s="1"/>
      <c r="G23" s="1"/>
      <c r="H23" s="1"/>
    </row>
    <row r="24" spans="1:8" ht="15.75" thickBot="1">
      <c r="A24" s="1"/>
      <c r="B24" s="2"/>
      <c r="C24" s="1"/>
      <c r="D24" s="1"/>
      <c r="E24" s="1"/>
      <c r="F24" s="1"/>
      <c r="G24" s="1"/>
      <c r="H24" s="1"/>
    </row>
    <row r="25" spans="1:8" ht="15.75" thickBot="1">
      <c r="A25" s="1"/>
      <c r="B25" s="2"/>
      <c r="C25" s="3"/>
      <c r="D25" s="1"/>
      <c r="E25" s="1"/>
      <c r="F25" s="1"/>
      <c r="G25" s="1"/>
      <c r="H25" s="1"/>
    </row>
    <row r="26" spans="1:8" ht="15.75" thickBot="1">
      <c r="A26" s="1"/>
      <c r="B26" s="2"/>
      <c r="C26" s="3"/>
      <c r="D26" s="1"/>
      <c r="E26" s="1"/>
      <c r="F26" s="1"/>
      <c r="G26" s="1"/>
      <c r="H26" s="1"/>
    </row>
    <row r="27" spans="1:8" ht="15.75" thickBot="1">
      <c r="A27" s="1"/>
      <c r="B27" s="2"/>
      <c r="C27" s="3"/>
      <c r="D27" s="1"/>
      <c r="E27" s="1"/>
      <c r="F27" s="1"/>
      <c r="G27" s="1"/>
      <c r="H27" s="1"/>
    </row>
    <row r="28" spans="1:8" ht="15.75" thickBot="1">
      <c r="A28" s="1"/>
      <c r="B28" s="2"/>
      <c r="C28" s="1"/>
      <c r="D28" s="1"/>
      <c r="E28" s="1"/>
      <c r="F28" s="1"/>
      <c r="G28" s="1"/>
      <c r="H28" s="1"/>
    </row>
    <row r="29" spans="1:8" ht="15.75" thickBot="1">
      <c r="A29" s="1"/>
      <c r="B29" s="2"/>
      <c r="C29" s="3"/>
      <c r="D29" s="1"/>
      <c r="E29" s="1"/>
      <c r="F29" s="1"/>
      <c r="G29" s="1"/>
      <c r="H29" s="1"/>
    </row>
    <row r="30" spans="1:8" ht="15.75" thickBot="1">
      <c r="A30" s="1"/>
      <c r="B30" s="2"/>
      <c r="C30" s="1"/>
      <c r="D30" s="1"/>
      <c r="E30" s="1"/>
      <c r="F30" s="1"/>
      <c r="G30" s="1"/>
      <c r="H30" s="1"/>
    </row>
    <row r="31" spans="1:8" ht="15.75" thickBot="1">
      <c r="A31" s="1"/>
      <c r="B31" s="2"/>
      <c r="C31" s="3"/>
      <c r="D31" s="1"/>
      <c r="E31" s="1"/>
      <c r="F31" s="1"/>
      <c r="G31" s="1"/>
      <c r="H31" s="1"/>
    </row>
    <row r="32" spans="1:8" ht="15.75" thickBot="1">
      <c r="A32" s="1"/>
      <c r="B32" s="2"/>
      <c r="C32" s="3"/>
      <c r="D32" s="1"/>
      <c r="E32" s="1"/>
      <c r="F32" s="1"/>
      <c r="G32" s="1"/>
      <c r="H32" s="1"/>
    </row>
    <row r="33" spans="1:8" ht="15.75" thickBot="1">
      <c r="A33" s="1"/>
      <c r="B33" s="2"/>
      <c r="C33" s="3"/>
      <c r="D33" s="1"/>
      <c r="E33" s="1"/>
      <c r="F33" s="1"/>
      <c r="G33" s="1"/>
      <c r="H33" s="1"/>
    </row>
    <row r="34" spans="1:8" ht="15.75" thickBot="1">
      <c r="A34" s="1"/>
      <c r="B34" s="2"/>
      <c r="C34" s="3"/>
      <c r="D34" s="1"/>
      <c r="E34" s="1"/>
      <c r="F34" s="1"/>
      <c r="G34" s="1"/>
      <c r="H34" s="1"/>
    </row>
    <row r="35" spans="1:8" ht="15.75" thickBot="1">
      <c r="A35" s="1"/>
      <c r="B35" s="2"/>
      <c r="C35" s="3"/>
      <c r="D35" s="1"/>
      <c r="E35" s="1"/>
      <c r="F35" s="1"/>
      <c r="G35" s="1"/>
      <c r="H35" s="1"/>
    </row>
    <row r="36" spans="1:8" ht="15.75" thickBot="1">
      <c r="A36" s="1"/>
      <c r="B36" s="2"/>
      <c r="C36" s="3"/>
      <c r="D36" s="1"/>
      <c r="E36" s="1"/>
      <c r="F36" s="1"/>
      <c r="G36" s="1"/>
      <c r="H36" s="1"/>
    </row>
    <row r="37" spans="1:8" ht="15.75" thickBot="1">
      <c r="A37" s="1"/>
      <c r="B37" s="2"/>
      <c r="C37" s="1"/>
      <c r="D37" s="1"/>
      <c r="E37" s="1"/>
      <c r="F37" s="1"/>
      <c r="G37" s="1"/>
      <c r="H37" s="1"/>
    </row>
    <row r="38" spans="1:8" ht="15.75" thickBot="1">
      <c r="A38" s="1"/>
      <c r="B38" s="2"/>
      <c r="C38" s="3"/>
      <c r="D38" s="1"/>
      <c r="E38" s="1"/>
      <c r="F38" s="1"/>
      <c r="G38" s="1"/>
      <c r="H38" s="1"/>
    </row>
    <row r="39" spans="1:8" ht="15.75" thickBot="1">
      <c r="A39" s="1"/>
      <c r="B39" s="2"/>
      <c r="C39" s="3"/>
      <c r="D39" s="1"/>
      <c r="E39" s="1"/>
      <c r="F39" s="1"/>
      <c r="G39" s="1"/>
      <c r="H39" s="1"/>
    </row>
    <row r="40" spans="1:8" ht="15.75" thickBot="1">
      <c r="A40" s="1"/>
      <c r="B40" s="2"/>
      <c r="C40" s="3"/>
      <c r="D40" s="1"/>
      <c r="E40" s="1"/>
      <c r="F40" s="1"/>
      <c r="G40" s="1"/>
      <c r="H40" s="1"/>
    </row>
    <row r="41" spans="1:8" ht="15.75" thickBot="1">
      <c r="A41" s="1"/>
      <c r="B41" s="2"/>
      <c r="C41" s="3"/>
      <c r="D41" s="1"/>
      <c r="E41" s="1"/>
      <c r="F41" s="1"/>
      <c r="G41" s="1"/>
      <c r="H41" s="1"/>
    </row>
    <row r="42" spans="1:8" ht="15.75" thickBot="1">
      <c r="A42" s="1"/>
      <c r="B42" s="2"/>
      <c r="C42" s="1"/>
      <c r="D42" s="1"/>
      <c r="E42" s="1"/>
      <c r="F42" s="1"/>
      <c r="G42" s="1"/>
      <c r="H42" s="1"/>
    </row>
    <row r="43" spans="1:8" ht="15.75" thickBot="1">
      <c r="A43" s="1"/>
      <c r="B43" s="2"/>
      <c r="C43" s="3"/>
      <c r="D43" s="1"/>
      <c r="E43" s="1"/>
      <c r="F43" s="1"/>
      <c r="G43" s="1"/>
      <c r="H43" s="1"/>
    </row>
    <row r="44" spans="1:8" ht="15.75" thickBot="1">
      <c r="A44" s="1"/>
      <c r="B44" s="2"/>
      <c r="C44" s="3"/>
      <c r="D44" s="1"/>
      <c r="E44" s="1"/>
      <c r="F44" s="1"/>
      <c r="G44" s="1"/>
      <c r="H44" s="1"/>
    </row>
    <row r="45" spans="1:8" ht="15.75" thickBot="1">
      <c r="A45" s="1"/>
      <c r="B45" s="2"/>
      <c r="C45" s="3"/>
      <c r="D45" s="1"/>
      <c r="E45" s="1"/>
      <c r="F45" s="1"/>
      <c r="G45" s="1"/>
      <c r="H45" s="1"/>
    </row>
    <row r="46" spans="1:8" ht="15.75" thickBot="1">
      <c r="A46" s="1"/>
      <c r="B46" s="2"/>
      <c r="C46" s="1"/>
      <c r="D46" s="1"/>
      <c r="E46" s="1"/>
      <c r="F46" s="1"/>
      <c r="G46" s="1"/>
      <c r="H46" s="1"/>
    </row>
    <row r="47" spans="1:8" ht="15.75" thickBot="1">
      <c r="A47" s="1"/>
      <c r="B47" s="2"/>
      <c r="C47" s="1"/>
      <c r="D47" s="1"/>
      <c r="E47" s="1"/>
      <c r="F47" s="1"/>
      <c r="G47" s="1"/>
      <c r="H47" s="1"/>
    </row>
    <row r="48" spans="1:8" ht="15.75" thickBot="1">
      <c r="A48" s="1"/>
      <c r="B48" s="2"/>
      <c r="C48" s="3"/>
      <c r="D48" s="1"/>
      <c r="E48" s="1"/>
      <c r="F48" s="1"/>
      <c r="G48" s="1"/>
      <c r="H48" s="1"/>
    </row>
    <row r="49" spans="1:8" ht="15.75" thickBot="1">
      <c r="A49" s="1"/>
      <c r="B49" s="2"/>
      <c r="C49" s="3"/>
      <c r="D49" s="1"/>
      <c r="E49" s="1"/>
      <c r="F49" s="1"/>
      <c r="G49" s="1"/>
      <c r="H49" s="1"/>
    </row>
    <row r="50" spans="1:8" ht="15.75" thickBot="1">
      <c r="A50" s="1"/>
      <c r="B50" s="2"/>
      <c r="C50" s="3"/>
      <c r="D50" s="1"/>
      <c r="E50" s="1"/>
      <c r="F50" s="1"/>
      <c r="G50" s="1"/>
      <c r="H50" s="1"/>
    </row>
    <row r="51" spans="1:8" ht="15.75" thickBot="1">
      <c r="A51" s="1"/>
      <c r="B51" s="2"/>
      <c r="C51" s="3"/>
      <c r="D51" s="1"/>
      <c r="E51" s="1"/>
      <c r="F51" s="1"/>
      <c r="G51" s="1"/>
      <c r="H51" s="1"/>
    </row>
    <row r="52" spans="1:8" ht="15.75" thickBot="1">
      <c r="A52" s="1"/>
      <c r="B52" s="2"/>
      <c r="C52" s="3"/>
      <c r="D52" s="1"/>
      <c r="E52" s="1"/>
      <c r="F52" s="1"/>
      <c r="G52" s="1"/>
      <c r="H52" s="1"/>
    </row>
    <row r="53" spans="1:8" ht="15.75" thickBot="1">
      <c r="A53" s="1"/>
      <c r="B53" s="2"/>
      <c r="C53" s="3"/>
      <c r="D53" s="1"/>
      <c r="E53" s="1"/>
      <c r="F53" s="1"/>
      <c r="G53" s="1"/>
      <c r="H53" s="1"/>
    </row>
    <row r="54" spans="1:8" ht="15.75" thickBot="1">
      <c r="A54" s="1"/>
      <c r="B54" s="2"/>
      <c r="C54" s="3"/>
      <c r="D54" s="1"/>
      <c r="E54" s="1"/>
      <c r="F54" s="1"/>
      <c r="G54" s="1"/>
      <c r="H54" s="1"/>
    </row>
    <row r="55" spans="1:8" ht="15.75" thickBot="1">
      <c r="A55" s="1"/>
      <c r="B55" s="2"/>
      <c r="C55" s="3"/>
      <c r="D55" s="1"/>
      <c r="E55" s="1"/>
      <c r="F55" s="1"/>
      <c r="G55" s="1"/>
      <c r="H55" s="1"/>
    </row>
    <row r="56" spans="1:8" ht="15.75" thickBot="1">
      <c r="A56" s="1"/>
      <c r="B56" s="2"/>
      <c r="C56" s="1"/>
      <c r="D56" s="1"/>
      <c r="E56" s="1"/>
      <c r="F56" s="1"/>
      <c r="G56" s="1"/>
      <c r="H56" s="1"/>
    </row>
    <row r="57" spans="1:8" ht="15.75" thickBot="1">
      <c r="A57" s="1"/>
      <c r="B57" s="2"/>
      <c r="C57" s="3"/>
      <c r="D57" s="1"/>
      <c r="E57" s="1"/>
      <c r="F57" s="1"/>
      <c r="G57" s="1"/>
      <c r="H57" s="1"/>
    </row>
    <row r="58" spans="1:8" ht="15.75" thickBot="1">
      <c r="A58" s="1"/>
      <c r="B58" s="2"/>
      <c r="C58" s="1"/>
      <c r="D58" s="1"/>
      <c r="E58" s="1"/>
      <c r="F58" s="1"/>
      <c r="G58" s="1"/>
      <c r="H58" s="1"/>
    </row>
    <row r="59" spans="1:8" ht="15.75" thickBot="1">
      <c r="A59" s="1"/>
      <c r="B59" s="2"/>
      <c r="C59" s="3"/>
      <c r="D59" s="1"/>
      <c r="E59" s="1"/>
      <c r="F59" s="1"/>
      <c r="G59" s="1"/>
      <c r="H59" s="1"/>
    </row>
    <row r="60" spans="1:8" ht="15.75" thickBot="1">
      <c r="A60" s="1"/>
      <c r="B60" s="2"/>
      <c r="C60" s="1"/>
      <c r="D60" s="1"/>
      <c r="E60" s="1"/>
      <c r="F60" s="1"/>
      <c r="G60" s="1"/>
      <c r="H60" s="1"/>
    </row>
    <row r="61" spans="1:8" ht="15.75" thickBot="1">
      <c r="A61" s="1"/>
      <c r="B61" s="2"/>
      <c r="C61" s="3"/>
      <c r="D61" s="1"/>
      <c r="E61" s="1"/>
      <c r="F61" s="1"/>
      <c r="G61" s="1"/>
      <c r="H61" s="1"/>
    </row>
    <row r="62" spans="1:8" ht="15.75" thickBot="1">
      <c r="A62" s="1"/>
      <c r="B62" s="2"/>
      <c r="C62" s="3"/>
      <c r="D62" s="1"/>
      <c r="E62" s="1"/>
      <c r="F62" s="1"/>
      <c r="G62" s="1"/>
      <c r="H62" s="1"/>
    </row>
    <row r="63" spans="1:8" ht="15.75" thickBot="1">
      <c r="A63" s="1"/>
      <c r="B63" s="2"/>
      <c r="C63" s="3"/>
      <c r="D63" s="1"/>
      <c r="E63" s="1"/>
      <c r="F63" s="1"/>
      <c r="G63" s="1"/>
      <c r="H63" s="1"/>
    </row>
    <row r="64" spans="1:8" ht="15.75" thickBot="1">
      <c r="A64" s="1"/>
      <c r="B64" s="2"/>
      <c r="C64" s="3"/>
      <c r="D64" s="1"/>
      <c r="E64" s="1"/>
      <c r="F64" s="1"/>
      <c r="G64" s="1"/>
      <c r="H64" s="1"/>
    </row>
    <row r="65" spans="1:8" ht="15.75" thickBot="1">
      <c r="A65" s="1"/>
      <c r="B65" s="2"/>
      <c r="C65" s="3"/>
      <c r="D65" s="1"/>
      <c r="E65" s="1"/>
      <c r="F65" s="1"/>
      <c r="G65" s="1"/>
      <c r="H65" s="1"/>
    </row>
    <row r="66" spans="1:8" ht="15.75" thickBot="1">
      <c r="A66" s="1"/>
      <c r="B66" s="2"/>
      <c r="C66" s="1"/>
      <c r="D66" s="1"/>
      <c r="E66" s="1"/>
      <c r="F66" s="1"/>
      <c r="G66" s="1"/>
      <c r="H66" s="1"/>
    </row>
    <row r="67" spans="1:8" ht="15.75" thickBot="1">
      <c r="A67" s="1"/>
      <c r="B67" s="2"/>
      <c r="C67" s="3"/>
      <c r="D67" s="1"/>
      <c r="E67" s="1"/>
      <c r="F67" s="1"/>
      <c r="G67" s="1"/>
      <c r="H67" s="1"/>
    </row>
    <row r="68" spans="1:8" ht="15.75" thickBot="1">
      <c r="A68" s="1"/>
      <c r="B68" s="2"/>
      <c r="C68" s="3"/>
      <c r="D68" s="1"/>
      <c r="E68" s="1"/>
      <c r="F68" s="1"/>
      <c r="G68" s="1"/>
      <c r="H68" s="1"/>
    </row>
    <row r="69" spans="1:8" ht="15.75" thickBot="1">
      <c r="A69" s="1"/>
      <c r="B69" s="2"/>
      <c r="C69" s="3"/>
      <c r="D69" s="1"/>
      <c r="E69" s="1"/>
      <c r="F69" s="1"/>
      <c r="G69" s="1"/>
      <c r="H69" s="1"/>
    </row>
    <row r="70" spans="1:8" ht="15.75" thickBot="1">
      <c r="A70" s="1"/>
      <c r="B70" s="2"/>
      <c r="C70" s="1"/>
      <c r="D70" s="1"/>
      <c r="E70" s="1"/>
      <c r="F70" s="1"/>
      <c r="G70" s="1"/>
      <c r="H70" s="1"/>
    </row>
    <row r="71" spans="1:8" ht="15.75" thickBot="1">
      <c r="A71" s="1"/>
      <c r="B71" s="2"/>
      <c r="C71" s="1"/>
      <c r="D71" s="1"/>
      <c r="E71" s="1"/>
      <c r="F71" s="1"/>
      <c r="G71" s="1"/>
      <c r="H71" s="1"/>
    </row>
    <row r="72" spans="1:8" ht="15.75" thickBot="1">
      <c r="A72" s="1"/>
      <c r="B72" s="2"/>
      <c r="C72" s="3"/>
      <c r="D72" s="1"/>
      <c r="E72" s="1"/>
      <c r="F72" s="1"/>
      <c r="G72" s="1"/>
      <c r="H72" s="1"/>
    </row>
    <row r="73" spans="1:8" ht="15.75" thickBot="1">
      <c r="A73" s="1"/>
      <c r="B73" s="2"/>
      <c r="C73" s="3"/>
      <c r="D73" s="1"/>
      <c r="E73" s="1"/>
      <c r="F73" s="1"/>
      <c r="G73" s="1"/>
      <c r="H73" s="1"/>
    </row>
    <row r="74" spans="1:8" ht="15.75" thickBot="1">
      <c r="A74" s="1"/>
      <c r="B74" s="2"/>
      <c r="C74" s="3"/>
      <c r="D74" s="1"/>
      <c r="E74" s="1"/>
      <c r="F74" s="1"/>
      <c r="G74" s="1"/>
      <c r="H74" s="1"/>
    </row>
    <row r="75" spans="1:8" ht="15.75" thickBot="1">
      <c r="A75" s="1"/>
      <c r="B75" s="2"/>
      <c r="C75" s="3"/>
      <c r="D75" s="1"/>
      <c r="E75" s="1"/>
      <c r="F75" s="1"/>
      <c r="G75" s="1"/>
      <c r="H75" s="1"/>
    </row>
    <row r="76" spans="1:8" ht="15.75" thickBot="1">
      <c r="A76" s="1"/>
      <c r="B76" s="2"/>
      <c r="C76" s="3"/>
      <c r="D76" s="1"/>
      <c r="E76" s="1"/>
      <c r="F76" s="1"/>
      <c r="G76" s="1"/>
      <c r="H76" s="1"/>
    </row>
    <row r="77" spans="1:8" ht="15.75" thickBot="1">
      <c r="A77" s="1"/>
      <c r="B77" s="2"/>
      <c r="C77" s="1"/>
      <c r="D77" s="1"/>
      <c r="E77" s="1"/>
      <c r="F77" s="1"/>
      <c r="G77" s="1"/>
      <c r="H77" s="1"/>
    </row>
    <row r="78" spans="1:8" ht="15.75" thickBot="1">
      <c r="A78" s="1"/>
      <c r="B78" s="2"/>
      <c r="C78" s="3"/>
      <c r="D78" s="1"/>
      <c r="E78" s="1"/>
      <c r="F78" s="1"/>
      <c r="G78" s="1"/>
      <c r="H78" s="1"/>
    </row>
    <row r="79" spans="1:8" ht="15.75" thickBot="1">
      <c r="A79" s="1"/>
      <c r="B79" s="2"/>
      <c r="C79" s="3"/>
      <c r="D79" s="1"/>
      <c r="E79" s="1"/>
      <c r="F79" s="1"/>
      <c r="G79" s="1"/>
      <c r="H79" s="1"/>
    </row>
    <row r="80" spans="1:8" ht="15.75" thickBot="1">
      <c r="A80" s="1"/>
      <c r="B80" s="2"/>
      <c r="C80" s="1"/>
      <c r="D80" s="1"/>
      <c r="E80" s="1"/>
      <c r="F80" s="1"/>
      <c r="G80" s="1"/>
      <c r="H80" s="1"/>
    </row>
    <row r="81" spans="1:8" ht="15.75" thickBot="1">
      <c r="A81" s="1"/>
      <c r="B81" s="2"/>
      <c r="C81" s="1"/>
      <c r="D81" s="1"/>
      <c r="E81" s="1"/>
      <c r="F81" s="1"/>
      <c r="G81" s="1"/>
      <c r="H81" s="1"/>
    </row>
    <row r="82" spans="1:8" ht="15.75" thickBot="1">
      <c r="A82" s="1"/>
      <c r="B82" s="2"/>
      <c r="C82" s="1"/>
      <c r="D82" s="1"/>
      <c r="E82" s="1"/>
      <c r="F82" s="1"/>
      <c r="G82" s="1"/>
      <c r="H82" s="4"/>
    </row>
    <row r="83" spans="1:8" ht="15.75" thickBot="1">
      <c r="A83" s="1"/>
      <c r="B83" s="2"/>
      <c r="C83" s="3"/>
      <c r="D83" s="1"/>
      <c r="E83" s="1"/>
      <c r="F83" s="1"/>
      <c r="G83" s="1"/>
      <c r="H83" s="1"/>
    </row>
    <row r="84" spans="1:8" ht="15.75" thickBot="1">
      <c r="A84" s="1"/>
      <c r="B84" s="2"/>
      <c r="C84" s="1"/>
      <c r="D84" s="1"/>
      <c r="E84" s="1"/>
      <c r="F84" s="1"/>
      <c r="G84" s="1"/>
      <c r="H84" s="1"/>
    </row>
    <row r="85" spans="1:8" ht="15.75" thickBot="1">
      <c r="A85" s="1"/>
      <c r="B85" s="2"/>
      <c r="C85" s="3"/>
      <c r="D85" s="1"/>
      <c r="E85" s="1"/>
      <c r="F85" s="1"/>
      <c r="G85" s="1"/>
      <c r="H85" s="1"/>
    </row>
    <row r="86" spans="1:8" ht="15.75" thickBot="1">
      <c r="A86" s="1"/>
      <c r="B86" s="2"/>
      <c r="C86" s="3"/>
      <c r="D86" s="1"/>
      <c r="E86" s="1"/>
      <c r="F86" s="1"/>
      <c r="G86" s="1"/>
      <c r="H86" s="1"/>
    </row>
    <row r="87" spans="1:8" ht="15.75" thickBot="1">
      <c r="A87" s="1"/>
      <c r="B87" s="2"/>
      <c r="C87" s="1"/>
      <c r="D87" s="1"/>
      <c r="E87" s="1"/>
      <c r="F87" s="1"/>
      <c r="G87" s="1"/>
      <c r="H87" s="1"/>
    </row>
    <row r="88" spans="1:8" ht="15.75" thickBot="1">
      <c r="A88" s="1"/>
      <c r="B88" s="2"/>
      <c r="C88" s="3"/>
      <c r="D88" s="1"/>
      <c r="E88" s="1"/>
      <c r="F88" s="1"/>
      <c r="G88" s="1"/>
      <c r="H88" s="1"/>
    </row>
    <row r="89" spans="1:8" ht="15.75" thickBot="1">
      <c r="A89" s="1"/>
      <c r="B89" s="2"/>
      <c r="C89" s="3"/>
      <c r="D89" s="1"/>
      <c r="E89" s="1"/>
      <c r="F89" s="1"/>
      <c r="G89" s="1"/>
      <c r="H89" s="1"/>
    </row>
    <row r="90" spans="1:8" ht="15.75" thickBot="1">
      <c r="A90" s="1"/>
      <c r="B90" s="2"/>
      <c r="C90" s="3"/>
      <c r="D90" s="1"/>
      <c r="E90" s="1"/>
      <c r="F90" s="1"/>
      <c r="G90" s="1"/>
      <c r="H90" s="1"/>
    </row>
    <row r="91" spans="1:8" ht="15.75" thickBot="1">
      <c r="A91" s="1"/>
      <c r="B91" s="2"/>
      <c r="C91" s="3"/>
      <c r="D91" s="1"/>
      <c r="E91" s="1"/>
      <c r="F91" s="1"/>
      <c r="G91" s="1"/>
      <c r="H91" s="1"/>
    </row>
    <row r="92" spans="1:8" ht="15.75" thickBot="1">
      <c r="A92" s="1"/>
      <c r="B92" s="2"/>
      <c r="C92" s="1"/>
      <c r="D92" s="1"/>
      <c r="E92" s="1"/>
      <c r="F92" s="1"/>
      <c r="G92" s="1"/>
      <c r="H92" s="1"/>
    </row>
    <row r="93" spans="1:8" ht="15.75" thickBot="1">
      <c r="A93" s="1"/>
      <c r="B93" s="2"/>
      <c r="C93" s="1"/>
      <c r="D93" s="1"/>
      <c r="E93" s="1"/>
      <c r="F93" s="1"/>
      <c r="G93" s="1"/>
      <c r="H93" s="1"/>
    </row>
    <row r="94" spans="1:8" ht="15.75" thickBot="1">
      <c r="A94" s="1"/>
      <c r="B94" s="2"/>
      <c r="C94" s="3"/>
      <c r="D94" s="1"/>
      <c r="E94" s="1"/>
      <c r="F94" s="1"/>
      <c r="G94" s="1"/>
      <c r="H94" s="1"/>
    </row>
    <row r="95" spans="1:8" ht="15.75" thickBot="1">
      <c r="A95" s="1"/>
      <c r="B95" s="2"/>
      <c r="C95" s="3"/>
      <c r="D95" s="1"/>
      <c r="E95" s="1"/>
      <c r="F95" s="1"/>
      <c r="G95" s="1"/>
      <c r="H95" s="1"/>
    </row>
    <row r="96" spans="1:8" ht="15.75" thickBot="1">
      <c r="A96" s="1"/>
      <c r="B96" s="2"/>
      <c r="C96" s="3"/>
      <c r="D96" s="1"/>
      <c r="E96" s="1"/>
      <c r="F96" s="1"/>
      <c r="G96" s="1"/>
      <c r="H96" s="1"/>
    </row>
    <row r="97" spans="1:8" ht="15.75" thickBot="1">
      <c r="A97" s="1"/>
      <c r="B97" s="2"/>
      <c r="C97" s="3"/>
      <c r="D97" s="1"/>
      <c r="E97" s="1"/>
      <c r="F97" s="1"/>
      <c r="G97" s="1"/>
      <c r="H97" s="1"/>
    </row>
    <row r="98" spans="1:8" ht="15.75" thickBot="1">
      <c r="A98" s="1"/>
      <c r="B98" s="2"/>
      <c r="C98" s="3"/>
      <c r="D98" s="1"/>
      <c r="E98" s="1"/>
      <c r="F98" s="1"/>
      <c r="G98" s="1"/>
      <c r="H98" s="1"/>
    </row>
    <row r="99" spans="1:8" ht="15.75" thickBot="1">
      <c r="A99" s="1"/>
      <c r="B99" s="2"/>
      <c r="C99" s="1"/>
      <c r="D99" s="1"/>
      <c r="E99" s="1"/>
      <c r="F99" s="1"/>
      <c r="G99" s="1"/>
      <c r="H99" s="1"/>
    </row>
    <row r="100" spans="1:8" ht="15.75" thickBot="1">
      <c r="A100" s="1"/>
      <c r="B100" s="2"/>
      <c r="C100" s="3"/>
      <c r="D100" s="1"/>
      <c r="E100" s="1"/>
      <c r="F100" s="1"/>
      <c r="G100" s="1"/>
      <c r="H100" s="1"/>
    </row>
    <row r="101" spans="1:8" ht="15.75" thickBot="1">
      <c r="A101" s="1"/>
      <c r="B101" s="2"/>
      <c r="C101" s="1"/>
      <c r="D101" s="1"/>
      <c r="E101" s="1"/>
      <c r="F101" s="1"/>
      <c r="G101" s="1"/>
      <c r="H101" s="1"/>
    </row>
  </sheetData>
  <mergeCells count="3">
    <mergeCell ref="A1:B1"/>
    <mergeCell ref="G3:I3"/>
    <mergeCell ref="A12:H15"/>
  </mergeCells>
  <dataValidations count="2">
    <dataValidation type="list" allowBlank="1" showInputMessage="1" showErrorMessage="1" sqref="B7" xr:uid="{837AF9F3-C523-43D2-B9DF-012BE15075DD}">
      <formula1>INTENCION</formula1>
    </dataValidation>
    <dataValidation type="list" allowBlank="1" showInputMessage="1" showErrorMessage="1" sqref="B8" xr:uid="{4971F29C-042A-440C-83F4-7C0488242A38}">
      <formula1>INDIRECT(B7)</formula1>
    </dataValidation>
  </dataValidations>
  <hyperlinks>
    <hyperlink ref="B3" r:id="rId1" display="mailto:felipeguzmanbotero@gmail.com" xr:uid="{93150C01-4090-42E6-B277-180906AA997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55A98-E6E8-47C9-A418-60BCD28A43BF}">
  <sheetPr codeName="Hoja2"/>
  <dimension ref="B2:I126"/>
  <sheetViews>
    <sheetView topLeftCell="A4" workbookViewId="0">
      <selection activeCell="F33" sqref="F33"/>
    </sheetView>
  </sheetViews>
  <sheetFormatPr baseColWidth="10" defaultRowHeight="15"/>
  <sheetData>
    <row r="2" spans="2:8">
      <c r="B2" s="263" t="s">
        <v>165</v>
      </c>
      <c r="C2" s="263"/>
      <c r="D2" s="264" t="s">
        <v>168</v>
      </c>
      <c r="E2" s="264"/>
    </row>
    <row r="3" spans="2:8">
      <c r="B3" s="48" t="s">
        <v>166</v>
      </c>
      <c r="C3" s="49" t="s">
        <v>167</v>
      </c>
      <c r="D3" s="264"/>
      <c r="E3" s="264"/>
    </row>
    <row r="4" spans="2:8">
      <c r="D4" s="264"/>
      <c r="E4" s="264"/>
    </row>
    <row r="5" spans="2:8">
      <c r="B5" t="str">
        <f>+B3&amp;C3</f>
        <v>Luis Silva</v>
      </c>
      <c r="C5" t="str">
        <f>CONCATENATE(B3,C3)</f>
        <v>Luis Silva</v>
      </c>
      <c r="D5" s="264"/>
      <c r="E5" s="264"/>
    </row>
    <row r="6" spans="2:8">
      <c r="B6" t="str">
        <f>B3&amp;" "&amp;C3</f>
        <v>Luis  Silva</v>
      </c>
      <c r="D6" s="264"/>
      <c r="E6" s="264"/>
    </row>
    <row r="7" spans="2:8">
      <c r="D7" s="264"/>
      <c r="E7" s="264"/>
    </row>
    <row r="10" spans="2:8" ht="44.25" customHeight="1">
      <c r="B10" s="262" t="s">
        <v>170</v>
      </c>
      <c r="C10" s="262"/>
      <c r="D10" s="265" t="s">
        <v>173</v>
      </c>
      <c r="E10" s="262"/>
      <c r="F10" s="262"/>
      <c r="G10" s="262"/>
      <c r="H10" s="262"/>
    </row>
    <row r="11" spans="2:8">
      <c r="B11" t="s">
        <v>169</v>
      </c>
      <c r="D11">
        <v>1</v>
      </c>
      <c r="E11" t="s">
        <v>171</v>
      </c>
      <c r="F11" t="s">
        <v>172</v>
      </c>
      <c r="G11" t="s">
        <v>171</v>
      </c>
      <c r="H11">
        <v>2018</v>
      </c>
    </row>
    <row r="12" spans="2:8">
      <c r="B12" t="s">
        <v>169</v>
      </c>
      <c r="D12">
        <v>1</v>
      </c>
      <c r="E12" t="s">
        <v>171</v>
      </c>
      <c r="F12" t="s">
        <v>172</v>
      </c>
      <c r="G12" t="s">
        <v>171</v>
      </c>
      <c r="H12">
        <v>2018</v>
      </c>
    </row>
    <row r="13" spans="2:8">
      <c r="B13" t="s">
        <v>169</v>
      </c>
      <c r="D13">
        <v>1</v>
      </c>
      <c r="E13" t="s">
        <v>171</v>
      </c>
      <c r="F13" t="s">
        <v>172</v>
      </c>
      <c r="G13" t="s">
        <v>171</v>
      </c>
      <c r="H13">
        <v>2018</v>
      </c>
    </row>
    <row r="14" spans="2:8">
      <c r="B14" t="s">
        <v>169</v>
      </c>
      <c r="D14">
        <v>1</v>
      </c>
      <c r="E14" t="s">
        <v>171</v>
      </c>
      <c r="F14" t="s">
        <v>172</v>
      </c>
      <c r="G14" t="s">
        <v>171</v>
      </c>
      <c r="H14">
        <v>2018</v>
      </c>
    </row>
    <row r="15" spans="2:8">
      <c r="B15" t="s">
        <v>169</v>
      </c>
      <c r="D15">
        <v>1</v>
      </c>
      <c r="E15" t="s">
        <v>171</v>
      </c>
      <c r="F15" t="s">
        <v>172</v>
      </c>
      <c r="G15" t="s">
        <v>171</v>
      </c>
      <c r="H15">
        <v>2018</v>
      </c>
    </row>
    <row r="18" spans="2:9" ht="59.25" customHeight="1">
      <c r="B18" s="262" t="s">
        <v>170</v>
      </c>
      <c r="C18" s="262"/>
      <c r="D18" s="265" t="s">
        <v>174</v>
      </c>
      <c r="E18" s="262"/>
      <c r="F18" s="262"/>
      <c r="G18" s="262"/>
      <c r="H18" s="262"/>
    </row>
    <row r="19" spans="2:9">
      <c r="B19">
        <v>1</v>
      </c>
      <c r="C19" t="s">
        <v>172</v>
      </c>
      <c r="D19">
        <v>2018</v>
      </c>
    </row>
    <row r="20" spans="2:9">
      <c r="B20">
        <v>1</v>
      </c>
      <c r="C20" t="s">
        <v>172</v>
      </c>
      <c r="D20">
        <v>2018</v>
      </c>
    </row>
    <row r="21" spans="2:9">
      <c r="B21">
        <v>1</v>
      </c>
      <c r="C21" t="s">
        <v>172</v>
      </c>
      <c r="D21">
        <v>2018</v>
      </c>
    </row>
    <row r="22" spans="2:9">
      <c r="B22">
        <v>1</v>
      </c>
      <c r="C22" t="s">
        <v>172</v>
      </c>
      <c r="D22">
        <v>2018</v>
      </c>
    </row>
    <row r="23" spans="2:9">
      <c r="B23">
        <v>1</v>
      </c>
      <c r="C23" t="s">
        <v>172</v>
      </c>
      <c r="D23">
        <v>2018</v>
      </c>
    </row>
    <row r="25" spans="2:9">
      <c r="B25" s="262" t="s">
        <v>170</v>
      </c>
      <c r="C25" s="262"/>
    </row>
    <row r="26" spans="2:9">
      <c r="B26" s="43" t="s">
        <v>0</v>
      </c>
      <c r="C26" t="s">
        <v>1</v>
      </c>
      <c r="D26" t="s">
        <v>2</v>
      </c>
      <c r="E26" t="s">
        <v>3</v>
      </c>
      <c r="F26" t="s">
        <v>4</v>
      </c>
      <c r="G26" t="s">
        <v>5</v>
      </c>
      <c r="H26" t="s">
        <v>6</v>
      </c>
      <c r="I26" t="s">
        <v>7</v>
      </c>
    </row>
    <row r="27" spans="2:9">
      <c r="B27" s="43" t="s">
        <v>8</v>
      </c>
      <c r="C27">
        <v>50000000</v>
      </c>
      <c r="D27">
        <v>1</v>
      </c>
      <c r="E27" t="s">
        <v>9</v>
      </c>
      <c r="F27" t="s">
        <v>10</v>
      </c>
      <c r="G27" t="s">
        <v>11</v>
      </c>
      <c r="H27" t="s">
        <v>12</v>
      </c>
      <c r="I27" t="s">
        <v>13</v>
      </c>
    </row>
    <row r="28" spans="2:9">
      <c r="B28" s="43" t="s">
        <v>14</v>
      </c>
      <c r="C28">
        <v>10000000</v>
      </c>
      <c r="D28">
        <v>1</v>
      </c>
      <c r="E28" t="s">
        <v>15</v>
      </c>
      <c r="F28" t="s">
        <v>10</v>
      </c>
      <c r="G28" t="s">
        <v>11</v>
      </c>
      <c r="H28" t="s">
        <v>12</v>
      </c>
      <c r="I28" t="s">
        <v>13</v>
      </c>
    </row>
    <row r="29" spans="2:9">
      <c r="B29" s="43" t="s">
        <v>16</v>
      </c>
      <c r="C29">
        <v>0</v>
      </c>
      <c r="D29">
        <v>4</v>
      </c>
      <c r="E29" t="s">
        <v>9</v>
      </c>
      <c r="F29" t="s">
        <v>17</v>
      </c>
      <c r="G29" t="s">
        <v>18</v>
      </c>
      <c r="H29" t="s">
        <v>12</v>
      </c>
      <c r="I29" t="s">
        <v>13</v>
      </c>
    </row>
    <row r="30" spans="2:9">
      <c r="B30" s="43" t="s">
        <v>19</v>
      </c>
      <c r="C30">
        <v>0</v>
      </c>
      <c r="D30" t="s">
        <v>20</v>
      </c>
      <c r="E30" t="s">
        <v>21</v>
      </c>
      <c r="F30" t="s">
        <v>17</v>
      </c>
      <c r="G30" t="s">
        <v>18</v>
      </c>
      <c r="H30" t="s">
        <v>12</v>
      </c>
      <c r="I30" t="s">
        <v>13</v>
      </c>
    </row>
    <row r="31" spans="2:9">
      <c r="B31" s="43" t="s">
        <v>22</v>
      </c>
      <c r="C31">
        <v>0</v>
      </c>
      <c r="D31">
        <v>1</v>
      </c>
      <c r="E31" t="s">
        <v>9</v>
      </c>
      <c r="F31" t="s">
        <v>17</v>
      </c>
      <c r="G31" t="s">
        <v>23</v>
      </c>
      <c r="H31" t="s">
        <v>12</v>
      </c>
      <c r="I31" t="s">
        <v>13</v>
      </c>
    </row>
    <row r="32" spans="2:9">
      <c r="B32" s="43" t="s">
        <v>24</v>
      </c>
      <c r="C32">
        <v>0</v>
      </c>
      <c r="D32">
        <v>3</v>
      </c>
      <c r="E32" t="s">
        <v>25</v>
      </c>
      <c r="F32" t="s">
        <v>17</v>
      </c>
      <c r="G32" t="s">
        <v>23</v>
      </c>
      <c r="H32" t="s">
        <v>12</v>
      </c>
      <c r="I32" t="s">
        <v>13</v>
      </c>
    </row>
    <row r="33" spans="2:9">
      <c r="B33" s="43" t="s">
        <v>26</v>
      </c>
      <c r="C33">
        <v>1000000</v>
      </c>
      <c r="D33">
        <v>1</v>
      </c>
      <c r="E33" t="s">
        <v>25</v>
      </c>
      <c r="F33" t="s">
        <v>10</v>
      </c>
      <c r="G33" t="s">
        <v>27</v>
      </c>
      <c r="H33" t="s">
        <v>12</v>
      </c>
      <c r="I33" t="s">
        <v>28</v>
      </c>
    </row>
    <row r="34" spans="2:9">
      <c r="B34" s="43" t="s">
        <v>29</v>
      </c>
      <c r="C34">
        <v>1000000</v>
      </c>
      <c r="D34">
        <v>2</v>
      </c>
      <c r="E34" t="s">
        <v>21</v>
      </c>
      <c r="F34" t="s">
        <v>10</v>
      </c>
      <c r="G34" t="s">
        <v>11</v>
      </c>
      <c r="H34" t="s">
        <v>30</v>
      </c>
      <c r="I34" t="s">
        <v>13</v>
      </c>
    </row>
    <row r="35" spans="2:9">
      <c r="B35" s="43" t="s">
        <v>31</v>
      </c>
      <c r="C35">
        <v>0</v>
      </c>
      <c r="D35">
        <v>2</v>
      </c>
      <c r="E35" t="s">
        <v>21</v>
      </c>
      <c r="F35" t="s">
        <v>17</v>
      </c>
      <c r="G35" t="s">
        <v>23</v>
      </c>
      <c r="H35" t="s">
        <v>30</v>
      </c>
      <c r="I35" t="s">
        <v>32</v>
      </c>
    </row>
    <row r="36" spans="2:9">
      <c r="B36" s="43" t="s">
        <v>33</v>
      </c>
      <c r="C36">
        <v>0</v>
      </c>
      <c r="D36" t="s">
        <v>20</v>
      </c>
      <c r="E36" t="s">
        <v>25</v>
      </c>
      <c r="F36" t="s">
        <v>17</v>
      </c>
      <c r="G36" t="s">
        <v>23</v>
      </c>
      <c r="H36" t="s">
        <v>12</v>
      </c>
      <c r="I36" t="s">
        <v>13</v>
      </c>
    </row>
    <row r="37" spans="2:9">
      <c r="B37" s="43" t="s">
        <v>34</v>
      </c>
      <c r="C37">
        <v>0</v>
      </c>
      <c r="D37">
        <v>2</v>
      </c>
      <c r="E37" t="s">
        <v>21</v>
      </c>
      <c r="F37" t="s">
        <v>17</v>
      </c>
      <c r="G37" t="s">
        <v>18</v>
      </c>
      <c r="H37" t="s">
        <v>30</v>
      </c>
      <c r="I37" t="s">
        <v>13</v>
      </c>
    </row>
    <row r="38" spans="2:9">
      <c r="B38" s="43" t="s">
        <v>35</v>
      </c>
      <c r="C38">
        <v>90000000</v>
      </c>
      <c r="D38" t="s">
        <v>20</v>
      </c>
      <c r="E38" t="s">
        <v>21</v>
      </c>
      <c r="F38" t="s">
        <v>10</v>
      </c>
      <c r="G38" t="s">
        <v>11</v>
      </c>
      <c r="H38" t="s">
        <v>12</v>
      </c>
      <c r="I38" t="s">
        <v>13</v>
      </c>
    </row>
    <row r="39" spans="2:9">
      <c r="B39" s="43" t="s">
        <v>36</v>
      </c>
      <c r="C39">
        <v>1000000</v>
      </c>
      <c r="D39">
        <v>2</v>
      </c>
      <c r="E39" t="s">
        <v>9</v>
      </c>
      <c r="F39" t="s">
        <v>10</v>
      </c>
      <c r="G39" t="s">
        <v>27</v>
      </c>
      <c r="H39" t="s">
        <v>12</v>
      </c>
      <c r="I39" t="s">
        <v>13</v>
      </c>
    </row>
    <row r="40" spans="2:9">
      <c r="B40" s="43" t="s">
        <v>37</v>
      </c>
      <c r="C40">
        <v>10000000</v>
      </c>
      <c r="D40">
        <v>4</v>
      </c>
      <c r="E40" t="s">
        <v>21</v>
      </c>
      <c r="F40" t="s">
        <v>10</v>
      </c>
      <c r="G40" t="s">
        <v>11</v>
      </c>
      <c r="H40" t="s">
        <v>30</v>
      </c>
      <c r="I40" t="s">
        <v>13</v>
      </c>
    </row>
    <row r="41" spans="2:9">
      <c r="B41" s="43" t="s">
        <v>38</v>
      </c>
      <c r="C41">
        <v>10000000</v>
      </c>
      <c r="D41" t="s">
        <v>20</v>
      </c>
      <c r="E41" t="s">
        <v>25</v>
      </c>
      <c r="F41" t="s">
        <v>10</v>
      </c>
      <c r="G41" t="s">
        <v>11</v>
      </c>
      <c r="H41" t="s">
        <v>12</v>
      </c>
      <c r="I41" t="s">
        <v>13</v>
      </c>
    </row>
    <row r="42" spans="2:9">
      <c r="B42" s="43" t="s">
        <v>39</v>
      </c>
      <c r="C42">
        <v>1000000</v>
      </c>
      <c r="D42">
        <v>1</v>
      </c>
      <c r="E42" t="s">
        <v>21</v>
      </c>
      <c r="F42" t="s">
        <v>10</v>
      </c>
      <c r="G42" t="s">
        <v>27</v>
      </c>
      <c r="H42" t="s">
        <v>30</v>
      </c>
      <c r="I42" t="s">
        <v>13</v>
      </c>
    </row>
    <row r="43" spans="2:9">
      <c r="B43" s="43" t="s">
        <v>40</v>
      </c>
      <c r="C43">
        <v>0</v>
      </c>
      <c r="D43">
        <v>2</v>
      </c>
      <c r="E43" t="s">
        <v>21</v>
      </c>
      <c r="F43" t="s">
        <v>17</v>
      </c>
      <c r="G43" t="s">
        <v>18</v>
      </c>
      <c r="H43" t="s">
        <v>30</v>
      </c>
      <c r="I43" t="s">
        <v>13</v>
      </c>
    </row>
    <row r="44" spans="2:9">
      <c r="B44" s="43" t="s">
        <v>41</v>
      </c>
      <c r="C44">
        <v>1000000</v>
      </c>
      <c r="D44">
        <v>1</v>
      </c>
      <c r="E44" t="s">
        <v>21</v>
      </c>
      <c r="F44" t="s">
        <v>10</v>
      </c>
      <c r="G44" t="s">
        <v>11</v>
      </c>
      <c r="H44" t="s">
        <v>12</v>
      </c>
      <c r="I44" t="s">
        <v>13</v>
      </c>
    </row>
    <row r="45" spans="2:9">
      <c r="B45" s="43" t="s">
        <v>42</v>
      </c>
      <c r="C45">
        <v>1000000</v>
      </c>
      <c r="D45" t="s">
        <v>20</v>
      </c>
      <c r="E45" t="s">
        <v>21</v>
      </c>
      <c r="F45" t="s">
        <v>10</v>
      </c>
      <c r="G45" t="s">
        <v>27</v>
      </c>
      <c r="H45" t="s">
        <v>30</v>
      </c>
      <c r="I45" t="s">
        <v>13</v>
      </c>
    </row>
    <row r="46" spans="2:9">
      <c r="B46" s="43" t="s">
        <v>43</v>
      </c>
      <c r="C46">
        <v>10000000</v>
      </c>
      <c r="D46">
        <v>1</v>
      </c>
      <c r="E46" t="s">
        <v>21</v>
      </c>
      <c r="F46" t="s">
        <v>10</v>
      </c>
      <c r="G46" t="s">
        <v>27</v>
      </c>
      <c r="H46" t="s">
        <v>30</v>
      </c>
      <c r="I46" t="s">
        <v>13</v>
      </c>
    </row>
    <row r="47" spans="2:9">
      <c r="B47" s="43" t="s">
        <v>44</v>
      </c>
      <c r="C47">
        <v>0</v>
      </c>
      <c r="D47" t="s">
        <v>20</v>
      </c>
      <c r="E47" t="s">
        <v>25</v>
      </c>
      <c r="F47" t="s">
        <v>17</v>
      </c>
      <c r="G47" t="s">
        <v>18</v>
      </c>
      <c r="H47" t="s">
        <v>12</v>
      </c>
      <c r="I47" t="s">
        <v>13</v>
      </c>
    </row>
    <row r="48" spans="2:9">
      <c r="B48" s="43" t="s">
        <v>45</v>
      </c>
      <c r="C48">
        <v>20000000</v>
      </c>
      <c r="D48">
        <v>2</v>
      </c>
      <c r="E48" t="s">
        <v>25</v>
      </c>
      <c r="F48" t="s">
        <v>10</v>
      </c>
      <c r="G48" t="s">
        <v>11</v>
      </c>
      <c r="H48" t="s">
        <v>12</v>
      </c>
      <c r="I48" t="s">
        <v>13</v>
      </c>
    </row>
    <row r="49" spans="2:9">
      <c r="B49" s="43" t="s">
        <v>46</v>
      </c>
      <c r="C49">
        <v>0</v>
      </c>
      <c r="D49" t="s">
        <v>20</v>
      </c>
      <c r="E49" t="s">
        <v>21</v>
      </c>
      <c r="F49" t="s">
        <v>17</v>
      </c>
      <c r="G49" t="s">
        <v>23</v>
      </c>
      <c r="H49" t="s">
        <v>12</v>
      </c>
      <c r="I49" t="s">
        <v>13</v>
      </c>
    </row>
    <row r="50" spans="2:9">
      <c r="B50" s="43" t="s">
        <v>47</v>
      </c>
      <c r="C50">
        <v>5000000</v>
      </c>
      <c r="D50">
        <v>4</v>
      </c>
      <c r="E50" t="s">
        <v>25</v>
      </c>
      <c r="F50" t="s">
        <v>10</v>
      </c>
      <c r="G50" t="s">
        <v>27</v>
      </c>
      <c r="H50" t="s">
        <v>30</v>
      </c>
      <c r="I50" t="s">
        <v>32</v>
      </c>
    </row>
    <row r="51" spans="2:9">
      <c r="B51" s="43" t="s">
        <v>48</v>
      </c>
      <c r="C51">
        <v>20000000</v>
      </c>
      <c r="D51">
        <v>2</v>
      </c>
      <c r="E51" t="s">
        <v>9</v>
      </c>
      <c r="F51" t="s">
        <v>10</v>
      </c>
      <c r="G51" t="s">
        <v>27</v>
      </c>
      <c r="H51" t="s">
        <v>12</v>
      </c>
      <c r="I51" t="s">
        <v>13</v>
      </c>
    </row>
    <row r="52" spans="2:9">
      <c r="B52" s="43" t="s">
        <v>49</v>
      </c>
      <c r="C52">
        <v>50000000</v>
      </c>
      <c r="D52">
        <v>2</v>
      </c>
      <c r="E52" t="s">
        <v>21</v>
      </c>
      <c r="F52" t="s">
        <v>10</v>
      </c>
      <c r="G52" t="s">
        <v>11</v>
      </c>
      <c r="H52" t="s">
        <v>12</v>
      </c>
      <c r="I52" t="s">
        <v>13</v>
      </c>
    </row>
    <row r="53" spans="2:9">
      <c r="B53" s="43" t="s">
        <v>50</v>
      </c>
      <c r="C53">
        <v>30000000</v>
      </c>
      <c r="D53" t="s">
        <v>20</v>
      </c>
      <c r="E53" t="s">
        <v>25</v>
      </c>
      <c r="F53" t="s">
        <v>10</v>
      </c>
      <c r="G53" t="s">
        <v>27</v>
      </c>
      <c r="H53" t="s">
        <v>12</v>
      </c>
      <c r="I53" t="s">
        <v>13</v>
      </c>
    </row>
    <row r="54" spans="2:9">
      <c r="B54" s="43" t="s">
        <v>51</v>
      </c>
      <c r="C54">
        <v>5000000</v>
      </c>
      <c r="D54">
        <v>1</v>
      </c>
      <c r="E54" t="s">
        <v>21</v>
      </c>
      <c r="F54" t="s">
        <v>10</v>
      </c>
      <c r="G54" t="s">
        <v>11</v>
      </c>
      <c r="H54" t="s">
        <v>12</v>
      </c>
      <c r="I54" t="s">
        <v>13</v>
      </c>
    </row>
    <row r="55" spans="2:9">
      <c r="B55" s="43" t="s">
        <v>52</v>
      </c>
      <c r="C55">
        <v>10000000</v>
      </c>
      <c r="D55" t="s">
        <v>20</v>
      </c>
      <c r="E55" t="s">
        <v>21</v>
      </c>
      <c r="F55" t="s">
        <v>10</v>
      </c>
      <c r="G55" t="s">
        <v>27</v>
      </c>
      <c r="H55" t="s">
        <v>12</v>
      </c>
      <c r="I55" t="s">
        <v>13</v>
      </c>
    </row>
    <row r="56" spans="2:9">
      <c r="B56" s="43" t="s">
        <v>53</v>
      </c>
      <c r="C56">
        <v>0</v>
      </c>
      <c r="D56">
        <v>1</v>
      </c>
      <c r="E56" t="s">
        <v>54</v>
      </c>
      <c r="F56" t="s">
        <v>55</v>
      </c>
      <c r="G56" t="s">
        <v>56</v>
      </c>
      <c r="H56" t="s">
        <v>12</v>
      </c>
      <c r="I56" t="s">
        <v>28</v>
      </c>
    </row>
    <row r="57" spans="2:9">
      <c r="B57" s="43" t="s">
        <v>57</v>
      </c>
      <c r="C57">
        <v>0</v>
      </c>
      <c r="D57">
        <v>2</v>
      </c>
      <c r="E57" t="s">
        <v>54</v>
      </c>
      <c r="F57" t="s">
        <v>55</v>
      </c>
      <c r="G57" t="s">
        <v>56</v>
      </c>
      <c r="H57" t="s">
        <v>12</v>
      </c>
      <c r="I57" t="s">
        <v>13</v>
      </c>
    </row>
    <row r="58" spans="2:9">
      <c r="B58" s="43" t="s">
        <v>58</v>
      </c>
      <c r="C58">
        <v>5000000</v>
      </c>
      <c r="D58">
        <v>3</v>
      </c>
      <c r="E58" t="s">
        <v>21</v>
      </c>
      <c r="F58" t="s">
        <v>10</v>
      </c>
      <c r="G58" t="s">
        <v>11</v>
      </c>
      <c r="H58" t="s">
        <v>12</v>
      </c>
      <c r="I58" t="s">
        <v>28</v>
      </c>
    </row>
    <row r="59" spans="2:9">
      <c r="B59" s="43" t="s">
        <v>59</v>
      </c>
      <c r="C59">
        <v>0</v>
      </c>
      <c r="D59">
        <v>1</v>
      </c>
      <c r="E59" t="s">
        <v>15</v>
      </c>
      <c r="F59" t="s">
        <v>17</v>
      </c>
      <c r="G59" t="s">
        <v>18</v>
      </c>
      <c r="H59" t="s">
        <v>12</v>
      </c>
      <c r="I59" t="s">
        <v>13</v>
      </c>
    </row>
    <row r="60" spans="2:9">
      <c r="B60" s="43" t="s">
        <v>60</v>
      </c>
      <c r="C60">
        <v>10000000</v>
      </c>
      <c r="D60">
        <v>2</v>
      </c>
      <c r="E60" t="s">
        <v>21</v>
      </c>
      <c r="F60" t="s">
        <v>10</v>
      </c>
      <c r="G60" t="s">
        <v>27</v>
      </c>
      <c r="H60" t="s">
        <v>12</v>
      </c>
      <c r="I60" t="s">
        <v>13</v>
      </c>
    </row>
    <row r="61" spans="2:9">
      <c r="B61" s="43" t="s">
        <v>61</v>
      </c>
      <c r="C61">
        <v>1000000</v>
      </c>
      <c r="D61">
        <v>1</v>
      </c>
      <c r="E61" t="s">
        <v>25</v>
      </c>
      <c r="F61" t="s">
        <v>10</v>
      </c>
      <c r="G61" t="s">
        <v>11</v>
      </c>
      <c r="H61" t="s">
        <v>12</v>
      </c>
      <c r="I61" t="s">
        <v>13</v>
      </c>
    </row>
    <row r="62" spans="2:9">
      <c r="B62" s="43" t="s">
        <v>62</v>
      </c>
      <c r="C62">
        <v>10000000</v>
      </c>
      <c r="D62" t="s">
        <v>20</v>
      </c>
      <c r="E62" t="s">
        <v>21</v>
      </c>
      <c r="F62" t="s">
        <v>10</v>
      </c>
      <c r="G62" t="s">
        <v>27</v>
      </c>
      <c r="H62" t="s">
        <v>12</v>
      </c>
      <c r="I62" t="s">
        <v>13</v>
      </c>
    </row>
    <row r="63" spans="2:9">
      <c r="B63" s="43" t="s">
        <v>63</v>
      </c>
      <c r="C63">
        <v>0</v>
      </c>
      <c r="D63">
        <v>1</v>
      </c>
      <c r="E63" t="s">
        <v>21</v>
      </c>
      <c r="F63" t="s">
        <v>17</v>
      </c>
      <c r="G63" t="s">
        <v>18</v>
      </c>
      <c r="H63" t="s">
        <v>30</v>
      </c>
      <c r="I63" t="s">
        <v>13</v>
      </c>
    </row>
    <row r="64" spans="2:9">
      <c r="B64" s="43" t="s">
        <v>64</v>
      </c>
      <c r="C64">
        <v>0</v>
      </c>
      <c r="D64">
        <v>1</v>
      </c>
      <c r="E64" t="s">
        <v>54</v>
      </c>
      <c r="F64" t="s">
        <v>55</v>
      </c>
      <c r="G64" t="s">
        <v>56</v>
      </c>
      <c r="H64" t="s">
        <v>12</v>
      </c>
      <c r="I64" t="s">
        <v>13</v>
      </c>
    </row>
    <row r="65" spans="2:9">
      <c r="B65" s="43" t="s">
        <v>65</v>
      </c>
      <c r="C65">
        <v>0</v>
      </c>
      <c r="D65">
        <v>2</v>
      </c>
      <c r="E65" t="s">
        <v>21</v>
      </c>
      <c r="F65" t="s">
        <v>17</v>
      </c>
      <c r="G65" t="s">
        <v>18</v>
      </c>
      <c r="H65" t="s">
        <v>12</v>
      </c>
      <c r="I65" t="s">
        <v>13</v>
      </c>
    </row>
    <row r="66" spans="2:9">
      <c r="B66" s="43" t="s">
        <v>66</v>
      </c>
      <c r="C66">
        <v>0</v>
      </c>
      <c r="D66">
        <v>1</v>
      </c>
      <c r="E66" t="s">
        <v>21</v>
      </c>
      <c r="F66" t="s">
        <v>17</v>
      </c>
      <c r="G66" t="s">
        <v>18</v>
      </c>
      <c r="H66" t="s">
        <v>30</v>
      </c>
      <c r="I66" t="s">
        <v>13</v>
      </c>
    </row>
    <row r="67" spans="2:9">
      <c r="B67" s="43" t="s">
        <v>67</v>
      </c>
      <c r="C67">
        <v>10000000</v>
      </c>
      <c r="D67" t="s">
        <v>20</v>
      </c>
      <c r="E67" t="s">
        <v>25</v>
      </c>
      <c r="F67" t="s">
        <v>10</v>
      </c>
      <c r="G67" t="s">
        <v>11</v>
      </c>
      <c r="H67" t="s">
        <v>12</v>
      </c>
      <c r="I67" t="s">
        <v>13</v>
      </c>
    </row>
    <row r="68" spans="2:9">
      <c r="B68" s="43" t="s">
        <v>68</v>
      </c>
      <c r="C68">
        <v>0</v>
      </c>
      <c r="D68">
        <v>1</v>
      </c>
      <c r="E68" t="s">
        <v>25</v>
      </c>
      <c r="F68" t="s">
        <v>17</v>
      </c>
      <c r="G68" t="s">
        <v>18</v>
      </c>
      <c r="H68" t="s">
        <v>30</v>
      </c>
      <c r="I68" t="s">
        <v>32</v>
      </c>
    </row>
    <row r="69" spans="2:9">
      <c r="B69" s="43" t="s">
        <v>69</v>
      </c>
      <c r="C69">
        <v>30000000</v>
      </c>
      <c r="D69">
        <v>2</v>
      </c>
      <c r="E69" t="s">
        <v>21</v>
      </c>
      <c r="F69" t="s">
        <v>10</v>
      </c>
      <c r="G69" t="s">
        <v>27</v>
      </c>
      <c r="H69" t="s">
        <v>12</v>
      </c>
      <c r="I69" t="s">
        <v>32</v>
      </c>
    </row>
    <row r="70" spans="2:9">
      <c r="B70" s="43" t="s">
        <v>70</v>
      </c>
      <c r="C70">
        <v>1000000</v>
      </c>
      <c r="D70">
        <v>4</v>
      </c>
      <c r="E70" t="s">
        <v>21</v>
      </c>
      <c r="F70" t="s">
        <v>10</v>
      </c>
      <c r="G70" t="s">
        <v>11</v>
      </c>
      <c r="H70" t="s">
        <v>30</v>
      </c>
      <c r="I70" t="s">
        <v>13</v>
      </c>
    </row>
    <row r="71" spans="2:9">
      <c r="B71" s="43" t="s">
        <v>71</v>
      </c>
      <c r="C71">
        <v>0</v>
      </c>
      <c r="D71" t="s">
        <v>20</v>
      </c>
      <c r="E71" t="s">
        <v>21</v>
      </c>
      <c r="F71" t="s">
        <v>17</v>
      </c>
      <c r="G71" t="s">
        <v>18</v>
      </c>
      <c r="H71" t="s">
        <v>12</v>
      </c>
      <c r="I71" t="s">
        <v>72</v>
      </c>
    </row>
    <row r="72" spans="2:9">
      <c r="B72" s="43" t="s">
        <v>73</v>
      </c>
      <c r="C72">
        <v>0</v>
      </c>
      <c r="D72" t="s">
        <v>20</v>
      </c>
      <c r="E72" t="s">
        <v>21</v>
      </c>
      <c r="F72" t="s">
        <v>17</v>
      </c>
      <c r="G72" t="s">
        <v>18</v>
      </c>
      <c r="H72" t="s">
        <v>12</v>
      </c>
      <c r="I72" t="s">
        <v>13</v>
      </c>
    </row>
    <row r="73" spans="2:9">
      <c r="B73" s="43" t="s">
        <v>74</v>
      </c>
      <c r="C73">
        <v>0</v>
      </c>
      <c r="D73">
        <v>1</v>
      </c>
      <c r="E73" t="s">
        <v>21</v>
      </c>
      <c r="F73" t="s">
        <v>17</v>
      </c>
      <c r="G73" t="s">
        <v>23</v>
      </c>
      <c r="H73" t="s">
        <v>12</v>
      </c>
      <c r="I73" t="s">
        <v>13</v>
      </c>
    </row>
    <row r="74" spans="2:9">
      <c r="B74" s="43" t="s">
        <v>75</v>
      </c>
      <c r="C74">
        <v>10000000</v>
      </c>
      <c r="D74">
        <v>2</v>
      </c>
      <c r="E74" t="s">
        <v>21</v>
      </c>
      <c r="F74" t="s">
        <v>10</v>
      </c>
      <c r="G74" t="s">
        <v>27</v>
      </c>
      <c r="H74" t="s">
        <v>12</v>
      </c>
      <c r="I74" t="s">
        <v>13</v>
      </c>
    </row>
    <row r="75" spans="2:9">
      <c r="B75" s="43" t="s">
        <v>76</v>
      </c>
      <c r="C75">
        <v>0</v>
      </c>
      <c r="D75">
        <v>2</v>
      </c>
      <c r="E75" t="s">
        <v>21</v>
      </c>
      <c r="F75" t="s">
        <v>17</v>
      </c>
      <c r="G75" t="s">
        <v>18</v>
      </c>
      <c r="H75" t="s">
        <v>30</v>
      </c>
      <c r="I75" t="s">
        <v>77</v>
      </c>
    </row>
    <row r="76" spans="2:9">
      <c r="B76" s="43" t="s">
        <v>78</v>
      </c>
      <c r="C76">
        <v>30000000</v>
      </c>
      <c r="D76">
        <v>2</v>
      </c>
      <c r="E76" t="s">
        <v>21</v>
      </c>
      <c r="F76" t="s">
        <v>10</v>
      </c>
      <c r="G76" t="s">
        <v>27</v>
      </c>
      <c r="H76" t="s">
        <v>30</v>
      </c>
      <c r="I76" t="s">
        <v>32</v>
      </c>
    </row>
    <row r="77" spans="2:9">
      <c r="B77" s="43" t="s">
        <v>79</v>
      </c>
      <c r="C77">
        <v>0</v>
      </c>
      <c r="D77">
        <v>1</v>
      </c>
      <c r="E77" t="s">
        <v>21</v>
      </c>
      <c r="F77" t="s">
        <v>55</v>
      </c>
      <c r="G77" t="s">
        <v>80</v>
      </c>
      <c r="H77" t="s">
        <v>12</v>
      </c>
      <c r="I77" t="s">
        <v>13</v>
      </c>
    </row>
    <row r="78" spans="2:9">
      <c r="B78" s="43" t="s">
        <v>81</v>
      </c>
      <c r="C78">
        <v>30000000</v>
      </c>
      <c r="D78">
        <v>2</v>
      </c>
      <c r="E78" t="s">
        <v>21</v>
      </c>
      <c r="F78" t="s">
        <v>10</v>
      </c>
      <c r="G78" t="s">
        <v>27</v>
      </c>
      <c r="H78" t="s">
        <v>12</v>
      </c>
      <c r="I78" t="s">
        <v>13</v>
      </c>
    </row>
    <row r="79" spans="2:9">
      <c r="B79" s="43" t="s">
        <v>82</v>
      </c>
      <c r="C79">
        <v>50000000</v>
      </c>
      <c r="D79">
        <v>1</v>
      </c>
      <c r="E79" t="s">
        <v>9</v>
      </c>
      <c r="F79" t="s">
        <v>10</v>
      </c>
      <c r="G79" t="s">
        <v>11</v>
      </c>
      <c r="H79" t="s">
        <v>30</v>
      </c>
      <c r="I79" t="s">
        <v>13</v>
      </c>
    </row>
    <row r="80" spans="2:9">
      <c r="B80" s="43" t="s">
        <v>83</v>
      </c>
      <c r="C80">
        <v>10000000</v>
      </c>
      <c r="D80">
        <v>1</v>
      </c>
      <c r="E80" t="s">
        <v>21</v>
      </c>
      <c r="F80" t="s">
        <v>10</v>
      </c>
      <c r="G80" t="s">
        <v>11</v>
      </c>
      <c r="H80" t="s">
        <v>12</v>
      </c>
      <c r="I80" t="s">
        <v>13</v>
      </c>
    </row>
    <row r="81" spans="2:9">
      <c r="B81" s="43" t="s">
        <v>84</v>
      </c>
      <c r="C81">
        <v>30000000</v>
      </c>
      <c r="D81" t="s">
        <v>20</v>
      </c>
      <c r="E81" t="s">
        <v>21</v>
      </c>
      <c r="F81" t="s">
        <v>10</v>
      </c>
      <c r="G81" t="s">
        <v>27</v>
      </c>
      <c r="H81" t="s">
        <v>12</v>
      </c>
      <c r="I81" t="s">
        <v>13</v>
      </c>
    </row>
    <row r="82" spans="2:9">
      <c r="B82" s="43" t="s">
        <v>85</v>
      </c>
      <c r="C82">
        <v>90000000</v>
      </c>
      <c r="D82">
        <v>1</v>
      </c>
      <c r="E82" t="s">
        <v>21</v>
      </c>
      <c r="F82" t="s">
        <v>10</v>
      </c>
      <c r="G82" t="s">
        <v>27</v>
      </c>
      <c r="H82" t="s">
        <v>12</v>
      </c>
      <c r="I82" t="s">
        <v>13</v>
      </c>
    </row>
    <row r="83" spans="2:9">
      <c r="B83" s="43" t="s">
        <v>86</v>
      </c>
      <c r="C83">
        <v>0</v>
      </c>
      <c r="D83" t="s">
        <v>20</v>
      </c>
      <c r="E83" t="s">
        <v>21</v>
      </c>
      <c r="F83" t="s">
        <v>55</v>
      </c>
      <c r="G83" t="s">
        <v>80</v>
      </c>
      <c r="H83" t="s">
        <v>12</v>
      </c>
      <c r="I83" t="s">
        <v>87</v>
      </c>
    </row>
    <row r="84" spans="2:9">
      <c r="B84" s="43" t="s">
        <v>88</v>
      </c>
      <c r="C84">
        <v>100000000</v>
      </c>
      <c r="D84">
        <v>3</v>
      </c>
      <c r="E84" t="s">
        <v>21</v>
      </c>
      <c r="F84" t="s">
        <v>10</v>
      </c>
      <c r="G84" t="s">
        <v>11</v>
      </c>
      <c r="H84" t="s">
        <v>12</v>
      </c>
      <c r="I84" t="s">
        <v>89</v>
      </c>
    </row>
    <row r="85" spans="2:9">
      <c r="B85" s="43" t="s">
        <v>90</v>
      </c>
      <c r="C85">
        <v>100000000</v>
      </c>
      <c r="D85" t="s">
        <v>20</v>
      </c>
      <c r="E85" t="s">
        <v>21</v>
      </c>
      <c r="F85" t="s">
        <v>10</v>
      </c>
      <c r="G85" t="s">
        <v>11</v>
      </c>
      <c r="H85" t="s">
        <v>12</v>
      </c>
      <c r="I85" t="s">
        <v>13</v>
      </c>
    </row>
    <row r="86" spans="2:9">
      <c r="B86" s="43" t="s">
        <v>91</v>
      </c>
      <c r="C86">
        <v>0</v>
      </c>
      <c r="D86">
        <v>1</v>
      </c>
      <c r="E86" t="s">
        <v>25</v>
      </c>
      <c r="F86" t="s">
        <v>17</v>
      </c>
      <c r="G86" t="s">
        <v>18</v>
      </c>
      <c r="H86" t="s">
        <v>30</v>
      </c>
      <c r="I86" t="s">
        <v>32</v>
      </c>
    </row>
    <row r="87" spans="2:9">
      <c r="B87" s="43" t="s">
        <v>92</v>
      </c>
      <c r="C87">
        <v>0</v>
      </c>
      <c r="D87">
        <v>2</v>
      </c>
      <c r="E87" t="s">
        <v>21</v>
      </c>
      <c r="F87" t="s">
        <v>17</v>
      </c>
      <c r="G87" t="s">
        <v>23</v>
      </c>
      <c r="H87" t="s">
        <v>12</v>
      </c>
      <c r="I87" t="s">
        <v>13</v>
      </c>
    </row>
    <row r="88" spans="2:9">
      <c r="B88" s="43" t="s">
        <v>93</v>
      </c>
      <c r="C88">
        <v>1000000</v>
      </c>
      <c r="D88">
        <v>2</v>
      </c>
      <c r="E88" t="s">
        <v>21</v>
      </c>
      <c r="F88" t="s">
        <v>10</v>
      </c>
      <c r="G88" t="s">
        <v>27</v>
      </c>
      <c r="H88" t="s">
        <v>12</v>
      </c>
      <c r="I88" t="s">
        <v>13</v>
      </c>
    </row>
    <row r="89" spans="2:9">
      <c r="B89" s="43" t="s">
        <v>94</v>
      </c>
      <c r="C89">
        <v>20000000</v>
      </c>
      <c r="D89">
        <v>3</v>
      </c>
      <c r="E89" t="s">
        <v>15</v>
      </c>
      <c r="F89" t="s">
        <v>10</v>
      </c>
      <c r="G89" t="s">
        <v>27</v>
      </c>
      <c r="H89" t="s">
        <v>30</v>
      </c>
      <c r="I89" t="s">
        <v>13</v>
      </c>
    </row>
    <row r="90" spans="2:9">
      <c r="B90" s="43" t="s">
        <v>95</v>
      </c>
      <c r="C90">
        <v>50000000</v>
      </c>
      <c r="D90">
        <v>4</v>
      </c>
      <c r="E90" t="s">
        <v>21</v>
      </c>
      <c r="F90" t="s">
        <v>10</v>
      </c>
      <c r="G90" t="s">
        <v>11</v>
      </c>
      <c r="H90" t="s">
        <v>12</v>
      </c>
      <c r="I90" t="s">
        <v>96</v>
      </c>
    </row>
    <row r="91" spans="2:9">
      <c r="B91" s="43" t="s">
        <v>97</v>
      </c>
      <c r="C91">
        <v>0</v>
      </c>
      <c r="D91" t="s">
        <v>20</v>
      </c>
      <c r="E91" t="s">
        <v>15</v>
      </c>
      <c r="F91" t="s">
        <v>10</v>
      </c>
      <c r="G91" t="s">
        <v>11</v>
      </c>
      <c r="H91" t="s">
        <v>30</v>
      </c>
      <c r="I91" t="s">
        <v>13</v>
      </c>
    </row>
    <row r="92" spans="2:9">
      <c r="B92" s="43" t="s">
        <v>98</v>
      </c>
      <c r="C92">
        <v>10000000</v>
      </c>
      <c r="D92">
        <v>4</v>
      </c>
      <c r="E92" t="s">
        <v>21</v>
      </c>
      <c r="F92" t="s">
        <v>10</v>
      </c>
      <c r="G92" t="s">
        <v>11</v>
      </c>
      <c r="H92" t="s">
        <v>30</v>
      </c>
      <c r="I92" t="s">
        <v>13</v>
      </c>
    </row>
    <row r="93" spans="2:9">
      <c r="B93" s="43" t="s">
        <v>99</v>
      </c>
      <c r="C93">
        <v>0</v>
      </c>
      <c r="D93">
        <v>1</v>
      </c>
      <c r="E93" t="s">
        <v>25</v>
      </c>
      <c r="F93" t="s">
        <v>17</v>
      </c>
      <c r="G93" t="s">
        <v>18</v>
      </c>
      <c r="H93" t="s">
        <v>30</v>
      </c>
      <c r="I93" t="s">
        <v>13</v>
      </c>
    </row>
    <row r="94" spans="2:9">
      <c r="B94" s="43" t="s">
        <v>100</v>
      </c>
      <c r="C94">
        <v>10000000</v>
      </c>
      <c r="D94">
        <v>3</v>
      </c>
      <c r="E94" t="s">
        <v>21</v>
      </c>
      <c r="F94" t="s">
        <v>10</v>
      </c>
      <c r="G94" t="s">
        <v>27</v>
      </c>
      <c r="H94" t="s">
        <v>12</v>
      </c>
      <c r="I94" t="s">
        <v>13</v>
      </c>
    </row>
    <row r="95" spans="2:9">
      <c r="B95" s="43" t="s">
        <v>101</v>
      </c>
      <c r="C95">
        <v>0</v>
      </c>
      <c r="D95" t="s">
        <v>20</v>
      </c>
      <c r="E95" t="s">
        <v>25</v>
      </c>
      <c r="F95" t="s">
        <v>17</v>
      </c>
      <c r="G95" t="s">
        <v>23</v>
      </c>
      <c r="H95" t="s">
        <v>12</v>
      </c>
      <c r="I95" t="s">
        <v>102</v>
      </c>
    </row>
    <row r="96" spans="2:9">
      <c r="B96" s="43" t="s">
        <v>103</v>
      </c>
      <c r="C96">
        <v>20000000</v>
      </c>
      <c r="D96" t="s">
        <v>20</v>
      </c>
      <c r="E96" t="s">
        <v>15</v>
      </c>
      <c r="F96" t="s">
        <v>10</v>
      </c>
      <c r="G96" t="s">
        <v>11</v>
      </c>
      <c r="H96" t="s">
        <v>12</v>
      </c>
      <c r="I96" t="s">
        <v>13</v>
      </c>
    </row>
    <row r="97" spans="2:9">
      <c r="B97" s="43" t="s">
        <v>104</v>
      </c>
      <c r="C97">
        <v>100000000</v>
      </c>
      <c r="D97">
        <v>2</v>
      </c>
      <c r="E97" t="s">
        <v>21</v>
      </c>
      <c r="F97" t="s">
        <v>10</v>
      </c>
      <c r="G97" t="s">
        <v>11</v>
      </c>
      <c r="H97" t="s">
        <v>12</v>
      </c>
      <c r="I97" t="s">
        <v>28</v>
      </c>
    </row>
    <row r="98" spans="2:9">
      <c r="B98" s="43" t="s">
        <v>105</v>
      </c>
      <c r="C98">
        <v>0</v>
      </c>
      <c r="D98">
        <v>3</v>
      </c>
      <c r="E98" t="s">
        <v>54</v>
      </c>
      <c r="F98" t="s">
        <v>55</v>
      </c>
      <c r="G98" t="s">
        <v>56</v>
      </c>
      <c r="H98" t="s">
        <v>12</v>
      </c>
      <c r="I98" t="s">
        <v>13</v>
      </c>
    </row>
    <row r="99" spans="2:9">
      <c r="B99" s="43" t="s">
        <v>106</v>
      </c>
      <c r="C99">
        <v>1000000</v>
      </c>
      <c r="D99">
        <v>2</v>
      </c>
      <c r="E99" t="s">
        <v>21</v>
      </c>
      <c r="F99" t="s">
        <v>10</v>
      </c>
      <c r="G99" t="s">
        <v>27</v>
      </c>
      <c r="H99" t="s">
        <v>12</v>
      </c>
      <c r="I99" t="s">
        <v>13</v>
      </c>
    </row>
    <row r="100" spans="2:9">
      <c r="B100" s="43" t="s">
        <v>107</v>
      </c>
      <c r="C100">
        <v>0</v>
      </c>
      <c r="D100">
        <v>3</v>
      </c>
      <c r="E100" t="s">
        <v>15</v>
      </c>
      <c r="F100" t="s">
        <v>17</v>
      </c>
      <c r="G100" t="s">
        <v>23</v>
      </c>
      <c r="H100" t="s">
        <v>30</v>
      </c>
      <c r="I100" t="s">
        <v>13</v>
      </c>
    </row>
    <row r="101" spans="2:9">
      <c r="B101" s="43" t="s">
        <v>108</v>
      </c>
      <c r="C101">
        <v>10000000</v>
      </c>
      <c r="D101">
        <v>4</v>
      </c>
      <c r="E101" t="s">
        <v>25</v>
      </c>
      <c r="F101" t="s">
        <v>10</v>
      </c>
      <c r="G101" t="s">
        <v>27</v>
      </c>
      <c r="H101" t="s">
        <v>12</v>
      </c>
      <c r="I101" t="s">
        <v>13</v>
      </c>
    </row>
    <row r="102" spans="2:9">
      <c r="B102" s="43" t="s">
        <v>109</v>
      </c>
      <c r="C102">
        <v>10000000</v>
      </c>
      <c r="D102" t="s">
        <v>20</v>
      </c>
      <c r="E102" t="s">
        <v>21</v>
      </c>
      <c r="F102" t="s">
        <v>10</v>
      </c>
      <c r="G102" t="s">
        <v>11</v>
      </c>
      <c r="H102" t="s">
        <v>12</v>
      </c>
      <c r="I102" t="s">
        <v>13</v>
      </c>
    </row>
    <row r="103" spans="2:9">
      <c r="B103" s="43" t="s">
        <v>110</v>
      </c>
      <c r="C103">
        <v>10000000</v>
      </c>
      <c r="D103">
        <v>1</v>
      </c>
      <c r="E103" t="s">
        <v>25</v>
      </c>
      <c r="F103" t="s">
        <v>10</v>
      </c>
      <c r="G103" t="s">
        <v>11</v>
      </c>
      <c r="H103" t="s">
        <v>30</v>
      </c>
      <c r="I103" t="s">
        <v>13</v>
      </c>
    </row>
    <row r="104" spans="2:9">
      <c r="B104" s="43" t="s">
        <v>111</v>
      </c>
      <c r="C104">
        <v>20000000</v>
      </c>
      <c r="D104">
        <v>1</v>
      </c>
      <c r="E104" t="s">
        <v>21</v>
      </c>
      <c r="F104" t="s">
        <v>10</v>
      </c>
      <c r="G104" t="s">
        <v>11</v>
      </c>
      <c r="H104" t="s">
        <v>12</v>
      </c>
      <c r="I104" t="s">
        <v>72</v>
      </c>
    </row>
    <row r="105" spans="2:9">
      <c r="B105" s="43" t="s">
        <v>112</v>
      </c>
      <c r="C105">
        <v>0</v>
      </c>
      <c r="D105" t="s">
        <v>20</v>
      </c>
      <c r="E105" t="s">
        <v>21</v>
      </c>
      <c r="F105" t="s">
        <v>17</v>
      </c>
      <c r="G105" t="s">
        <v>18</v>
      </c>
      <c r="H105" t="s">
        <v>12</v>
      </c>
      <c r="I105" t="s">
        <v>13</v>
      </c>
    </row>
    <row r="106" spans="2:9">
      <c r="B106" s="43" t="s">
        <v>113</v>
      </c>
      <c r="C106">
        <v>30000000</v>
      </c>
      <c r="D106" t="s">
        <v>20</v>
      </c>
      <c r="E106" t="s">
        <v>21</v>
      </c>
      <c r="F106" t="s">
        <v>10</v>
      </c>
      <c r="G106" t="s">
        <v>11</v>
      </c>
      <c r="H106" t="s">
        <v>12</v>
      </c>
      <c r="I106" t="s">
        <v>13</v>
      </c>
    </row>
    <row r="107" spans="2:9">
      <c r="B107" s="43" t="s">
        <v>114</v>
      </c>
      <c r="C107">
        <v>0</v>
      </c>
      <c r="D107" t="s">
        <v>20</v>
      </c>
      <c r="E107" t="s">
        <v>54</v>
      </c>
      <c r="F107" t="s">
        <v>55</v>
      </c>
      <c r="G107" t="s">
        <v>56</v>
      </c>
      <c r="H107" t="s">
        <v>12</v>
      </c>
      <c r="I107" t="s">
        <v>115</v>
      </c>
    </row>
    <row r="108" spans="2:9">
      <c r="B108" s="43" t="s">
        <v>116</v>
      </c>
      <c r="C108">
        <v>10000000</v>
      </c>
      <c r="D108">
        <v>2</v>
      </c>
      <c r="E108" t="s">
        <v>21</v>
      </c>
      <c r="F108" t="s">
        <v>10</v>
      </c>
      <c r="G108" t="s">
        <v>27</v>
      </c>
      <c r="H108" t="s">
        <v>30</v>
      </c>
      <c r="I108" t="s">
        <v>13</v>
      </c>
    </row>
    <row r="109" spans="2:9">
      <c r="B109" s="43" t="s">
        <v>117</v>
      </c>
      <c r="C109">
        <v>0</v>
      </c>
      <c r="D109" t="s">
        <v>20</v>
      </c>
      <c r="E109" t="s">
        <v>25</v>
      </c>
      <c r="F109" t="s">
        <v>17</v>
      </c>
      <c r="G109" t="s">
        <v>18</v>
      </c>
      <c r="H109" t="s">
        <v>12</v>
      </c>
      <c r="I109" t="s">
        <v>13</v>
      </c>
    </row>
    <row r="110" spans="2:9">
      <c r="B110" s="43" t="s">
        <v>118</v>
      </c>
      <c r="C110">
        <v>0</v>
      </c>
      <c r="D110">
        <v>1</v>
      </c>
      <c r="E110" t="s">
        <v>9</v>
      </c>
      <c r="F110" t="s">
        <v>17</v>
      </c>
      <c r="G110" t="s">
        <v>23</v>
      </c>
      <c r="H110" t="s">
        <v>12</v>
      </c>
      <c r="I110" t="s">
        <v>13</v>
      </c>
    </row>
    <row r="111" spans="2:9">
      <c r="B111" s="43" t="s">
        <v>119</v>
      </c>
      <c r="C111">
        <v>0</v>
      </c>
      <c r="D111">
        <v>1</v>
      </c>
      <c r="E111" t="s">
        <v>15</v>
      </c>
      <c r="F111" t="s">
        <v>17</v>
      </c>
      <c r="G111" t="s">
        <v>18</v>
      </c>
      <c r="H111" t="s">
        <v>12</v>
      </c>
      <c r="I111" t="s">
        <v>13</v>
      </c>
    </row>
    <row r="112" spans="2:9">
      <c r="B112" s="43" t="s">
        <v>120</v>
      </c>
      <c r="C112">
        <v>30000000</v>
      </c>
      <c r="D112" t="s">
        <v>20</v>
      </c>
      <c r="E112" t="s">
        <v>25</v>
      </c>
      <c r="F112" t="s">
        <v>10</v>
      </c>
      <c r="G112" t="s">
        <v>27</v>
      </c>
      <c r="H112" t="s">
        <v>30</v>
      </c>
      <c r="I112" t="s">
        <v>13</v>
      </c>
    </row>
    <row r="113" spans="2:9">
      <c r="B113" s="43" t="s">
        <v>121</v>
      </c>
      <c r="C113">
        <v>0</v>
      </c>
      <c r="D113">
        <v>4</v>
      </c>
      <c r="E113" t="s">
        <v>25</v>
      </c>
      <c r="F113" t="s">
        <v>17</v>
      </c>
      <c r="G113" t="s">
        <v>23</v>
      </c>
      <c r="H113" t="s">
        <v>12</v>
      </c>
      <c r="I113" t="s">
        <v>13</v>
      </c>
    </row>
    <row r="114" spans="2:9">
      <c r="B114" s="43" t="s">
        <v>122</v>
      </c>
      <c r="C114">
        <v>90000000</v>
      </c>
      <c r="D114">
        <v>1</v>
      </c>
      <c r="E114" t="s">
        <v>25</v>
      </c>
      <c r="F114" t="s">
        <v>10</v>
      </c>
      <c r="G114" t="s">
        <v>27</v>
      </c>
      <c r="H114" t="s">
        <v>12</v>
      </c>
      <c r="I114" t="s">
        <v>13</v>
      </c>
    </row>
    <row r="115" spans="2:9">
      <c r="B115" s="43" t="s">
        <v>123</v>
      </c>
      <c r="C115">
        <v>0</v>
      </c>
      <c r="D115">
        <v>1</v>
      </c>
      <c r="E115" t="s">
        <v>21</v>
      </c>
      <c r="F115" t="s">
        <v>17</v>
      </c>
      <c r="G115" t="s">
        <v>18</v>
      </c>
      <c r="H115" t="s">
        <v>30</v>
      </c>
      <c r="I115" t="s">
        <v>13</v>
      </c>
    </row>
    <row r="116" spans="2:9">
      <c r="B116" s="43" t="s">
        <v>124</v>
      </c>
      <c r="C116">
        <v>0</v>
      </c>
      <c r="D116">
        <v>1</v>
      </c>
      <c r="E116" t="s">
        <v>21</v>
      </c>
      <c r="F116" t="s">
        <v>17</v>
      </c>
      <c r="G116" t="s">
        <v>23</v>
      </c>
      <c r="H116" t="s">
        <v>12</v>
      </c>
      <c r="I116" t="s">
        <v>13</v>
      </c>
    </row>
    <row r="117" spans="2:9">
      <c r="B117" s="43" t="s">
        <v>125</v>
      </c>
      <c r="C117">
        <v>90000000</v>
      </c>
      <c r="D117" t="s">
        <v>20</v>
      </c>
      <c r="E117" t="s">
        <v>21</v>
      </c>
      <c r="F117" t="s">
        <v>10</v>
      </c>
      <c r="G117" t="s">
        <v>27</v>
      </c>
      <c r="H117" t="s">
        <v>12</v>
      </c>
      <c r="I117" t="s">
        <v>13</v>
      </c>
    </row>
    <row r="118" spans="2:9">
      <c r="B118" s="43" t="s">
        <v>126</v>
      </c>
      <c r="C118">
        <v>1000000</v>
      </c>
      <c r="D118" t="s">
        <v>20</v>
      </c>
      <c r="E118" t="s">
        <v>21</v>
      </c>
      <c r="F118" t="s">
        <v>10</v>
      </c>
      <c r="G118" t="s">
        <v>27</v>
      </c>
      <c r="H118" t="s">
        <v>12</v>
      </c>
      <c r="I118" t="s">
        <v>13</v>
      </c>
    </row>
    <row r="119" spans="2:9">
      <c r="B119" s="43" t="s">
        <v>127</v>
      </c>
      <c r="C119">
        <v>20000000</v>
      </c>
      <c r="D119">
        <v>2</v>
      </c>
      <c r="E119" t="s">
        <v>25</v>
      </c>
      <c r="F119" t="s">
        <v>10</v>
      </c>
      <c r="G119" t="s">
        <v>27</v>
      </c>
      <c r="H119" t="s">
        <v>12</v>
      </c>
      <c r="I119" t="s">
        <v>13</v>
      </c>
    </row>
    <row r="120" spans="2:9">
      <c r="B120" s="43" t="s">
        <v>128</v>
      </c>
      <c r="C120">
        <v>90000000</v>
      </c>
      <c r="D120">
        <v>2</v>
      </c>
      <c r="E120" t="s">
        <v>9</v>
      </c>
      <c r="F120" t="s">
        <v>10</v>
      </c>
      <c r="G120" t="s">
        <v>11</v>
      </c>
      <c r="H120" t="s">
        <v>30</v>
      </c>
      <c r="I120" t="s">
        <v>13</v>
      </c>
    </row>
    <row r="121" spans="2:9">
      <c r="B121" s="43" t="s">
        <v>129</v>
      </c>
      <c r="C121">
        <v>1000000</v>
      </c>
      <c r="D121">
        <v>4</v>
      </c>
      <c r="E121" t="s">
        <v>21</v>
      </c>
      <c r="F121" t="s">
        <v>10</v>
      </c>
      <c r="G121" t="s">
        <v>27</v>
      </c>
      <c r="H121" t="s">
        <v>12</v>
      </c>
      <c r="I121" t="s">
        <v>130</v>
      </c>
    </row>
    <row r="122" spans="2:9">
      <c r="B122" s="43" t="s">
        <v>131</v>
      </c>
      <c r="C122">
        <v>10000000</v>
      </c>
      <c r="D122">
        <v>2</v>
      </c>
      <c r="E122" t="s">
        <v>21</v>
      </c>
      <c r="F122" t="s">
        <v>10</v>
      </c>
      <c r="G122" t="s">
        <v>11</v>
      </c>
      <c r="H122" t="s">
        <v>30</v>
      </c>
      <c r="I122" t="s">
        <v>13</v>
      </c>
    </row>
    <row r="123" spans="2:9">
      <c r="B123" s="43" t="s">
        <v>132</v>
      </c>
      <c r="C123">
        <v>0</v>
      </c>
      <c r="D123">
        <v>2</v>
      </c>
      <c r="E123" t="s">
        <v>15</v>
      </c>
      <c r="F123" t="s">
        <v>17</v>
      </c>
      <c r="G123" t="s">
        <v>23</v>
      </c>
      <c r="H123" t="s">
        <v>12</v>
      </c>
      <c r="I123" t="s">
        <v>13</v>
      </c>
    </row>
    <row r="124" spans="2:9">
      <c r="B124" s="43" t="s">
        <v>133</v>
      </c>
      <c r="C124">
        <v>0</v>
      </c>
      <c r="D124" t="s">
        <v>20</v>
      </c>
      <c r="E124" t="s">
        <v>54</v>
      </c>
      <c r="F124" t="s">
        <v>55</v>
      </c>
      <c r="G124" t="s">
        <v>56</v>
      </c>
      <c r="H124" t="s">
        <v>12</v>
      </c>
      <c r="I124" t="s">
        <v>13</v>
      </c>
    </row>
    <row r="125" spans="2:9">
      <c r="B125" s="43" t="s">
        <v>134</v>
      </c>
      <c r="C125">
        <v>90000000</v>
      </c>
      <c r="D125">
        <v>3</v>
      </c>
      <c r="E125" t="s">
        <v>21</v>
      </c>
      <c r="F125" t="s">
        <v>10</v>
      </c>
      <c r="G125" t="s">
        <v>27</v>
      </c>
      <c r="H125" t="s">
        <v>12</v>
      </c>
      <c r="I125" t="s">
        <v>13</v>
      </c>
    </row>
    <row r="126" spans="2:9">
      <c r="B126" s="43" t="s">
        <v>135</v>
      </c>
      <c r="C126">
        <v>0</v>
      </c>
      <c r="D126" t="s">
        <v>20</v>
      </c>
      <c r="E126" t="s">
        <v>21</v>
      </c>
      <c r="F126" t="s">
        <v>17</v>
      </c>
      <c r="G126" t="s">
        <v>23</v>
      </c>
      <c r="H126" t="s">
        <v>30</v>
      </c>
      <c r="I126" t="s">
        <v>13</v>
      </c>
    </row>
  </sheetData>
  <mergeCells count="7">
    <mergeCell ref="B25:C25"/>
    <mergeCell ref="B2:C2"/>
    <mergeCell ref="D2:E7"/>
    <mergeCell ref="B10:C10"/>
    <mergeCell ref="D10:H10"/>
    <mergeCell ref="B18:C18"/>
    <mergeCell ref="D18:H1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55B5B-A8F2-4DD0-945C-3645D63616D5}">
  <sheetPr codeName="Hoja3"/>
  <dimension ref="A1:U101"/>
  <sheetViews>
    <sheetView workbookViewId="0">
      <selection activeCell="H16" sqref="H16"/>
    </sheetView>
  </sheetViews>
  <sheetFormatPr baseColWidth="10" defaultRowHeight="15"/>
  <cols>
    <col min="7" max="7" width="12.140625" bestFit="1" customWidth="1"/>
    <col min="11" max="11" width="14.7109375" style="60" bestFit="1" customWidth="1"/>
    <col min="12" max="12" width="14.7109375" style="63" bestFit="1" customWidth="1"/>
    <col min="13" max="13" width="14.28515625" style="66" customWidth="1"/>
    <col min="14" max="14" width="13.7109375" style="69" bestFit="1" customWidth="1"/>
    <col min="15" max="15" width="20" style="69" bestFit="1" customWidth="1"/>
    <col min="16" max="16" width="14.7109375" style="69" bestFit="1" customWidth="1"/>
    <col min="17" max="17" width="13.7109375" style="69" customWidth="1"/>
    <col min="18" max="18" width="104.7109375" customWidth="1"/>
    <col min="19" max="19" width="33.140625" customWidth="1"/>
    <col min="20" max="20" width="10.7109375" bestFit="1" customWidth="1"/>
  </cols>
  <sheetData>
    <row r="1" spans="1:21" ht="60">
      <c r="A1" s="20" t="s">
        <v>0</v>
      </c>
      <c r="B1" s="20" t="s">
        <v>7</v>
      </c>
      <c r="C1" s="20" t="s">
        <v>3</v>
      </c>
      <c r="D1" s="20" t="s">
        <v>4</v>
      </c>
      <c r="E1" s="20" t="s">
        <v>5</v>
      </c>
      <c r="F1" s="20" t="s">
        <v>6</v>
      </c>
      <c r="G1" s="20" t="s">
        <v>175</v>
      </c>
      <c r="H1" s="20" t="s">
        <v>176</v>
      </c>
      <c r="I1" s="20" t="s">
        <v>177</v>
      </c>
      <c r="J1" s="20" t="s">
        <v>178</v>
      </c>
      <c r="K1" s="58" t="s">
        <v>192</v>
      </c>
      <c r="L1" s="61" t="s">
        <v>193</v>
      </c>
      <c r="M1" s="64" t="s">
        <v>194</v>
      </c>
      <c r="N1" s="67" t="s">
        <v>195</v>
      </c>
      <c r="O1" s="67" t="s">
        <v>199</v>
      </c>
      <c r="P1" s="72">
        <f>SUM(G3:J101)</f>
        <v>12768082553</v>
      </c>
      <c r="Q1" s="67"/>
      <c r="R1" s="36" t="s">
        <v>143</v>
      </c>
      <c r="S1" s="270"/>
      <c r="T1" s="266"/>
    </row>
    <row r="2" spans="1:21">
      <c r="A2" s="23" t="s">
        <v>57</v>
      </c>
      <c r="B2" s="24" t="s">
        <v>13</v>
      </c>
      <c r="C2" s="24" t="s">
        <v>198</v>
      </c>
      <c r="D2" s="24" t="s">
        <v>55</v>
      </c>
      <c r="E2" s="24" t="s">
        <v>56</v>
      </c>
      <c r="F2" s="24" t="s">
        <v>12</v>
      </c>
      <c r="G2" s="28">
        <v>0</v>
      </c>
      <c r="H2" s="57">
        <v>0</v>
      </c>
      <c r="I2" s="28">
        <v>96781441</v>
      </c>
      <c r="J2" s="28">
        <v>47643060</v>
      </c>
      <c r="K2" s="59">
        <f>H2+I2+J2</f>
        <v>144424501</v>
      </c>
      <c r="L2" s="62">
        <f>SUM(G2:J2)</f>
        <v>144424501</v>
      </c>
      <c r="M2" s="65">
        <f>AVERAGE(G2:J2)</f>
        <v>36106125.25</v>
      </c>
      <c r="N2" s="71">
        <f>ROUND(AVERAGE(G2:J2),0)</f>
        <v>36106125</v>
      </c>
      <c r="O2" s="68">
        <f>SUMIF(C2:C101,"Tecnología",G2:J101)</f>
        <v>1069000000</v>
      </c>
      <c r="P2" s="68"/>
      <c r="Q2" s="68"/>
      <c r="R2" s="70" t="s">
        <v>180</v>
      </c>
      <c r="S2" s="270"/>
      <c r="T2" s="266"/>
    </row>
    <row r="3" spans="1:21">
      <c r="A3" s="23" t="s">
        <v>98</v>
      </c>
      <c r="B3" s="24" t="s">
        <v>13</v>
      </c>
      <c r="C3" s="24" t="s">
        <v>21</v>
      </c>
      <c r="D3" s="24" t="s">
        <v>10</v>
      </c>
      <c r="E3" s="24" t="s">
        <v>11</v>
      </c>
      <c r="F3" s="24" t="s">
        <v>30</v>
      </c>
      <c r="G3" s="28">
        <v>10000000</v>
      </c>
      <c r="H3" s="28">
        <v>40848959</v>
      </c>
      <c r="I3" s="28">
        <v>92963332</v>
      </c>
      <c r="J3" s="28">
        <v>47565587</v>
      </c>
      <c r="K3" s="59">
        <f t="shared" ref="K3:K66" si="0">H3+I3+J3</f>
        <v>181377878</v>
      </c>
      <c r="L3" s="62">
        <f t="shared" ref="L3:L66" si="1">SUM(G3:J3)</f>
        <v>191377878</v>
      </c>
      <c r="M3" s="65">
        <f t="shared" ref="M3:M66" si="2">AVERAGE(G3:J3)</f>
        <v>47844469.5</v>
      </c>
      <c r="N3" s="71">
        <f t="shared" ref="N3:N66" si="3">ROUND(AVERAGE(G3:J3),0)</f>
        <v>47844470</v>
      </c>
      <c r="O3" s="68">
        <f>SUMIF(C3:C102,"Construcción",G3:J102)</f>
        <v>211000000</v>
      </c>
      <c r="P3" s="68"/>
      <c r="Q3" s="68"/>
      <c r="R3" s="70" t="s">
        <v>188</v>
      </c>
      <c r="S3" s="270"/>
      <c r="T3" s="266"/>
    </row>
    <row r="4" spans="1:21">
      <c r="A4" s="23" t="s">
        <v>118</v>
      </c>
      <c r="B4" s="24" t="s">
        <v>13</v>
      </c>
      <c r="C4" s="24" t="s">
        <v>9</v>
      </c>
      <c r="D4" s="24" t="s">
        <v>17</v>
      </c>
      <c r="E4" s="25" t="s">
        <v>23</v>
      </c>
      <c r="F4" s="24" t="s">
        <v>12</v>
      </c>
      <c r="G4" s="28">
        <v>0</v>
      </c>
      <c r="H4" s="28">
        <v>0</v>
      </c>
      <c r="I4" s="28">
        <v>49599457</v>
      </c>
      <c r="J4" s="28">
        <v>0</v>
      </c>
      <c r="K4" s="59">
        <f t="shared" si="0"/>
        <v>49599457</v>
      </c>
      <c r="L4" s="62">
        <f t="shared" si="1"/>
        <v>49599457</v>
      </c>
      <c r="M4" s="65">
        <f t="shared" si="2"/>
        <v>12399864.25</v>
      </c>
      <c r="N4" s="71">
        <f t="shared" si="3"/>
        <v>12399864</v>
      </c>
      <c r="O4" s="68">
        <f>SUMIF(C2:C101,"Agroindustrial",G2:J101)</f>
        <v>50000000</v>
      </c>
      <c r="P4" s="68"/>
      <c r="Q4" s="68"/>
      <c r="R4" s="70" t="s">
        <v>181</v>
      </c>
      <c r="S4" s="270"/>
      <c r="T4" s="266"/>
    </row>
    <row r="5" spans="1:21">
      <c r="A5" s="23" t="s">
        <v>60</v>
      </c>
      <c r="B5" s="24" t="s">
        <v>13</v>
      </c>
      <c r="C5" s="24" t="s">
        <v>21</v>
      </c>
      <c r="D5" s="24" t="s">
        <v>10</v>
      </c>
      <c r="E5" s="24" t="s">
        <v>27</v>
      </c>
      <c r="F5" s="24" t="s">
        <v>12</v>
      </c>
      <c r="G5" s="28">
        <v>10000000</v>
      </c>
      <c r="H5" s="28">
        <v>78308880</v>
      </c>
      <c r="I5" s="28">
        <v>3248026</v>
      </c>
      <c r="J5" s="28">
        <v>27143270</v>
      </c>
      <c r="K5" s="59">
        <f t="shared" si="0"/>
        <v>108700176</v>
      </c>
      <c r="L5" s="62">
        <f t="shared" si="1"/>
        <v>118700176</v>
      </c>
      <c r="M5" s="65">
        <f t="shared" si="2"/>
        <v>29675044</v>
      </c>
      <c r="N5" s="71">
        <f t="shared" si="3"/>
        <v>29675044</v>
      </c>
      <c r="O5" s="68"/>
      <c r="P5" s="68"/>
      <c r="Q5" s="68"/>
      <c r="R5" s="70" t="s">
        <v>182</v>
      </c>
      <c r="S5" s="270"/>
      <c r="T5" s="266"/>
    </row>
    <row r="6" spans="1:21">
      <c r="A6" s="23" t="s">
        <v>8</v>
      </c>
      <c r="B6" s="24" t="s">
        <v>13</v>
      </c>
      <c r="C6" s="24" t="s">
        <v>9</v>
      </c>
      <c r="D6" s="24" t="s">
        <v>10</v>
      </c>
      <c r="E6" s="24" t="s">
        <v>11</v>
      </c>
      <c r="F6" s="24" t="s">
        <v>12</v>
      </c>
      <c r="G6" s="28">
        <v>50000000</v>
      </c>
      <c r="H6" s="28">
        <v>2910571</v>
      </c>
      <c r="I6" s="28">
        <v>37561085</v>
      </c>
      <c r="J6" s="28">
        <v>19598007</v>
      </c>
      <c r="K6" s="59">
        <f t="shared" si="0"/>
        <v>60069663</v>
      </c>
      <c r="L6" s="62">
        <f t="shared" si="1"/>
        <v>110069663</v>
      </c>
      <c r="M6" s="65">
        <f t="shared" si="2"/>
        <v>27517415.75</v>
      </c>
      <c r="N6" s="71">
        <f t="shared" si="3"/>
        <v>27517416</v>
      </c>
      <c r="O6" s="68"/>
      <c r="P6" s="68"/>
      <c r="Q6" s="68"/>
      <c r="R6" s="70" t="s">
        <v>196</v>
      </c>
      <c r="S6" s="270"/>
      <c r="T6" s="266"/>
    </row>
    <row r="7" spans="1:21">
      <c r="A7" s="23" t="s">
        <v>125</v>
      </c>
      <c r="B7" s="24" t="s">
        <v>13</v>
      </c>
      <c r="C7" s="24" t="s">
        <v>21</v>
      </c>
      <c r="D7" s="24" t="s">
        <v>10</v>
      </c>
      <c r="E7" s="24" t="s">
        <v>27</v>
      </c>
      <c r="F7" s="24" t="s">
        <v>12</v>
      </c>
      <c r="G7" s="28">
        <v>90000000</v>
      </c>
      <c r="H7" s="28">
        <v>50075523</v>
      </c>
      <c r="I7" s="28">
        <v>59142617</v>
      </c>
      <c r="J7" s="28">
        <v>95314026</v>
      </c>
      <c r="K7" s="59">
        <f t="shared" si="0"/>
        <v>204532166</v>
      </c>
      <c r="L7" s="62">
        <f t="shared" si="1"/>
        <v>294532166</v>
      </c>
      <c r="M7" s="65">
        <f t="shared" si="2"/>
        <v>73633041.5</v>
      </c>
      <c r="N7" s="71">
        <f t="shared" si="3"/>
        <v>73633042</v>
      </c>
      <c r="O7" s="68"/>
      <c r="P7" s="68"/>
      <c r="Q7" s="68"/>
      <c r="R7" s="70" t="s">
        <v>197</v>
      </c>
      <c r="S7" s="270"/>
      <c r="T7" s="266"/>
    </row>
    <row r="8" spans="1:21">
      <c r="A8" s="23" t="s">
        <v>74</v>
      </c>
      <c r="B8" s="24" t="s">
        <v>13</v>
      </c>
      <c r="C8" s="24" t="s">
        <v>21</v>
      </c>
      <c r="D8" s="24" t="s">
        <v>17</v>
      </c>
      <c r="E8" s="25" t="s">
        <v>23</v>
      </c>
      <c r="F8" s="24" t="s">
        <v>12</v>
      </c>
      <c r="G8" s="28">
        <v>0</v>
      </c>
      <c r="H8" s="28">
        <v>0</v>
      </c>
      <c r="I8" s="28">
        <v>0</v>
      </c>
      <c r="J8" s="28">
        <v>67714973</v>
      </c>
      <c r="K8" s="59">
        <f t="shared" si="0"/>
        <v>67714973</v>
      </c>
      <c r="L8" s="62">
        <f t="shared" si="1"/>
        <v>67714973</v>
      </c>
      <c r="M8" s="65">
        <f t="shared" si="2"/>
        <v>16928743.25</v>
      </c>
      <c r="N8" s="71">
        <f t="shared" si="3"/>
        <v>16928743</v>
      </c>
      <c r="O8" s="68"/>
      <c r="P8" s="68"/>
      <c r="Q8" s="68"/>
      <c r="R8" s="38" t="s">
        <v>183</v>
      </c>
      <c r="S8" s="270"/>
      <c r="T8" s="266"/>
    </row>
    <row r="9" spans="1:21">
      <c r="A9" s="23" t="s">
        <v>29</v>
      </c>
      <c r="B9" s="24" t="s">
        <v>13</v>
      </c>
      <c r="C9" s="24" t="s">
        <v>21</v>
      </c>
      <c r="D9" s="24" t="s">
        <v>10</v>
      </c>
      <c r="E9" s="24" t="s">
        <v>11</v>
      </c>
      <c r="F9" s="24" t="s">
        <v>30</v>
      </c>
      <c r="G9" s="28">
        <v>1000000</v>
      </c>
      <c r="H9" s="28">
        <v>5305190</v>
      </c>
      <c r="I9" s="28">
        <v>53291805</v>
      </c>
      <c r="J9" s="28">
        <v>84809282</v>
      </c>
      <c r="K9" s="59">
        <f t="shared" si="0"/>
        <v>143406277</v>
      </c>
      <c r="L9" s="62">
        <f t="shared" si="1"/>
        <v>144406277</v>
      </c>
      <c r="M9" s="65">
        <f t="shared" si="2"/>
        <v>36101569.25</v>
      </c>
      <c r="N9" s="71">
        <f t="shared" si="3"/>
        <v>36101569</v>
      </c>
      <c r="O9" s="68"/>
      <c r="P9" s="68"/>
      <c r="Q9" s="68"/>
      <c r="R9" s="43"/>
      <c r="S9" s="271"/>
      <c r="T9" s="271"/>
    </row>
    <row r="10" spans="1:21" ht="18">
      <c r="A10" s="23" t="s">
        <v>107</v>
      </c>
      <c r="B10" s="24" t="s">
        <v>13</v>
      </c>
      <c r="C10" s="24" t="s">
        <v>15</v>
      </c>
      <c r="D10" s="24" t="s">
        <v>17</v>
      </c>
      <c r="E10" s="25" t="s">
        <v>23</v>
      </c>
      <c r="F10" s="24" t="s">
        <v>30</v>
      </c>
      <c r="G10" s="28">
        <v>0</v>
      </c>
      <c r="H10" s="28">
        <v>0</v>
      </c>
      <c r="I10" s="28">
        <v>50085574</v>
      </c>
      <c r="J10" s="28">
        <v>42495353</v>
      </c>
      <c r="K10" s="59">
        <f t="shared" si="0"/>
        <v>92580927</v>
      </c>
      <c r="L10" s="62">
        <f t="shared" si="1"/>
        <v>92580927</v>
      </c>
      <c r="M10" s="65">
        <f t="shared" si="2"/>
        <v>23145231.75</v>
      </c>
      <c r="N10" s="71">
        <f t="shared" si="3"/>
        <v>23145232</v>
      </c>
      <c r="O10" s="68"/>
      <c r="P10" s="68"/>
      <c r="Q10" s="68"/>
      <c r="R10" s="268" t="s">
        <v>184</v>
      </c>
      <c r="S10" s="269"/>
      <c r="T10" s="269"/>
      <c r="U10" s="269"/>
    </row>
    <row r="11" spans="1:21">
      <c r="A11" s="23" t="s">
        <v>108</v>
      </c>
      <c r="B11" s="24" t="s">
        <v>13</v>
      </c>
      <c r="C11" s="24" t="s">
        <v>25</v>
      </c>
      <c r="D11" s="24" t="s">
        <v>10</v>
      </c>
      <c r="E11" s="24" t="s">
        <v>27</v>
      </c>
      <c r="F11" s="24" t="s">
        <v>12</v>
      </c>
      <c r="G11" s="28">
        <v>10000000</v>
      </c>
      <c r="H11" s="28">
        <v>38941670</v>
      </c>
      <c r="I11" s="28">
        <v>67846781</v>
      </c>
      <c r="J11" s="28">
        <v>87726693</v>
      </c>
      <c r="K11" s="59">
        <f t="shared" si="0"/>
        <v>194515144</v>
      </c>
      <c r="L11" s="62">
        <f t="shared" si="1"/>
        <v>204515144</v>
      </c>
      <c r="M11" s="65">
        <f t="shared" si="2"/>
        <v>51128786</v>
      </c>
      <c r="N11" s="71">
        <f t="shared" si="3"/>
        <v>51128786</v>
      </c>
      <c r="O11" s="68"/>
      <c r="P11" s="68"/>
      <c r="Q11" s="68"/>
      <c r="R11" s="51" t="s">
        <v>189</v>
      </c>
      <c r="S11" s="43" t="str">
        <f>UPPER(R11)</f>
        <v>BONUS 0 FÓRMULAS DE TEXTO: MAYÚSCULA</v>
      </c>
      <c r="T11" s="43"/>
    </row>
    <row r="12" spans="1:21">
      <c r="A12" s="23" t="s">
        <v>129</v>
      </c>
      <c r="B12" s="25" t="s">
        <v>130</v>
      </c>
      <c r="C12" s="24" t="s">
        <v>21</v>
      </c>
      <c r="D12" s="24" t="s">
        <v>10</v>
      </c>
      <c r="E12" s="24" t="s">
        <v>27</v>
      </c>
      <c r="F12" s="24" t="s">
        <v>12</v>
      </c>
      <c r="G12" s="28">
        <v>1000000</v>
      </c>
      <c r="H12" s="28">
        <v>28926771</v>
      </c>
      <c r="I12" s="28">
        <v>56939610</v>
      </c>
      <c r="J12" s="28">
        <v>92726884</v>
      </c>
      <c r="K12" s="59">
        <f t="shared" si="0"/>
        <v>178593265</v>
      </c>
      <c r="L12" s="62">
        <f t="shared" si="1"/>
        <v>179593265</v>
      </c>
      <c r="M12" s="65">
        <f t="shared" si="2"/>
        <v>44898316.25</v>
      </c>
      <c r="N12" s="71">
        <f t="shared" si="3"/>
        <v>44898316</v>
      </c>
      <c r="O12" s="68"/>
      <c r="P12" s="68"/>
      <c r="Q12" s="68"/>
      <c r="R12" s="51" t="s">
        <v>190</v>
      </c>
      <c r="S12" s="43" t="str">
        <f>LOWER(R12)</f>
        <v>bonus 0 fórmulas de texto: minúscula</v>
      </c>
      <c r="T12" s="43"/>
    </row>
    <row r="13" spans="1:21">
      <c r="A13" s="23" t="s">
        <v>93</v>
      </c>
      <c r="B13" s="24" t="s">
        <v>13</v>
      </c>
      <c r="C13" s="24" t="s">
        <v>21</v>
      </c>
      <c r="D13" s="24" t="s">
        <v>10</v>
      </c>
      <c r="E13" s="24" t="s">
        <v>27</v>
      </c>
      <c r="F13" s="24" t="s">
        <v>12</v>
      </c>
      <c r="G13" s="28">
        <v>1000000</v>
      </c>
      <c r="H13" s="28">
        <v>34252074</v>
      </c>
      <c r="I13" s="28">
        <v>0</v>
      </c>
      <c r="J13" s="28">
        <v>22994819</v>
      </c>
      <c r="K13" s="59">
        <f t="shared" si="0"/>
        <v>57246893</v>
      </c>
      <c r="L13" s="62">
        <f t="shared" si="1"/>
        <v>58246893</v>
      </c>
      <c r="M13" s="65">
        <f t="shared" si="2"/>
        <v>14561723.25</v>
      </c>
      <c r="N13" s="71">
        <f t="shared" si="3"/>
        <v>14561723</v>
      </c>
      <c r="O13" s="68"/>
      <c r="P13" s="68"/>
      <c r="Q13" s="68"/>
      <c r="R13" s="52" t="s">
        <v>191</v>
      </c>
      <c r="S13" s="54">
        <f ca="1">TODAY()</f>
        <v>46116</v>
      </c>
      <c r="T13" s="54"/>
    </row>
    <row r="14" spans="1:21">
      <c r="A14" s="23" t="s">
        <v>16</v>
      </c>
      <c r="B14" s="24" t="s">
        <v>13</v>
      </c>
      <c r="C14" s="24" t="s">
        <v>9</v>
      </c>
      <c r="D14" s="24" t="s">
        <v>17</v>
      </c>
      <c r="E14" s="25" t="s">
        <v>18</v>
      </c>
      <c r="F14" s="24" t="s">
        <v>12</v>
      </c>
      <c r="G14" s="28">
        <v>0</v>
      </c>
      <c r="H14" s="28">
        <v>0</v>
      </c>
      <c r="I14" s="28">
        <v>45347826</v>
      </c>
      <c r="J14" s="28">
        <v>14301768</v>
      </c>
      <c r="K14" s="59">
        <f t="shared" si="0"/>
        <v>59649594</v>
      </c>
      <c r="L14" s="62">
        <f t="shared" si="1"/>
        <v>59649594</v>
      </c>
      <c r="M14" s="65">
        <f t="shared" si="2"/>
        <v>14912398.5</v>
      </c>
      <c r="N14" s="71">
        <f t="shared" si="3"/>
        <v>14912399</v>
      </c>
      <c r="O14" s="68"/>
      <c r="P14" s="68"/>
      <c r="Q14" s="68"/>
      <c r="R14" s="43"/>
      <c r="S14" s="272"/>
      <c r="T14" s="272"/>
    </row>
    <row r="15" spans="1:21" ht="18">
      <c r="A15" s="23" t="s">
        <v>34</v>
      </c>
      <c r="B15" s="24" t="s">
        <v>13</v>
      </c>
      <c r="C15" s="24" t="s">
        <v>21</v>
      </c>
      <c r="D15" s="24" t="s">
        <v>17</v>
      </c>
      <c r="E15" s="25" t="s">
        <v>18</v>
      </c>
      <c r="F15" s="24" t="s">
        <v>30</v>
      </c>
      <c r="G15" s="28">
        <v>0</v>
      </c>
      <c r="H15" s="28">
        <v>0</v>
      </c>
      <c r="I15" s="28">
        <v>71453938</v>
      </c>
      <c r="J15" s="28">
        <v>38593802</v>
      </c>
      <c r="K15" s="59">
        <f t="shared" si="0"/>
        <v>110047740</v>
      </c>
      <c r="L15" s="62">
        <f t="shared" si="1"/>
        <v>110047740</v>
      </c>
      <c r="M15" s="65">
        <f t="shared" si="2"/>
        <v>27511935</v>
      </c>
      <c r="N15" s="71">
        <f t="shared" si="3"/>
        <v>27511935</v>
      </c>
      <c r="O15" s="68"/>
      <c r="P15" s="68"/>
      <c r="Q15" s="68"/>
      <c r="R15" s="268" t="s">
        <v>185</v>
      </c>
      <c r="S15" s="269"/>
      <c r="T15" s="269"/>
      <c r="U15" s="269"/>
    </row>
    <row r="16" spans="1:21">
      <c r="A16" s="23" t="s">
        <v>45</v>
      </c>
      <c r="B16" s="24" t="s">
        <v>13</v>
      </c>
      <c r="C16" s="24" t="s">
        <v>25</v>
      </c>
      <c r="D16" s="24" t="s">
        <v>10</v>
      </c>
      <c r="E16" s="24" t="s">
        <v>11</v>
      </c>
      <c r="F16" s="24" t="s">
        <v>12</v>
      </c>
      <c r="G16" s="28">
        <v>20000000</v>
      </c>
      <c r="H16" s="28">
        <v>32346156</v>
      </c>
      <c r="I16" s="28">
        <v>22346275</v>
      </c>
      <c r="J16" s="28">
        <v>73743047</v>
      </c>
      <c r="K16" s="59">
        <f t="shared" si="0"/>
        <v>128435478</v>
      </c>
      <c r="L16" s="62">
        <f t="shared" si="1"/>
        <v>148435478</v>
      </c>
      <c r="M16" s="65">
        <f t="shared" si="2"/>
        <v>37108869.5</v>
      </c>
      <c r="N16" s="71">
        <f t="shared" si="3"/>
        <v>37108870</v>
      </c>
      <c r="O16" s="68"/>
      <c r="P16" s="68"/>
      <c r="Q16" s="68"/>
      <c r="R16" s="51" t="s">
        <v>186</v>
      </c>
      <c r="S16" s="55">
        <v>45918</v>
      </c>
      <c r="T16" s="73">
        <f ca="1">TODAY()-S16</f>
        <v>198</v>
      </c>
    </row>
    <row r="17" spans="1:20">
      <c r="A17" s="23" t="s">
        <v>64</v>
      </c>
      <c r="B17" s="24" t="s">
        <v>13</v>
      </c>
      <c r="C17" s="24" t="s">
        <v>54</v>
      </c>
      <c r="D17" s="24" t="s">
        <v>55</v>
      </c>
      <c r="E17" s="24" t="s">
        <v>56</v>
      </c>
      <c r="F17" s="24" t="s">
        <v>12</v>
      </c>
      <c r="G17" s="28">
        <v>0</v>
      </c>
      <c r="H17" s="28">
        <v>0</v>
      </c>
      <c r="I17" s="28">
        <v>96357193</v>
      </c>
      <c r="J17" s="28">
        <v>67901582</v>
      </c>
      <c r="K17" s="59">
        <f t="shared" si="0"/>
        <v>164258775</v>
      </c>
      <c r="L17" s="62">
        <f t="shared" si="1"/>
        <v>164258775</v>
      </c>
      <c r="M17" s="65">
        <f t="shared" si="2"/>
        <v>41064693.75</v>
      </c>
      <c r="N17" s="71">
        <f t="shared" si="3"/>
        <v>41064694</v>
      </c>
      <c r="O17" s="68"/>
      <c r="P17" s="68"/>
      <c r="Q17" s="68"/>
      <c r="R17" s="52" t="s">
        <v>187</v>
      </c>
      <c r="S17" s="53"/>
      <c r="T17" s="53"/>
    </row>
    <row r="18" spans="1:20">
      <c r="A18" s="23" t="s">
        <v>90</v>
      </c>
      <c r="B18" s="24" t="s">
        <v>13</v>
      </c>
      <c r="C18" s="24" t="s">
        <v>21</v>
      </c>
      <c r="D18" s="24" t="s">
        <v>10</v>
      </c>
      <c r="E18" s="24" t="s">
        <v>11</v>
      </c>
      <c r="F18" s="24" t="s">
        <v>12</v>
      </c>
      <c r="G18" s="28">
        <v>100000000</v>
      </c>
      <c r="H18" s="28">
        <v>72903049</v>
      </c>
      <c r="I18" s="28">
        <v>67375493</v>
      </c>
      <c r="J18" s="28">
        <v>4753995</v>
      </c>
      <c r="K18" s="59">
        <f t="shared" si="0"/>
        <v>145032537</v>
      </c>
      <c r="L18" s="62">
        <f t="shared" si="1"/>
        <v>245032537</v>
      </c>
      <c r="M18" s="65">
        <f t="shared" si="2"/>
        <v>61258134.25</v>
      </c>
      <c r="N18" s="71">
        <f t="shared" si="3"/>
        <v>61258134</v>
      </c>
      <c r="O18" s="68"/>
      <c r="P18" s="68"/>
      <c r="Q18" s="68"/>
      <c r="R18" s="43"/>
      <c r="S18" s="267"/>
      <c r="T18" s="267"/>
    </row>
    <row r="19" spans="1:20">
      <c r="A19" s="23" t="s">
        <v>105</v>
      </c>
      <c r="B19" s="24" t="s">
        <v>13</v>
      </c>
      <c r="C19" s="24" t="s">
        <v>54</v>
      </c>
      <c r="D19" s="24" t="s">
        <v>55</v>
      </c>
      <c r="E19" s="24" t="s">
        <v>56</v>
      </c>
      <c r="F19" s="24" t="s">
        <v>12</v>
      </c>
      <c r="G19" s="28">
        <v>0</v>
      </c>
      <c r="H19" s="28">
        <v>0</v>
      </c>
      <c r="I19" s="28">
        <v>80671052</v>
      </c>
      <c r="J19" s="28">
        <v>58339670</v>
      </c>
      <c r="K19" s="59">
        <f t="shared" si="0"/>
        <v>139010722</v>
      </c>
      <c r="L19" s="62">
        <f t="shared" si="1"/>
        <v>139010722</v>
      </c>
      <c r="M19" s="65">
        <f t="shared" si="2"/>
        <v>34752680.5</v>
      </c>
      <c r="N19" s="71">
        <f t="shared" si="3"/>
        <v>34752681</v>
      </c>
      <c r="O19" s="68"/>
      <c r="P19" s="68"/>
      <c r="Q19" s="68"/>
      <c r="R19" s="43"/>
      <c r="S19" s="266"/>
      <c r="T19" s="266"/>
    </row>
    <row r="20" spans="1:20">
      <c r="A20" s="23" t="s">
        <v>123</v>
      </c>
      <c r="B20" s="24" t="s">
        <v>32</v>
      </c>
      <c r="C20" s="24" t="s">
        <v>25</v>
      </c>
      <c r="D20" s="24" t="s">
        <v>17</v>
      </c>
      <c r="E20" s="25" t="s">
        <v>18</v>
      </c>
      <c r="F20" s="24" t="s">
        <v>30</v>
      </c>
      <c r="G20" s="28">
        <v>0</v>
      </c>
      <c r="H20" s="28">
        <v>0</v>
      </c>
      <c r="I20" s="28">
        <v>0</v>
      </c>
      <c r="J20" s="28">
        <v>44898366</v>
      </c>
      <c r="K20" s="59">
        <f t="shared" si="0"/>
        <v>44898366</v>
      </c>
      <c r="L20" s="62">
        <f t="shared" si="1"/>
        <v>44898366</v>
      </c>
      <c r="M20" s="65">
        <f t="shared" si="2"/>
        <v>11224591.5</v>
      </c>
      <c r="N20" s="71">
        <f t="shared" si="3"/>
        <v>11224592</v>
      </c>
      <c r="O20" s="68"/>
      <c r="P20" s="68"/>
      <c r="Q20" s="68"/>
      <c r="R20" s="43"/>
      <c r="S20" s="266"/>
      <c r="T20" s="266"/>
    </row>
    <row r="21" spans="1:20">
      <c r="A21" s="23" t="s">
        <v>126</v>
      </c>
      <c r="B21" s="24" t="s">
        <v>13</v>
      </c>
      <c r="C21" s="24" t="s">
        <v>21</v>
      </c>
      <c r="D21" s="24" t="s">
        <v>10</v>
      </c>
      <c r="E21" s="24" t="s">
        <v>27</v>
      </c>
      <c r="F21" s="24" t="s">
        <v>12</v>
      </c>
      <c r="G21" s="28">
        <v>1000000</v>
      </c>
      <c r="H21" s="28">
        <v>96696256</v>
      </c>
      <c r="I21" s="28">
        <v>62106884</v>
      </c>
      <c r="J21" s="28">
        <v>85228190</v>
      </c>
      <c r="K21" s="59">
        <f t="shared" si="0"/>
        <v>244031330</v>
      </c>
      <c r="L21" s="62">
        <f t="shared" si="1"/>
        <v>245031330</v>
      </c>
      <c r="M21" s="65">
        <f t="shared" si="2"/>
        <v>61257832.5</v>
      </c>
      <c r="N21" s="71">
        <f t="shared" si="3"/>
        <v>61257833</v>
      </c>
      <c r="O21" s="68"/>
      <c r="P21" s="68"/>
      <c r="Q21" s="68"/>
      <c r="R21" s="43"/>
      <c r="S21" s="266"/>
      <c r="T21" s="266"/>
    </row>
    <row r="22" spans="1:20">
      <c r="A22" s="23" t="s">
        <v>62</v>
      </c>
      <c r="B22" s="24" t="s">
        <v>13</v>
      </c>
      <c r="C22" s="24" t="s">
        <v>21</v>
      </c>
      <c r="D22" s="24" t="s">
        <v>10</v>
      </c>
      <c r="E22" s="24" t="s">
        <v>27</v>
      </c>
      <c r="F22" s="24" t="s">
        <v>12</v>
      </c>
      <c r="G22" s="28">
        <v>10000000</v>
      </c>
      <c r="H22" s="28">
        <v>51531809</v>
      </c>
      <c r="I22" s="28">
        <v>99819688</v>
      </c>
      <c r="J22" s="28">
        <v>24233431</v>
      </c>
      <c r="K22" s="59">
        <f t="shared" si="0"/>
        <v>175584928</v>
      </c>
      <c r="L22" s="62">
        <f t="shared" si="1"/>
        <v>185584928</v>
      </c>
      <c r="M22" s="65">
        <f t="shared" si="2"/>
        <v>46396232</v>
      </c>
      <c r="N22" s="71">
        <f t="shared" si="3"/>
        <v>46396232</v>
      </c>
      <c r="O22" s="68"/>
      <c r="P22" s="68"/>
      <c r="Q22" s="68"/>
      <c r="R22" s="43"/>
      <c r="S22" s="266"/>
      <c r="T22" s="266"/>
    </row>
    <row r="23" spans="1:20">
      <c r="A23" s="23" t="s">
        <v>97</v>
      </c>
      <c r="B23" s="24" t="s">
        <v>13</v>
      </c>
      <c r="C23" s="24" t="s">
        <v>15</v>
      </c>
      <c r="D23" s="24" t="s">
        <v>10</v>
      </c>
      <c r="E23" s="25" t="s">
        <v>11</v>
      </c>
      <c r="F23" s="24" t="s">
        <v>30</v>
      </c>
      <c r="G23" s="28">
        <v>0</v>
      </c>
      <c r="H23" s="28">
        <v>0</v>
      </c>
      <c r="I23" s="28">
        <v>34214902</v>
      </c>
      <c r="J23" s="28">
        <v>24896611</v>
      </c>
      <c r="K23" s="59">
        <f t="shared" si="0"/>
        <v>59111513</v>
      </c>
      <c r="L23" s="62">
        <f t="shared" si="1"/>
        <v>59111513</v>
      </c>
      <c r="M23" s="65">
        <f t="shared" si="2"/>
        <v>14777878.25</v>
      </c>
      <c r="N23" s="71">
        <f t="shared" si="3"/>
        <v>14777878</v>
      </c>
      <c r="O23" s="68"/>
      <c r="P23" s="68"/>
      <c r="Q23" s="68"/>
      <c r="R23" s="43"/>
      <c r="S23" s="266"/>
      <c r="T23" s="266"/>
    </row>
    <row r="24" spans="1:20">
      <c r="A24" s="23" t="s">
        <v>101</v>
      </c>
      <c r="B24" s="25" t="s">
        <v>102</v>
      </c>
      <c r="C24" s="24" t="s">
        <v>25</v>
      </c>
      <c r="D24" s="24" t="s">
        <v>17</v>
      </c>
      <c r="E24" s="25" t="s">
        <v>23</v>
      </c>
      <c r="F24" s="24" t="s">
        <v>12</v>
      </c>
      <c r="G24" s="28">
        <v>0</v>
      </c>
      <c r="H24" s="28">
        <v>0</v>
      </c>
      <c r="I24" s="28">
        <v>7121108</v>
      </c>
      <c r="J24" s="28">
        <v>6991703</v>
      </c>
      <c r="K24" s="59">
        <f t="shared" si="0"/>
        <v>14112811</v>
      </c>
      <c r="L24" s="62">
        <f t="shared" si="1"/>
        <v>14112811</v>
      </c>
      <c r="M24" s="65">
        <f t="shared" si="2"/>
        <v>3528202.75</v>
      </c>
      <c r="N24" s="71">
        <f t="shared" si="3"/>
        <v>3528203</v>
      </c>
      <c r="O24" s="68"/>
      <c r="P24" s="68"/>
      <c r="Q24" s="68"/>
      <c r="R24" s="43"/>
      <c r="S24" s="266"/>
      <c r="T24" s="266"/>
    </row>
    <row r="25" spans="1:20">
      <c r="A25" s="23" t="s">
        <v>103</v>
      </c>
      <c r="B25" s="24" t="s">
        <v>13</v>
      </c>
      <c r="C25" s="24" t="s">
        <v>15</v>
      </c>
      <c r="D25" s="24" t="s">
        <v>10</v>
      </c>
      <c r="E25" s="24" t="s">
        <v>11</v>
      </c>
      <c r="F25" s="24" t="s">
        <v>12</v>
      </c>
      <c r="G25" s="28">
        <v>20000000</v>
      </c>
      <c r="H25" s="28">
        <v>93037614</v>
      </c>
      <c r="I25" s="28">
        <v>48185946</v>
      </c>
      <c r="J25" s="28">
        <v>75039300</v>
      </c>
      <c r="K25" s="59">
        <f t="shared" si="0"/>
        <v>216262860</v>
      </c>
      <c r="L25" s="62">
        <f t="shared" si="1"/>
        <v>236262860</v>
      </c>
      <c r="M25" s="65">
        <f t="shared" si="2"/>
        <v>59065715</v>
      </c>
      <c r="N25" s="71">
        <f t="shared" si="3"/>
        <v>59065715</v>
      </c>
      <c r="O25" s="68"/>
      <c r="P25" s="68"/>
      <c r="Q25" s="68"/>
      <c r="R25" s="43"/>
      <c r="S25" s="266"/>
      <c r="T25" s="266"/>
    </row>
    <row r="26" spans="1:20">
      <c r="A26" s="23" t="s">
        <v>35</v>
      </c>
      <c r="B26" s="24" t="s">
        <v>13</v>
      </c>
      <c r="C26" s="24" t="s">
        <v>21</v>
      </c>
      <c r="D26" s="24" t="s">
        <v>10</v>
      </c>
      <c r="E26" s="24" t="s">
        <v>11</v>
      </c>
      <c r="F26" s="24" t="s">
        <v>12</v>
      </c>
      <c r="G26" s="28">
        <v>90000000</v>
      </c>
      <c r="H26" s="28">
        <v>62088180</v>
      </c>
      <c r="I26" s="28">
        <v>18047519</v>
      </c>
      <c r="J26" s="28">
        <v>3738158</v>
      </c>
      <c r="K26" s="59">
        <f t="shared" si="0"/>
        <v>83873857</v>
      </c>
      <c r="L26" s="62">
        <f t="shared" si="1"/>
        <v>173873857</v>
      </c>
      <c r="M26" s="65">
        <f t="shared" si="2"/>
        <v>43468464.25</v>
      </c>
      <c r="N26" s="71">
        <f t="shared" si="3"/>
        <v>43468464</v>
      </c>
      <c r="O26" s="68"/>
      <c r="P26" s="68"/>
      <c r="Q26" s="68"/>
      <c r="R26" s="43"/>
      <c r="S26" s="266"/>
      <c r="T26" s="266"/>
    </row>
    <row r="27" spans="1:20">
      <c r="A27" s="23" t="s">
        <v>61</v>
      </c>
      <c r="B27" s="24" t="s">
        <v>13</v>
      </c>
      <c r="C27" s="24" t="s">
        <v>25</v>
      </c>
      <c r="D27" s="24" t="s">
        <v>10</v>
      </c>
      <c r="E27" s="24" t="s">
        <v>11</v>
      </c>
      <c r="F27" s="24" t="s">
        <v>12</v>
      </c>
      <c r="G27" s="28">
        <v>1000000</v>
      </c>
      <c r="H27" s="28">
        <v>1160848</v>
      </c>
      <c r="I27" s="28">
        <v>32268145</v>
      </c>
      <c r="J27" s="28">
        <v>13339687</v>
      </c>
      <c r="K27" s="59">
        <f t="shared" si="0"/>
        <v>46768680</v>
      </c>
      <c r="L27" s="62">
        <f t="shared" si="1"/>
        <v>47768680</v>
      </c>
      <c r="M27" s="65">
        <f t="shared" si="2"/>
        <v>11942170</v>
      </c>
      <c r="N27" s="71">
        <f t="shared" si="3"/>
        <v>11942170</v>
      </c>
      <c r="O27" s="68"/>
      <c r="P27" s="68"/>
      <c r="Q27" s="68"/>
      <c r="R27" s="43"/>
      <c r="S27" s="266"/>
      <c r="T27" s="266"/>
    </row>
    <row r="28" spans="1:20">
      <c r="A28" s="23" t="s">
        <v>124</v>
      </c>
      <c r="B28" s="24" t="s">
        <v>13</v>
      </c>
      <c r="C28" s="24" t="s">
        <v>21</v>
      </c>
      <c r="D28" s="24" t="s">
        <v>17</v>
      </c>
      <c r="E28" s="25" t="s">
        <v>23</v>
      </c>
      <c r="F28" s="24" t="s">
        <v>12</v>
      </c>
      <c r="G28" s="28">
        <v>0</v>
      </c>
      <c r="H28" s="28">
        <v>0</v>
      </c>
      <c r="I28" s="28">
        <v>21224611</v>
      </c>
      <c r="J28" s="28">
        <v>62562457</v>
      </c>
      <c r="K28" s="59">
        <f t="shared" si="0"/>
        <v>83787068</v>
      </c>
      <c r="L28" s="62">
        <f t="shared" si="1"/>
        <v>83787068</v>
      </c>
      <c r="M28" s="65">
        <f t="shared" si="2"/>
        <v>20946767</v>
      </c>
      <c r="N28" s="71">
        <f t="shared" si="3"/>
        <v>20946767</v>
      </c>
      <c r="O28" s="68"/>
      <c r="P28" s="68"/>
      <c r="Q28" s="68"/>
      <c r="R28" s="43"/>
      <c r="S28" s="266"/>
      <c r="T28" s="266"/>
    </row>
    <row r="29" spans="1:20">
      <c r="A29" s="23" t="s">
        <v>33</v>
      </c>
      <c r="B29" s="24" t="s">
        <v>13</v>
      </c>
      <c r="C29" s="24" t="s">
        <v>25</v>
      </c>
      <c r="D29" s="24" t="s">
        <v>17</v>
      </c>
      <c r="E29" s="25" t="s">
        <v>23</v>
      </c>
      <c r="F29" s="24" t="s">
        <v>12</v>
      </c>
      <c r="G29" s="28">
        <v>0</v>
      </c>
      <c r="H29" s="28">
        <v>0</v>
      </c>
      <c r="I29" s="28">
        <v>85434615</v>
      </c>
      <c r="J29" s="28">
        <v>79508333</v>
      </c>
      <c r="K29" s="59">
        <f t="shared" si="0"/>
        <v>164942948</v>
      </c>
      <c r="L29" s="62">
        <f t="shared" si="1"/>
        <v>164942948</v>
      </c>
      <c r="M29" s="65">
        <f t="shared" si="2"/>
        <v>41235737</v>
      </c>
      <c r="N29" s="71">
        <f t="shared" si="3"/>
        <v>41235737</v>
      </c>
      <c r="O29" s="68"/>
      <c r="P29" s="68"/>
      <c r="Q29" s="68"/>
      <c r="R29" s="43"/>
      <c r="S29" s="266"/>
      <c r="T29" s="266"/>
    </row>
    <row r="30" spans="1:20">
      <c r="A30" s="23" t="s">
        <v>85</v>
      </c>
      <c r="B30" s="24" t="s">
        <v>13</v>
      </c>
      <c r="C30" s="24" t="s">
        <v>21</v>
      </c>
      <c r="D30" s="24" t="s">
        <v>10</v>
      </c>
      <c r="E30" s="24" t="s">
        <v>27</v>
      </c>
      <c r="F30" s="24" t="s">
        <v>12</v>
      </c>
      <c r="G30" s="28">
        <v>90000000</v>
      </c>
      <c r="H30" s="28">
        <v>23888885</v>
      </c>
      <c r="I30" s="28">
        <v>68725539</v>
      </c>
      <c r="J30" s="28">
        <v>78613526</v>
      </c>
      <c r="K30" s="59">
        <f t="shared" si="0"/>
        <v>171227950</v>
      </c>
      <c r="L30" s="62">
        <f t="shared" si="1"/>
        <v>261227950</v>
      </c>
      <c r="M30" s="65">
        <f t="shared" si="2"/>
        <v>65306987.5</v>
      </c>
      <c r="N30" s="71">
        <f t="shared" si="3"/>
        <v>65306988</v>
      </c>
      <c r="O30" s="68"/>
      <c r="P30" s="68"/>
      <c r="Q30" s="68"/>
      <c r="R30" s="43"/>
      <c r="S30" s="266"/>
      <c r="T30" s="266"/>
    </row>
    <row r="31" spans="1:20">
      <c r="A31" s="23" t="s">
        <v>110</v>
      </c>
      <c r="B31" s="24" t="s">
        <v>13</v>
      </c>
      <c r="C31" s="24" t="s">
        <v>25</v>
      </c>
      <c r="D31" s="24" t="s">
        <v>10</v>
      </c>
      <c r="E31" s="24" t="s">
        <v>11</v>
      </c>
      <c r="F31" s="24" t="s">
        <v>30</v>
      </c>
      <c r="G31" s="28">
        <v>10000000</v>
      </c>
      <c r="H31" s="28">
        <v>23464528</v>
      </c>
      <c r="I31" s="28">
        <v>904543</v>
      </c>
      <c r="J31" s="28">
        <v>0</v>
      </c>
      <c r="K31" s="59">
        <f t="shared" si="0"/>
        <v>24369071</v>
      </c>
      <c r="L31" s="62">
        <f t="shared" si="1"/>
        <v>34369071</v>
      </c>
      <c r="M31" s="65">
        <f t="shared" si="2"/>
        <v>8592267.75</v>
      </c>
      <c r="N31" s="71">
        <f t="shared" si="3"/>
        <v>8592268</v>
      </c>
      <c r="O31" s="68"/>
      <c r="P31" s="68"/>
      <c r="Q31" s="68"/>
      <c r="R31" s="43"/>
      <c r="S31" s="266"/>
      <c r="T31" s="266"/>
    </row>
    <row r="32" spans="1:20">
      <c r="A32" s="23" t="s">
        <v>132</v>
      </c>
      <c r="B32" s="24" t="s">
        <v>13</v>
      </c>
      <c r="C32" s="24" t="s">
        <v>15</v>
      </c>
      <c r="D32" s="24" t="s">
        <v>17</v>
      </c>
      <c r="E32" s="25" t="s">
        <v>23</v>
      </c>
      <c r="F32" s="24" t="s">
        <v>12</v>
      </c>
      <c r="G32" s="28">
        <v>0</v>
      </c>
      <c r="H32" s="28">
        <v>0</v>
      </c>
      <c r="I32" s="28">
        <v>66204884</v>
      </c>
      <c r="J32" s="28">
        <v>27801447</v>
      </c>
      <c r="K32" s="59">
        <f t="shared" si="0"/>
        <v>94006331</v>
      </c>
      <c r="L32" s="62">
        <f t="shared" si="1"/>
        <v>94006331</v>
      </c>
      <c r="M32" s="65">
        <f t="shared" si="2"/>
        <v>23501582.75</v>
      </c>
      <c r="N32" s="71">
        <f t="shared" si="3"/>
        <v>23501583</v>
      </c>
      <c r="O32" s="68"/>
      <c r="P32" s="68"/>
      <c r="Q32" s="68"/>
      <c r="R32" s="43"/>
      <c r="S32" s="266"/>
      <c r="T32" s="266"/>
    </row>
    <row r="33" spans="1:20">
      <c r="A33" s="23" t="s">
        <v>91</v>
      </c>
      <c r="B33" s="24" t="s">
        <v>32</v>
      </c>
      <c r="C33" s="24" t="s">
        <v>25</v>
      </c>
      <c r="D33" s="24" t="s">
        <v>17</v>
      </c>
      <c r="E33" s="25" t="s">
        <v>18</v>
      </c>
      <c r="F33" s="24" t="s">
        <v>30</v>
      </c>
      <c r="G33" s="28">
        <v>0</v>
      </c>
      <c r="H33" s="28">
        <v>0</v>
      </c>
      <c r="I33" s="28">
        <v>30987169</v>
      </c>
      <c r="J33" s="28">
        <v>7339680</v>
      </c>
      <c r="K33" s="59">
        <f t="shared" si="0"/>
        <v>38326849</v>
      </c>
      <c r="L33" s="62">
        <f t="shared" si="1"/>
        <v>38326849</v>
      </c>
      <c r="M33" s="65">
        <f t="shared" si="2"/>
        <v>9581712.25</v>
      </c>
      <c r="N33" s="71">
        <f t="shared" si="3"/>
        <v>9581712</v>
      </c>
      <c r="O33" s="68"/>
      <c r="P33" s="68"/>
      <c r="Q33" s="68"/>
      <c r="R33" s="43"/>
      <c r="S33" s="266"/>
      <c r="T33" s="266"/>
    </row>
    <row r="34" spans="1:20">
      <c r="A34" s="23" t="s">
        <v>109</v>
      </c>
      <c r="B34" s="24" t="s">
        <v>13</v>
      </c>
      <c r="C34" s="24" t="s">
        <v>21</v>
      </c>
      <c r="D34" s="24" t="s">
        <v>10</v>
      </c>
      <c r="E34" s="24" t="s">
        <v>11</v>
      </c>
      <c r="F34" s="24" t="s">
        <v>12</v>
      </c>
      <c r="G34" s="28">
        <v>10000000</v>
      </c>
      <c r="H34" s="28">
        <v>22390348</v>
      </c>
      <c r="I34" s="28">
        <v>24476166</v>
      </c>
      <c r="J34" s="28">
        <v>0</v>
      </c>
      <c r="K34" s="59">
        <f t="shared" si="0"/>
        <v>46866514</v>
      </c>
      <c r="L34" s="62">
        <f t="shared" si="1"/>
        <v>56866514</v>
      </c>
      <c r="M34" s="65">
        <f t="shared" si="2"/>
        <v>14216628.5</v>
      </c>
      <c r="N34" s="71">
        <f t="shared" si="3"/>
        <v>14216629</v>
      </c>
      <c r="O34" s="68"/>
      <c r="P34" s="68"/>
      <c r="Q34" s="68"/>
      <c r="R34" s="43"/>
      <c r="S34" s="266"/>
      <c r="T34" s="266"/>
    </row>
    <row r="35" spans="1:20">
      <c r="A35" s="23" t="s">
        <v>127</v>
      </c>
      <c r="B35" s="24" t="s">
        <v>13</v>
      </c>
      <c r="C35" s="24" t="s">
        <v>25</v>
      </c>
      <c r="D35" s="24" t="s">
        <v>10</v>
      </c>
      <c r="E35" s="24" t="s">
        <v>27</v>
      </c>
      <c r="F35" s="24" t="s">
        <v>12</v>
      </c>
      <c r="G35" s="28">
        <v>20000000</v>
      </c>
      <c r="H35" s="28">
        <v>31670482</v>
      </c>
      <c r="I35" s="28">
        <v>15619630</v>
      </c>
      <c r="J35" s="28">
        <v>59838390</v>
      </c>
      <c r="K35" s="59">
        <f t="shared" si="0"/>
        <v>107128502</v>
      </c>
      <c r="L35" s="62">
        <f t="shared" si="1"/>
        <v>127128502</v>
      </c>
      <c r="M35" s="65">
        <f t="shared" si="2"/>
        <v>31782125.5</v>
      </c>
      <c r="N35" s="71">
        <f t="shared" si="3"/>
        <v>31782126</v>
      </c>
      <c r="O35" s="68"/>
      <c r="P35" s="68"/>
      <c r="Q35" s="68"/>
      <c r="R35" s="43"/>
      <c r="S35" s="266"/>
      <c r="T35" s="266"/>
    </row>
    <row r="36" spans="1:20">
      <c r="A36" s="23" t="s">
        <v>48</v>
      </c>
      <c r="B36" s="24" t="s">
        <v>13</v>
      </c>
      <c r="C36" s="24" t="s">
        <v>9</v>
      </c>
      <c r="D36" s="24" t="s">
        <v>10</v>
      </c>
      <c r="E36" s="24" t="s">
        <v>27</v>
      </c>
      <c r="F36" s="24" t="s">
        <v>12</v>
      </c>
      <c r="G36" s="28">
        <v>20000000</v>
      </c>
      <c r="H36" s="28">
        <v>81056910</v>
      </c>
      <c r="I36" s="28">
        <v>96438403</v>
      </c>
      <c r="J36" s="28">
        <v>90723423</v>
      </c>
      <c r="K36" s="59">
        <f t="shared" si="0"/>
        <v>268218736</v>
      </c>
      <c r="L36" s="62">
        <f t="shared" si="1"/>
        <v>288218736</v>
      </c>
      <c r="M36" s="65">
        <f t="shared" si="2"/>
        <v>72054684</v>
      </c>
      <c r="N36" s="71">
        <f t="shared" si="3"/>
        <v>72054684</v>
      </c>
      <c r="O36" s="68"/>
      <c r="P36" s="68"/>
      <c r="Q36" s="68"/>
      <c r="R36" s="43"/>
      <c r="S36" s="266"/>
      <c r="T36" s="266"/>
    </row>
    <row r="37" spans="1:20">
      <c r="A37" s="23" t="s">
        <v>79</v>
      </c>
      <c r="B37" s="24" t="s">
        <v>13</v>
      </c>
      <c r="C37" s="24" t="s">
        <v>21</v>
      </c>
      <c r="D37" s="24" t="s">
        <v>55</v>
      </c>
      <c r="E37" s="24" t="s">
        <v>80</v>
      </c>
      <c r="F37" s="24" t="s">
        <v>12</v>
      </c>
      <c r="G37" s="28">
        <v>0</v>
      </c>
      <c r="H37" s="28">
        <v>0</v>
      </c>
      <c r="I37" s="28">
        <v>0</v>
      </c>
      <c r="J37" s="28">
        <v>52936315</v>
      </c>
      <c r="K37" s="59">
        <f t="shared" si="0"/>
        <v>52936315</v>
      </c>
      <c r="L37" s="62">
        <f t="shared" si="1"/>
        <v>52936315</v>
      </c>
      <c r="M37" s="65">
        <f t="shared" si="2"/>
        <v>13234078.75</v>
      </c>
      <c r="N37" s="71">
        <f t="shared" si="3"/>
        <v>13234079</v>
      </c>
      <c r="O37" s="68"/>
      <c r="P37" s="68"/>
      <c r="Q37" s="68"/>
      <c r="R37" s="43"/>
      <c r="S37" s="266"/>
      <c r="T37" s="266"/>
    </row>
    <row r="38" spans="1:20">
      <c r="A38" s="23" t="s">
        <v>113</v>
      </c>
      <c r="B38" s="24" t="s">
        <v>13</v>
      </c>
      <c r="C38" s="24" t="s">
        <v>21</v>
      </c>
      <c r="D38" s="24" t="s">
        <v>10</v>
      </c>
      <c r="E38" s="24" t="s">
        <v>11</v>
      </c>
      <c r="F38" s="24" t="s">
        <v>12</v>
      </c>
      <c r="G38" s="28">
        <v>30000000</v>
      </c>
      <c r="H38" s="28">
        <v>91413171</v>
      </c>
      <c r="I38" s="28">
        <v>13211402</v>
      </c>
      <c r="J38" s="28">
        <v>0</v>
      </c>
      <c r="K38" s="59">
        <f t="shared" si="0"/>
        <v>104624573</v>
      </c>
      <c r="L38" s="62">
        <f t="shared" si="1"/>
        <v>134624573</v>
      </c>
      <c r="M38" s="65">
        <f t="shared" si="2"/>
        <v>33656143.25</v>
      </c>
      <c r="N38" s="71">
        <f t="shared" si="3"/>
        <v>33656143</v>
      </c>
      <c r="O38" s="68"/>
      <c r="P38" s="68"/>
      <c r="Q38" s="68"/>
      <c r="R38" s="43"/>
      <c r="S38" s="266"/>
      <c r="T38" s="266"/>
    </row>
    <row r="39" spans="1:20">
      <c r="A39" s="23" t="s">
        <v>36</v>
      </c>
      <c r="B39" s="24" t="s">
        <v>13</v>
      </c>
      <c r="C39" s="24" t="s">
        <v>9</v>
      </c>
      <c r="D39" s="24" t="s">
        <v>10</v>
      </c>
      <c r="E39" s="24" t="s">
        <v>27</v>
      </c>
      <c r="F39" s="24" t="s">
        <v>12</v>
      </c>
      <c r="G39" s="28">
        <v>1000000</v>
      </c>
      <c r="H39" s="28">
        <v>87347043</v>
      </c>
      <c r="I39" s="28">
        <v>50796112</v>
      </c>
      <c r="J39" s="28">
        <v>72757830</v>
      </c>
      <c r="K39" s="59">
        <f t="shared" si="0"/>
        <v>210900985</v>
      </c>
      <c r="L39" s="62">
        <f t="shared" si="1"/>
        <v>211900985</v>
      </c>
      <c r="M39" s="65">
        <f t="shared" si="2"/>
        <v>52975246.25</v>
      </c>
      <c r="N39" s="71">
        <f t="shared" si="3"/>
        <v>52975246</v>
      </c>
      <c r="O39" s="68"/>
      <c r="P39" s="68"/>
      <c r="Q39" s="68"/>
      <c r="R39" s="43"/>
      <c r="S39" s="266"/>
      <c r="T39" s="266"/>
    </row>
    <row r="40" spans="1:20">
      <c r="A40" s="23" t="s">
        <v>44</v>
      </c>
      <c r="B40" s="24" t="s">
        <v>13</v>
      </c>
      <c r="C40" s="24" t="s">
        <v>25</v>
      </c>
      <c r="D40" s="24" t="s">
        <v>17</v>
      </c>
      <c r="E40" s="25" t="s">
        <v>18</v>
      </c>
      <c r="F40" s="24" t="s">
        <v>12</v>
      </c>
      <c r="G40" s="28">
        <v>0</v>
      </c>
      <c r="H40" s="28">
        <v>0</v>
      </c>
      <c r="I40" s="28">
        <v>38721754</v>
      </c>
      <c r="J40" s="28">
        <v>77230635</v>
      </c>
      <c r="K40" s="59">
        <f t="shared" si="0"/>
        <v>115952389</v>
      </c>
      <c r="L40" s="62">
        <f t="shared" si="1"/>
        <v>115952389</v>
      </c>
      <c r="M40" s="65">
        <f t="shared" si="2"/>
        <v>28988097.25</v>
      </c>
      <c r="N40" s="71">
        <f t="shared" si="3"/>
        <v>28988097</v>
      </c>
      <c r="O40" s="68"/>
      <c r="P40" s="68"/>
      <c r="Q40" s="68"/>
      <c r="R40" s="43"/>
      <c r="S40" s="266"/>
      <c r="T40" s="266"/>
    </row>
    <row r="41" spans="1:20">
      <c r="A41" s="23" t="s">
        <v>100</v>
      </c>
      <c r="B41" s="24" t="s">
        <v>13</v>
      </c>
      <c r="C41" s="24" t="s">
        <v>21</v>
      </c>
      <c r="D41" s="24" t="s">
        <v>10</v>
      </c>
      <c r="E41" s="24" t="s">
        <v>27</v>
      </c>
      <c r="F41" s="24" t="s">
        <v>12</v>
      </c>
      <c r="G41" s="28">
        <v>10000000</v>
      </c>
      <c r="H41" s="28">
        <v>43538967</v>
      </c>
      <c r="I41" s="28">
        <v>5161300</v>
      </c>
      <c r="J41" s="28">
        <v>85417673</v>
      </c>
      <c r="K41" s="59">
        <f t="shared" si="0"/>
        <v>134117940</v>
      </c>
      <c r="L41" s="62">
        <f t="shared" si="1"/>
        <v>144117940</v>
      </c>
      <c r="M41" s="65">
        <f t="shared" si="2"/>
        <v>36029485</v>
      </c>
      <c r="N41" s="71">
        <f t="shared" si="3"/>
        <v>36029485</v>
      </c>
      <c r="O41" s="68"/>
      <c r="P41" s="68"/>
      <c r="Q41" s="68"/>
      <c r="R41" s="43"/>
      <c r="S41" s="266"/>
      <c r="T41" s="266"/>
    </row>
    <row r="42" spans="1:20">
      <c r="A42" s="23" t="s">
        <v>42</v>
      </c>
      <c r="B42" s="24" t="s">
        <v>13</v>
      </c>
      <c r="C42" s="24" t="s">
        <v>21</v>
      </c>
      <c r="D42" s="24" t="s">
        <v>10</v>
      </c>
      <c r="E42" s="24" t="s">
        <v>27</v>
      </c>
      <c r="F42" s="24" t="s">
        <v>30</v>
      </c>
      <c r="G42" s="28">
        <v>1000000</v>
      </c>
      <c r="H42" s="28">
        <v>95899452</v>
      </c>
      <c r="I42" s="28">
        <v>2565664</v>
      </c>
      <c r="J42" s="28">
        <v>39602953</v>
      </c>
      <c r="K42" s="59">
        <f t="shared" si="0"/>
        <v>138068069</v>
      </c>
      <c r="L42" s="62">
        <f t="shared" si="1"/>
        <v>139068069</v>
      </c>
      <c r="M42" s="65">
        <f t="shared" si="2"/>
        <v>34767017.25</v>
      </c>
      <c r="N42" s="71">
        <f t="shared" si="3"/>
        <v>34767017</v>
      </c>
      <c r="O42" s="68"/>
      <c r="P42" s="68"/>
      <c r="Q42" s="68"/>
      <c r="R42" s="43"/>
      <c r="S42" s="266"/>
      <c r="T42" s="266"/>
    </row>
    <row r="43" spans="1:20">
      <c r="A43" s="23" t="s">
        <v>39</v>
      </c>
      <c r="B43" s="24" t="s">
        <v>13</v>
      </c>
      <c r="C43" s="24" t="s">
        <v>21</v>
      </c>
      <c r="D43" s="24" t="s">
        <v>10</v>
      </c>
      <c r="E43" s="24" t="s">
        <v>27</v>
      </c>
      <c r="F43" s="24" t="s">
        <v>30</v>
      </c>
      <c r="G43" s="28">
        <v>1000000</v>
      </c>
      <c r="H43" s="28">
        <v>81347428</v>
      </c>
      <c r="I43" s="28">
        <v>10860215</v>
      </c>
      <c r="J43" s="28">
        <v>28637290</v>
      </c>
      <c r="K43" s="59">
        <f t="shared" si="0"/>
        <v>120844933</v>
      </c>
      <c r="L43" s="62">
        <f t="shared" si="1"/>
        <v>121844933</v>
      </c>
      <c r="M43" s="65">
        <f t="shared" si="2"/>
        <v>30461233.25</v>
      </c>
      <c r="N43" s="71">
        <f t="shared" si="3"/>
        <v>30461233</v>
      </c>
      <c r="O43" s="68"/>
      <c r="P43" s="68"/>
      <c r="Q43" s="68"/>
      <c r="R43" s="43"/>
      <c r="S43" s="266"/>
      <c r="T43" s="266"/>
    </row>
    <row r="44" spans="1:20">
      <c r="A44" s="23" t="s">
        <v>120</v>
      </c>
      <c r="B44" s="24" t="s">
        <v>13</v>
      </c>
      <c r="C44" s="24" t="s">
        <v>25</v>
      </c>
      <c r="D44" s="24" t="s">
        <v>10</v>
      </c>
      <c r="E44" s="24" t="s">
        <v>27</v>
      </c>
      <c r="F44" s="24" t="s">
        <v>30</v>
      </c>
      <c r="G44" s="28">
        <v>30000000</v>
      </c>
      <c r="H44" s="28">
        <v>52442860</v>
      </c>
      <c r="I44" s="28">
        <v>2659881</v>
      </c>
      <c r="J44" s="28">
        <v>80287314</v>
      </c>
      <c r="K44" s="59">
        <f t="shared" si="0"/>
        <v>135390055</v>
      </c>
      <c r="L44" s="62">
        <f t="shared" si="1"/>
        <v>165390055</v>
      </c>
      <c r="M44" s="65">
        <f t="shared" si="2"/>
        <v>41347513.75</v>
      </c>
      <c r="N44" s="71">
        <f t="shared" si="3"/>
        <v>41347514</v>
      </c>
      <c r="O44" s="68"/>
      <c r="P44" s="68"/>
      <c r="Q44" s="68"/>
      <c r="R44" s="43"/>
      <c r="S44" s="266"/>
      <c r="T44" s="266"/>
    </row>
    <row r="45" spans="1:20">
      <c r="A45" s="23" t="s">
        <v>43</v>
      </c>
      <c r="B45" s="24" t="s">
        <v>13</v>
      </c>
      <c r="C45" s="24" t="s">
        <v>21</v>
      </c>
      <c r="D45" s="24" t="s">
        <v>10</v>
      </c>
      <c r="E45" s="24" t="s">
        <v>27</v>
      </c>
      <c r="F45" s="24" t="s">
        <v>30</v>
      </c>
      <c r="G45" s="28">
        <v>10000000</v>
      </c>
      <c r="H45" s="28">
        <v>96199053</v>
      </c>
      <c r="I45" s="28">
        <v>31746355</v>
      </c>
      <c r="J45" s="28">
        <v>80063468</v>
      </c>
      <c r="K45" s="59">
        <f t="shared" si="0"/>
        <v>208008876</v>
      </c>
      <c r="L45" s="62">
        <f t="shared" si="1"/>
        <v>218008876</v>
      </c>
      <c r="M45" s="65">
        <f t="shared" si="2"/>
        <v>54502219</v>
      </c>
      <c r="N45" s="71">
        <f t="shared" si="3"/>
        <v>54502219</v>
      </c>
      <c r="O45" s="68"/>
      <c r="P45" s="68"/>
      <c r="Q45" s="68"/>
      <c r="R45" s="43"/>
      <c r="S45" s="266"/>
      <c r="T45" s="266"/>
    </row>
    <row r="46" spans="1:20">
      <c r="A46" s="23" t="s">
        <v>106</v>
      </c>
      <c r="B46" s="24" t="s">
        <v>13</v>
      </c>
      <c r="C46" s="24" t="s">
        <v>21</v>
      </c>
      <c r="D46" s="24" t="s">
        <v>10</v>
      </c>
      <c r="E46" s="24" t="s">
        <v>27</v>
      </c>
      <c r="F46" s="24" t="s">
        <v>12</v>
      </c>
      <c r="G46" s="28">
        <v>1000000</v>
      </c>
      <c r="H46" s="28">
        <v>71783742</v>
      </c>
      <c r="I46" s="28">
        <v>64667814</v>
      </c>
      <c r="J46" s="28">
        <v>70653180</v>
      </c>
      <c r="K46" s="59">
        <f t="shared" si="0"/>
        <v>207104736</v>
      </c>
      <c r="L46" s="62">
        <f t="shared" si="1"/>
        <v>208104736</v>
      </c>
      <c r="M46" s="65">
        <f t="shared" si="2"/>
        <v>52026184</v>
      </c>
      <c r="N46" s="71">
        <f t="shared" si="3"/>
        <v>52026184</v>
      </c>
      <c r="O46" s="68"/>
      <c r="P46" s="68"/>
      <c r="Q46" s="68"/>
      <c r="R46" s="43"/>
      <c r="S46" s="266"/>
      <c r="T46" s="266"/>
    </row>
    <row r="47" spans="1:20">
      <c r="A47" s="23" t="s">
        <v>122</v>
      </c>
      <c r="B47" s="24" t="s">
        <v>13</v>
      </c>
      <c r="C47" s="24" t="s">
        <v>25</v>
      </c>
      <c r="D47" s="24" t="s">
        <v>10</v>
      </c>
      <c r="E47" s="24" t="s">
        <v>27</v>
      </c>
      <c r="F47" s="24" t="s">
        <v>12</v>
      </c>
      <c r="G47" s="28">
        <v>90000000</v>
      </c>
      <c r="H47" s="28">
        <v>94913746</v>
      </c>
      <c r="I47" s="28">
        <v>74083223</v>
      </c>
      <c r="J47" s="28">
        <v>31617670</v>
      </c>
      <c r="K47" s="59">
        <f t="shared" si="0"/>
        <v>200614639</v>
      </c>
      <c r="L47" s="62">
        <f t="shared" si="1"/>
        <v>290614639</v>
      </c>
      <c r="M47" s="65">
        <f t="shared" si="2"/>
        <v>72653659.75</v>
      </c>
      <c r="N47" s="71">
        <f t="shared" si="3"/>
        <v>72653660</v>
      </c>
      <c r="O47" s="68"/>
      <c r="P47" s="68"/>
      <c r="Q47" s="68"/>
      <c r="R47" s="43"/>
      <c r="S47" s="266"/>
      <c r="T47" s="266"/>
    </row>
    <row r="48" spans="1:20">
      <c r="A48" s="23" t="s">
        <v>121</v>
      </c>
      <c r="B48" s="24" t="s">
        <v>13</v>
      </c>
      <c r="C48" s="24" t="s">
        <v>25</v>
      </c>
      <c r="D48" s="24" t="s">
        <v>17</v>
      </c>
      <c r="E48" s="25" t="s">
        <v>23</v>
      </c>
      <c r="F48" s="24" t="s">
        <v>12</v>
      </c>
      <c r="G48" s="28">
        <v>0</v>
      </c>
      <c r="H48" s="28">
        <v>0</v>
      </c>
      <c r="I48" s="28">
        <v>67753952</v>
      </c>
      <c r="J48" s="28">
        <v>77205812</v>
      </c>
      <c r="K48" s="59">
        <f t="shared" si="0"/>
        <v>144959764</v>
      </c>
      <c r="L48" s="62">
        <f t="shared" si="1"/>
        <v>144959764</v>
      </c>
      <c r="M48" s="65">
        <f t="shared" si="2"/>
        <v>36239941</v>
      </c>
      <c r="N48" s="71">
        <f t="shared" si="3"/>
        <v>36239941</v>
      </c>
      <c r="O48" s="68"/>
      <c r="P48" s="68"/>
      <c r="Q48" s="68"/>
      <c r="R48" s="43"/>
      <c r="S48" s="266"/>
      <c r="T48" s="266"/>
    </row>
    <row r="49" spans="1:20">
      <c r="A49" s="23" t="s">
        <v>78</v>
      </c>
      <c r="B49" s="24" t="s">
        <v>32</v>
      </c>
      <c r="C49" s="24" t="s">
        <v>21</v>
      </c>
      <c r="D49" s="24" t="s">
        <v>10</v>
      </c>
      <c r="E49" s="24" t="s">
        <v>27</v>
      </c>
      <c r="F49" s="24" t="s">
        <v>30</v>
      </c>
      <c r="G49" s="28">
        <v>30000000</v>
      </c>
      <c r="H49" s="28">
        <v>33477783</v>
      </c>
      <c r="I49" s="28">
        <v>0</v>
      </c>
      <c r="J49" s="28">
        <v>27651635</v>
      </c>
      <c r="K49" s="59">
        <f t="shared" si="0"/>
        <v>61129418</v>
      </c>
      <c r="L49" s="62">
        <f t="shared" si="1"/>
        <v>91129418</v>
      </c>
      <c r="M49" s="65">
        <f t="shared" si="2"/>
        <v>22782354.5</v>
      </c>
      <c r="N49" s="71">
        <f t="shared" si="3"/>
        <v>22782355</v>
      </c>
      <c r="O49" s="68"/>
      <c r="P49" s="68"/>
      <c r="Q49" s="68"/>
      <c r="R49" s="43"/>
      <c r="S49" s="266"/>
      <c r="T49" s="266"/>
    </row>
    <row r="50" spans="1:20">
      <c r="A50" s="23" t="s">
        <v>82</v>
      </c>
      <c r="B50" s="24" t="s">
        <v>13</v>
      </c>
      <c r="C50" s="24" t="s">
        <v>9</v>
      </c>
      <c r="D50" s="24" t="s">
        <v>10</v>
      </c>
      <c r="E50" s="24" t="s">
        <v>11</v>
      </c>
      <c r="F50" s="24" t="s">
        <v>30</v>
      </c>
      <c r="G50" s="28">
        <v>50000000</v>
      </c>
      <c r="H50" s="28">
        <v>2702447</v>
      </c>
      <c r="I50" s="28">
        <v>0</v>
      </c>
      <c r="J50" s="28">
        <v>44671760</v>
      </c>
      <c r="K50" s="59">
        <f t="shared" si="0"/>
        <v>47374207</v>
      </c>
      <c r="L50" s="62">
        <f t="shared" si="1"/>
        <v>97374207</v>
      </c>
      <c r="M50" s="65">
        <f t="shared" si="2"/>
        <v>24343551.75</v>
      </c>
      <c r="N50" s="71">
        <f t="shared" si="3"/>
        <v>24343552</v>
      </c>
      <c r="O50" s="68"/>
      <c r="P50" s="68"/>
      <c r="Q50" s="68"/>
      <c r="R50" s="43"/>
      <c r="S50" s="266"/>
      <c r="T50" s="266"/>
    </row>
    <row r="51" spans="1:20">
      <c r="A51" s="23" t="s">
        <v>95</v>
      </c>
      <c r="B51" s="25" t="s">
        <v>96</v>
      </c>
      <c r="C51" s="24" t="s">
        <v>21</v>
      </c>
      <c r="D51" s="24" t="s">
        <v>10</v>
      </c>
      <c r="E51" s="24" t="s">
        <v>11</v>
      </c>
      <c r="F51" s="24" t="s">
        <v>12</v>
      </c>
      <c r="G51" s="28">
        <v>50000000</v>
      </c>
      <c r="H51" s="28">
        <v>70787848</v>
      </c>
      <c r="I51" s="28">
        <v>33368202</v>
      </c>
      <c r="J51" s="28">
        <v>43277527</v>
      </c>
      <c r="K51" s="59">
        <f t="shared" si="0"/>
        <v>147433577</v>
      </c>
      <c r="L51" s="62">
        <f t="shared" si="1"/>
        <v>197433577</v>
      </c>
      <c r="M51" s="65">
        <f t="shared" si="2"/>
        <v>49358394.25</v>
      </c>
      <c r="N51" s="71">
        <f t="shared" si="3"/>
        <v>49358394</v>
      </c>
      <c r="O51" s="68"/>
      <c r="P51" s="68"/>
      <c r="Q51" s="68"/>
      <c r="R51" s="43"/>
      <c r="S51" s="266"/>
      <c r="T51" s="266"/>
    </row>
    <row r="52" spans="1:20">
      <c r="A52" s="23" t="s">
        <v>31</v>
      </c>
      <c r="B52" s="24" t="s">
        <v>32</v>
      </c>
      <c r="C52" s="24" t="s">
        <v>21</v>
      </c>
      <c r="D52" s="24" t="s">
        <v>17</v>
      </c>
      <c r="E52" s="25" t="s">
        <v>23</v>
      </c>
      <c r="F52" s="24" t="s">
        <v>30</v>
      </c>
      <c r="G52" s="28">
        <v>0</v>
      </c>
      <c r="H52" s="28">
        <v>0</v>
      </c>
      <c r="I52" s="28">
        <v>46563396</v>
      </c>
      <c r="J52" s="28">
        <v>63313535</v>
      </c>
      <c r="K52" s="59">
        <f t="shared" si="0"/>
        <v>109876931</v>
      </c>
      <c r="L52" s="62">
        <f t="shared" si="1"/>
        <v>109876931</v>
      </c>
      <c r="M52" s="65">
        <f t="shared" si="2"/>
        <v>27469232.75</v>
      </c>
      <c r="N52" s="71">
        <f t="shared" si="3"/>
        <v>27469233</v>
      </c>
      <c r="O52" s="68"/>
      <c r="P52" s="68"/>
      <c r="Q52" s="68"/>
      <c r="R52" s="43"/>
      <c r="S52" s="266"/>
      <c r="T52" s="266"/>
    </row>
    <row r="53" spans="1:20">
      <c r="A53" s="23" t="s">
        <v>111</v>
      </c>
      <c r="B53" s="24" t="s">
        <v>72</v>
      </c>
      <c r="C53" s="24" t="s">
        <v>21</v>
      </c>
      <c r="D53" s="24" t="s">
        <v>10</v>
      </c>
      <c r="E53" s="24" t="s">
        <v>11</v>
      </c>
      <c r="F53" s="24" t="s">
        <v>12</v>
      </c>
      <c r="G53" s="28">
        <v>20000000</v>
      </c>
      <c r="H53" s="28">
        <v>40064620</v>
      </c>
      <c r="I53" s="28">
        <v>98137438</v>
      </c>
      <c r="J53" s="28">
        <v>0</v>
      </c>
      <c r="K53" s="59">
        <f t="shared" si="0"/>
        <v>138202058</v>
      </c>
      <c r="L53" s="62">
        <f t="shared" si="1"/>
        <v>158202058</v>
      </c>
      <c r="M53" s="65">
        <f t="shared" si="2"/>
        <v>39550514.5</v>
      </c>
      <c r="N53" s="71">
        <f t="shared" si="3"/>
        <v>39550515</v>
      </c>
      <c r="O53" s="68"/>
      <c r="P53" s="68"/>
      <c r="Q53" s="68"/>
      <c r="R53" s="43"/>
      <c r="S53" s="266"/>
      <c r="T53" s="266"/>
    </row>
    <row r="54" spans="1:20">
      <c r="A54" s="23" t="s">
        <v>81</v>
      </c>
      <c r="B54" s="24" t="s">
        <v>13</v>
      </c>
      <c r="C54" s="24" t="s">
        <v>21</v>
      </c>
      <c r="D54" s="24" t="s">
        <v>10</v>
      </c>
      <c r="E54" s="24" t="s">
        <v>27</v>
      </c>
      <c r="F54" s="24" t="s">
        <v>12</v>
      </c>
      <c r="G54" s="28">
        <v>30000000</v>
      </c>
      <c r="H54" s="28">
        <v>45289360</v>
      </c>
      <c r="I54" s="28">
        <v>0</v>
      </c>
      <c r="J54" s="28">
        <v>46980526</v>
      </c>
      <c r="K54" s="59">
        <f t="shared" si="0"/>
        <v>92269886</v>
      </c>
      <c r="L54" s="62">
        <f t="shared" si="1"/>
        <v>122269886</v>
      </c>
      <c r="M54" s="65">
        <f t="shared" si="2"/>
        <v>30567471.5</v>
      </c>
      <c r="N54" s="71">
        <f t="shared" si="3"/>
        <v>30567472</v>
      </c>
      <c r="O54" s="68"/>
      <c r="P54" s="68"/>
      <c r="Q54" s="68"/>
      <c r="R54" s="43"/>
      <c r="S54" s="266"/>
      <c r="T54" s="266"/>
    </row>
    <row r="55" spans="1:20">
      <c r="A55" s="23" t="s">
        <v>50</v>
      </c>
      <c r="B55" s="24" t="s">
        <v>13</v>
      </c>
      <c r="C55" s="24" t="s">
        <v>25</v>
      </c>
      <c r="D55" s="24" t="s">
        <v>10</v>
      </c>
      <c r="E55" s="24" t="s">
        <v>27</v>
      </c>
      <c r="F55" s="24" t="s">
        <v>12</v>
      </c>
      <c r="G55" s="28">
        <v>30000000</v>
      </c>
      <c r="H55" s="28">
        <v>34397393</v>
      </c>
      <c r="I55" s="28">
        <v>72192037</v>
      </c>
      <c r="J55" s="28">
        <v>21247716</v>
      </c>
      <c r="K55" s="59">
        <f t="shared" si="0"/>
        <v>127837146</v>
      </c>
      <c r="L55" s="62">
        <f t="shared" si="1"/>
        <v>157837146</v>
      </c>
      <c r="M55" s="65">
        <f t="shared" si="2"/>
        <v>39459286.5</v>
      </c>
      <c r="N55" s="71">
        <f t="shared" si="3"/>
        <v>39459287</v>
      </c>
      <c r="O55" s="68"/>
      <c r="P55" s="68"/>
      <c r="Q55" s="68"/>
      <c r="R55" s="43"/>
      <c r="S55" s="266"/>
      <c r="T55" s="266"/>
    </row>
    <row r="56" spans="1:20">
      <c r="A56" s="23" t="s">
        <v>123</v>
      </c>
      <c r="B56" s="24" t="s">
        <v>13</v>
      </c>
      <c r="C56" s="24" t="s">
        <v>21</v>
      </c>
      <c r="D56" s="24" t="s">
        <v>17</v>
      </c>
      <c r="E56" s="25" t="s">
        <v>18</v>
      </c>
      <c r="F56" s="24" t="s">
        <v>30</v>
      </c>
      <c r="G56" s="28">
        <v>0</v>
      </c>
      <c r="H56" s="28">
        <v>0</v>
      </c>
      <c r="I56" s="28">
        <v>69870077</v>
      </c>
      <c r="J56" s="28">
        <v>98441580</v>
      </c>
      <c r="K56" s="59">
        <f t="shared" si="0"/>
        <v>168311657</v>
      </c>
      <c r="L56" s="62">
        <f t="shared" si="1"/>
        <v>168311657</v>
      </c>
      <c r="M56" s="65">
        <f t="shared" si="2"/>
        <v>42077914.25</v>
      </c>
      <c r="N56" s="71">
        <f t="shared" si="3"/>
        <v>42077914</v>
      </c>
      <c r="O56" s="68"/>
      <c r="P56" s="68"/>
      <c r="Q56" s="68"/>
      <c r="R56" s="43"/>
      <c r="S56" s="266"/>
      <c r="T56" s="266"/>
    </row>
    <row r="57" spans="1:20">
      <c r="A57" s="23" t="s">
        <v>26</v>
      </c>
      <c r="B57" s="25" t="s">
        <v>28</v>
      </c>
      <c r="C57" s="24" t="s">
        <v>25</v>
      </c>
      <c r="D57" s="24" t="s">
        <v>10</v>
      </c>
      <c r="E57" s="24" t="s">
        <v>27</v>
      </c>
      <c r="F57" s="24" t="s">
        <v>12</v>
      </c>
      <c r="G57" s="28">
        <v>1000000</v>
      </c>
      <c r="H57" s="28">
        <v>34126405</v>
      </c>
      <c r="I57" s="28">
        <v>88265167</v>
      </c>
      <c r="J57" s="28">
        <v>56002928</v>
      </c>
      <c r="K57" s="59">
        <f t="shared" si="0"/>
        <v>178394500</v>
      </c>
      <c r="L57" s="62">
        <f t="shared" si="1"/>
        <v>179394500</v>
      </c>
      <c r="M57" s="65">
        <f t="shared" si="2"/>
        <v>44848625</v>
      </c>
      <c r="N57" s="71">
        <f t="shared" si="3"/>
        <v>44848625</v>
      </c>
      <c r="O57" s="68"/>
      <c r="P57" s="68"/>
      <c r="Q57" s="68"/>
      <c r="R57" s="43"/>
      <c r="S57" s="266"/>
      <c r="T57" s="266"/>
    </row>
    <row r="58" spans="1:20">
      <c r="A58" s="23" t="s">
        <v>41</v>
      </c>
      <c r="B58" s="24" t="s">
        <v>13</v>
      </c>
      <c r="C58" s="24" t="s">
        <v>21</v>
      </c>
      <c r="D58" s="24" t="s">
        <v>10</v>
      </c>
      <c r="E58" s="24" t="s">
        <v>11</v>
      </c>
      <c r="F58" s="24" t="s">
        <v>12</v>
      </c>
      <c r="G58" s="28">
        <v>1000000</v>
      </c>
      <c r="H58" s="28">
        <v>53008255</v>
      </c>
      <c r="I58" s="28">
        <v>46917910</v>
      </c>
      <c r="J58" s="28">
        <v>47557281</v>
      </c>
      <c r="K58" s="59">
        <f t="shared" si="0"/>
        <v>147483446</v>
      </c>
      <c r="L58" s="62">
        <f t="shared" si="1"/>
        <v>148483446</v>
      </c>
      <c r="M58" s="65">
        <f t="shared" si="2"/>
        <v>37120861.5</v>
      </c>
      <c r="N58" s="71">
        <f t="shared" si="3"/>
        <v>37120862</v>
      </c>
      <c r="O58" s="68"/>
      <c r="P58" s="68"/>
      <c r="Q58" s="68"/>
      <c r="R58" s="43"/>
      <c r="S58" s="266"/>
      <c r="T58" s="266"/>
    </row>
    <row r="59" spans="1:20">
      <c r="A59" s="23" t="s">
        <v>73</v>
      </c>
      <c r="B59" s="24" t="s">
        <v>13</v>
      </c>
      <c r="C59" s="24" t="s">
        <v>21</v>
      </c>
      <c r="D59" s="24" t="s">
        <v>17</v>
      </c>
      <c r="E59" s="25" t="s">
        <v>18</v>
      </c>
      <c r="F59" s="24" t="s">
        <v>12</v>
      </c>
      <c r="G59" s="28">
        <v>0</v>
      </c>
      <c r="H59" s="28">
        <v>0</v>
      </c>
      <c r="I59" s="28">
        <v>0</v>
      </c>
      <c r="J59" s="28">
        <v>22675260</v>
      </c>
      <c r="K59" s="59">
        <f t="shared" si="0"/>
        <v>22675260</v>
      </c>
      <c r="L59" s="62">
        <f t="shared" si="1"/>
        <v>22675260</v>
      </c>
      <c r="M59" s="65">
        <f t="shared" si="2"/>
        <v>5668815</v>
      </c>
      <c r="N59" s="71">
        <f t="shared" si="3"/>
        <v>5668815</v>
      </c>
      <c r="O59" s="68"/>
      <c r="P59" s="68"/>
      <c r="Q59" s="68"/>
      <c r="R59" s="43"/>
      <c r="S59" s="266"/>
      <c r="T59" s="266"/>
    </row>
    <row r="60" spans="1:20">
      <c r="A60" s="23" t="s">
        <v>88</v>
      </c>
      <c r="B60" s="25" t="s">
        <v>89</v>
      </c>
      <c r="C60" s="24" t="s">
        <v>21</v>
      </c>
      <c r="D60" s="24" t="s">
        <v>10</v>
      </c>
      <c r="E60" s="24" t="s">
        <v>11</v>
      </c>
      <c r="F60" s="24" t="s">
        <v>12</v>
      </c>
      <c r="G60" s="28">
        <v>100000000</v>
      </c>
      <c r="H60" s="28">
        <v>94688720</v>
      </c>
      <c r="I60" s="28">
        <v>86323763</v>
      </c>
      <c r="J60" s="28">
        <v>20929788</v>
      </c>
      <c r="K60" s="59">
        <f t="shared" si="0"/>
        <v>201942271</v>
      </c>
      <c r="L60" s="62">
        <f t="shared" si="1"/>
        <v>301942271</v>
      </c>
      <c r="M60" s="65">
        <f t="shared" si="2"/>
        <v>75485567.75</v>
      </c>
      <c r="N60" s="71">
        <f t="shared" si="3"/>
        <v>75485568</v>
      </c>
      <c r="O60" s="68"/>
      <c r="P60" s="68"/>
      <c r="Q60" s="68"/>
      <c r="R60" s="43"/>
      <c r="S60" s="266"/>
      <c r="T60" s="266"/>
    </row>
    <row r="61" spans="1:20">
      <c r="A61" s="23" t="s">
        <v>133</v>
      </c>
      <c r="B61" s="24" t="s">
        <v>13</v>
      </c>
      <c r="C61" s="24" t="s">
        <v>54</v>
      </c>
      <c r="D61" s="24" t="s">
        <v>55</v>
      </c>
      <c r="E61" s="24" t="s">
        <v>56</v>
      </c>
      <c r="F61" s="24" t="s">
        <v>12</v>
      </c>
      <c r="G61" s="28">
        <v>0</v>
      </c>
      <c r="H61" s="28">
        <v>0</v>
      </c>
      <c r="I61" s="28">
        <v>96750826</v>
      </c>
      <c r="J61" s="28">
        <v>31435769</v>
      </c>
      <c r="K61" s="59">
        <f t="shared" si="0"/>
        <v>128186595</v>
      </c>
      <c r="L61" s="62">
        <f t="shared" si="1"/>
        <v>128186595</v>
      </c>
      <c r="M61" s="65">
        <f t="shared" si="2"/>
        <v>32046648.75</v>
      </c>
      <c r="N61" s="71">
        <f t="shared" si="3"/>
        <v>32046649</v>
      </c>
      <c r="O61" s="68"/>
      <c r="P61" s="68"/>
      <c r="Q61" s="68"/>
      <c r="R61" s="43"/>
      <c r="S61" s="266"/>
      <c r="T61" s="266"/>
    </row>
    <row r="62" spans="1:20">
      <c r="A62" s="23" t="s">
        <v>67</v>
      </c>
      <c r="B62" s="24" t="s">
        <v>13</v>
      </c>
      <c r="C62" s="24" t="s">
        <v>25</v>
      </c>
      <c r="D62" s="24" t="s">
        <v>10</v>
      </c>
      <c r="E62" s="24" t="s">
        <v>11</v>
      </c>
      <c r="F62" s="24" t="s">
        <v>12</v>
      </c>
      <c r="G62" s="28">
        <v>10000000</v>
      </c>
      <c r="H62" s="28">
        <v>89686683</v>
      </c>
      <c r="I62" s="28">
        <v>62448793</v>
      </c>
      <c r="J62" s="28">
        <v>26812600</v>
      </c>
      <c r="K62" s="59">
        <f t="shared" si="0"/>
        <v>178948076</v>
      </c>
      <c r="L62" s="62">
        <f t="shared" si="1"/>
        <v>188948076</v>
      </c>
      <c r="M62" s="65">
        <f t="shared" si="2"/>
        <v>47237019</v>
      </c>
      <c r="N62" s="71">
        <f t="shared" si="3"/>
        <v>47237019</v>
      </c>
      <c r="O62" s="68"/>
      <c r="P62" s="68"/>
      <c r="Q62" s="68"/>
      <c r="R62" s="43"/>
      <c r="S62" s="266"/>
      <c r="T62" s="266"/>
    </row>
    <row r="63" spans="1:20">
      <c r="A63" s="23" t="s">
        <v>84</v>
      </c>
      <c r="B63" s="24" t="s">
        <v>13</v>
      </c>
      <c r="C63" s="24" t="s">
        <v>21</v>
      </c>
      <c r="D63" s="24" t="s">
        <v>10</v>
      </c>
      <c r="E63" s="24" t="s">
        <v>27</v>
      </c>
      <c r="F63" s="24" t="s">
        <v>12</v>
      </c>
      <c r="G63" s="28">
        <v>30000000</v>
      </c>
      <c r="H63" s="28">
        <v>32890743</v>
      </c>
      <c r="I63" s="28">
        <v>0</v>
      </c>
      <c r="J63" s="28">
        <v>39864620</v>
      </c>
      <c r="K63" s="59">
        <f t="shared" si="0"/>
        <v>72755363</v>
      </c>
      <c r="L63" s="62">
        <f t="shared" si="1"/>
        <v>102755363</v>
      </c>
      <c r="M63" s="65">
        <f t="shared" si="2"/>
        <v>25688840.75</v>
      </c>
      <c r="N63" s="71">
        <f t="shared" si="3"/>
        <v>25688841</v>
      </c>
      <c r="O63" s="68"/>
      <c r="P63" s="68"/>
      <c r="Q63" s="68"/>
      <c r="R63" s="43"/>
      <c r="S63" s="266"/>
      <c r="T63" s="266"/>
    </row>
    <row r="64" spans="1:20">
      <c r="A64" s="23" t="s">
        <v>38</v>
      </c>
      <c r="B64" s="24" t="s">
        <v>13</v>
      </c>
      <c r="C64" s="24" t="s">
        <v>25</v>
      </c>
      <c r="D64" s="24" t="s">
        <v>10</v>
      </c>
      <c r="E64" s="24" t="s">
        <v>11</v>
      </c>
      <c r="F64" s="24" t="s">
        <v>12</v>
      </c>
      <c r="G64" s="28">
        <v>10000000</v>
      </c>
      <c r="H64" s="28">
        <v>32370896</v>
      </c>
      <c r="I64" s="28">
        <v>96066942</v>
      </c>
      <c r="J64" s="28">
        <v>3767736</v>
      </c>
      <c r="K64" s="59">
        <f t="shared" si="0"/>
        <v>132205574</v>
      </c>
      <c r="L64" s="62">
        <f t="shared" si="1"/>
        <v>142205574</v>
      </c>
      <c r="M64" s="65">
        <f t="shared" si="2"/>
        <v>35551393.5</v>
      </c>
      <c r="N64" s="71">
        <f t="shared" si="3"/>
        <v>35551394</v>
      </c>
      <c r="O64" s="68"/>
      <c r="P64" s="68"/>
      <c r="Q64" s="68"/>
      <c r="R64" s="43"/>
      <c r="S64" s="266"/>
      <c r="T64" s="266"/>
    </row>
    <row r="65" spans="1:20">
      <c r="A65" s="23" t="s">
        <v>24</v>
      </c>
      <c r="B65" s="24" t="s">
        <v>13</v>
      </c>
      <c r="C65" s="24" t="s">
        <v>25</v>
      </c>
      <c r="D65" s="24" t="s">
        <v>17</v>
      </c>
      <c r="E65" s="25" t="s">
        <v>23</v>
      </c>
      <c r="F65" s="24" t="s">
        <v>12</v>
      </c>
      <c r="G65" s="28">
        <v>0</v>
      </c>
      <c r="H65" s="28">
        <v>0</v>
      </c>
      <c r="I65" s="28">
        <v>24514428</v>
      </c>
      <c r="J65" s="28">
        <v>27890231</v>
      </c>
      <c r="K65" s="59">
        <f t="shared" si="0"/>
        <v>52404659</v>
      </c>
      <c r="L65" s="62">
        <f t="shared" si="1"/>
        <v>52404659</v>
      </c>
      <c r="M65" s="65">
        <f t="shared" si="2"/>
        <v>13101164.75</v>
      </c>
      <c r="N65" s="71">
        <f t="shared" si="3"/>
        <v>13101165</v>
      </c>
      <c r="O65" s="68"/>
      <c r="P65" s="68"/>
      <c r="Q65" s="68"/>
      <c r="R65" s="43"/>
      <c r="S65" s="266"/>
      <c r="T65" s="266"/>
    </row>
    <row r="66" spans="1:20">
      <c r="A66" s="23" t="s">
        <v>37</v>
      </c>
      <c r="B66" s="24" t="s">
        <v>13</v>
      </c>
      <c r="C66" s="24" t="s">
        <v>21</v>
      </c>
      <c r="D66" s="24" t="s">
        <v>10</v>
      </c>
      <c r="E66" s="24" t="s">
        <v>11</v>
      </c>
      <c r="F66" s="24" t="s">
        <v>30</v>
      </c>
      <c r="G66" s="28">
        <v>10000000</v>
      </c>
      <c r="H66" s="28">
        <v>31953589</v>
      </c>
      <c r="I66" s="28">
        <v>40068224</v>
      </c>
      <c r="J66" s="28">
        <v>80951038</v>
      </c>
      <c r="K66" s="59">
        <f t="shared" si="0"/>
        <v>152972851</v>
      </c>
      <c r="L66" s="62">
        <f t="shared" si="1"/>
        <v>162972851</v>
      </c>
      <c r="M66" s="65">
        <f t="shared" si="2"/>
        <v>40743212.75</v>
      </c>
      <c r="N66" s="71">
        <f t="shared" si="3"/>
        <v>40743213</v>
      </c>
      <c r="O66" s="68"/>
      <c r="P66" s="68"/>
      <c r="Q66" s="68"/>
      <c r="R66" s="43"/>
      <c r="S66" s="266"/>
      <c r="T66" s="266"/>
    </row>
    <row r="67" spans="1:20">
      <c r="A67" s="23" t="s">
        <v>49</v>
      </c>
      <c r="B67" s="24" t="s">
        <v>13</v>
      </c>
      <c r="C67" s="24" t="s">
        <v>21</v>
      </c>
      <c r="D67" s="24" t="s">
        <v>10</v>
      </c>
      <c r="E67" s="24" t="s">
        <v>11</v>
      </c>
      <c r="F67" s="24" t="s">
        <v>12</v>
      </c>
      <c r="G67" s="28">
        <v>50000000</v>
      </c>
      <c r="H67" s="28">
        <v>78205651</v>
      </c>
      <c r="I67" s="28">
        <v>62381180</v>
      </c>
      <c r="J67" s="28">
        <v>6508585</v>
      </c>
      <c r="K67" s="59">
        <f t="shared" ref="K67:K101" si="4">H67+I67+J67</f>
        <v>147095416</v>
      </c>
      <c r="L67" s="62">
        <f t="shared" ref="L67:L101" si="5">SUM(G67:J67)</f>
        <v>197095416</v>
      </c>
      <c r="M67" s="65">
        <f t="shared" ref="M67:M101" si="6">AVERAGE(G67:J67)</f>
        <v>49273854</v>
      </c>
      <c r="N67" s="71">
        <f t="shared" ref="N67:N101" si="7">ROUND(AVERAGE(G67:J67),0)</f>
        <v>49273854</v>
      </c>
      <c r="O67" s="68"/>
      <c r="P67" s="68"/>
      <c r="Q67" s="68"/>
      <c r="R67" s="43"/>
      <c r="S67" s="266"/>
      <c r="T67" s="266"/>
    </row>
    <row r="68" spans="1:20">
      <c r="A68" s="23" t="s">
        <v>119</v>
      </c>
      <c r="B68" s="24" t="s">
        <v>13</v>
      </c>
      <c r="C68" s="24" t="s">
        <v>15</v>
      </c>
      <c r="D68" s="24" t="s">
        <v>17</v>
      </c>
      <c r="E68" s="25" t="s">
        <v>18</v>
      </c>
      <c r="F68" s="24" t="s">
        <v>12</v>
      </c>
      <c r="G68" s="28">
        <v>0</v>
      </c>
      <c r="H68" s="28">
        <v>0</v>
      </c>
      <c r="I68" s="28">
        <v>34584522</v>
      </c>
      <c r="J68" s="28">
        <v>0</v>
      </c>
      <c r="K68" s="59">
        <f t="shared" si="4"/>
        <v>34584522</v>
      </c>
      <c r="L68" s="62">
        <f t="shared" si="5"/>
        <v>34584522</v>
      </c>
      <c r="M68" s="65">
        <f t="shared" si="6"/>
        <v>8646130.5</v>
      </c>
      <c r="N68" s="71">
        <f t="shared" si="7"/>
        <v>8646131</v>
      </c>
      <c r="O68" s="68"/>
      <c r="P68" s="68"/>
      <c r="Q68" s="68"/>
      <c r="R68" s="43"/>
      <c r="S68" s="266"/>
      <c r="T68" s="266"/>
    </row>
    <row r="69" spans="1:20">
      <c r="A69" s="23" t="s">
        <v>86</v>
      </c>
      <c r="B69" s="25" t="s">
        <v>87</v>
      </c>
      <c r="C69" s="24" t="s">
        <v>21</v>
      </c>
      <c r="D69" s="24" t="s">
        <v>55</v>
      </c>
      <c r="E69" s="24" t="s">
        <v>80</v>
      </c>
      <c r="F69" s="24" t="s">
        <v>12</v>
      </c>
      <c r="G69" s="28">
        <v>0</v>
      </c>
      <c r="H69" s="28">
        <v>0</v>
      </c>
      <c r="I69" s="28">
        <v>76942676</v>
      </c>
      <c r="J69" s="28">
        <v>74216691</v>
      </c>
      <c r="K69" s="59">
        <f t="shared" si="4"/>
        <v>151159367</v>
      </c>
      <c r="L69" s="62">
        <f t="shared" si="5"/>
        <v>151159367</v>
      </c>
      <c r="M69" s="65">
        <f t="shared" si="6"/>
        <v>37789841.75</v>
      </c>
      <c r="N69" s="71">
        <f t="shared" si="7"/>
        <v>37789842</v>
      </c>
      <c r="O69" s="68"/>
      <c r="P69" s="68"/>
      <c r="Q69" s="68"/>
      <c r="R69" s="43"/>
      <c r="S69" s="266"/>
      <c r="T69" s="266"/>
    </row>
    <row r="70" spans="1:20">
      <c r="A70" s="23" t="s">
        <v>47</v>
      </c>
      <c r="B70" s="24" t="s">
        <v>32</v>
      </c>
      <c r="C70" s="24" t="s">
        <v>25</v>
      </c>
      <c r="D70" s="24" t="s">
        <v>10</v>
      </c>
      <c r="E70" s="24" t="s">
        <v>27</v>
      </c>
      <c r="F70" s="24" t="s">
        <v>30</v>
      </c>
      <c r="G70" s="28">
        <v>5000000</v>
      </c>
      <c r="H70" s="28">
        <v>70270294</v>
      </c>
      <c r="I70" s="28">
        <v>19588762</v>
      </c>
      <c r="J70" s="28">
        <v>78634577</v>
      </c>
      <c r="K70" s="59">
        <f t="shared" si="4"/>
        <v>168493633</v>
      </c>
      <c r="L70" s="62">
        <f t="shared" si="5"/>
        <v>173493633</v>
      </c>
      <c r="M70" s="65">
        <f t="shared" si="6"/>
        <v>43373408.25</v>
      </c>
      <c r="N70" s="71">
        <f t="shared" si="7"/>
        <v>43373408</v>
      </c>
      <c r="O70" s="68"/>
      <c r="P70" s="68"/>
      <c r="Q70" s="68"/>
      <c r="R70" s="43"/>
      <c r="S70" s="266"/>
      <c r="T70" s="266"/>
    </row>
    <row r="71" spans="1:20">
      <c r="A71" s="23" t="s">
        <v>59</v>
      </c>
      <c r="B71" s="24" t="s">
        <v>13</v>
      </c>
      <c r="C71" s="24" t="s">
        <v>15</v>
      </c>
      <c r="D71" s="24" t="s">
        <v>17</v>
      </c>
      <c r="E71" s="25" t="s">
        <v>18</v>
      </c>
      <c r="F71" s="24" t="s">
        <v>12</v>
      </c>
      <c r="G71" s="28">
        <v>0</v>
      </c>
      <c r="H71" s="28">
        <v>0</v>
      </c>
      <c r="I71" s="28">
        <v>85955846</v>
      </c>
      <c r="J71" s="28">
        <v>25891596</v>
      </c>
      <c r="K71" s="59">
        <f t="shared" si="4"/>
        <v>111847442</v>
      </c>
      <c r="L71" s="62">
        <f t="shared" si="5"/>
        <v>111847442</v>
      </c>
      <c r="M71" s="65">
        <f t="shared" si="6"/>
        <v>27961860.5</v>
      </c>
      <c r="N71" s="71">
        <f t="shared" si="7"/>
        <v>27961861</v>
      </c>
      <c r="O71" s="68"/>
      <c r="P71" s="68"/>
      <c r="Q71" s="68"/>
      <c r="R71" s="43"/>
      <c r="S71" s="266"/>
      <c r="T71" s="266"/>
    </row>
    <row r="72" spans="1:20">
      <c r="A72" s="23" t="s">
        <v>94</v>
      </c>
      <c r="B72" s="24" t="s">
        <v>13</v>
      </c>
      <c r="C72" s="24" t="s">
        <v>15</v>
      </c>
      <c r="D72" s="24" t="s">
        <v>10</v>
      </c>
      <c r="E72" s="24" t="s">
        <v>27</v>
      </c>
      <c r="F72" s="24" t="s">
        <v>30</v>
      </c>
      <c r="G72" s="28">
        <v>20000000</v>
      </c>
      <c r="H72" s="28">
        <v>62745331</v>
      </c>
      <c r="I72" s="28">
        <v>39843357</v>
      </c>
      <c r="J72" s="28">
        <v>64840967</v>
      </c>
      <c r="K72" s="59">
        <f t="shared" si="4"/>
        <v>167429655</v>
      </c>
      <c r="L72" s="62">
        <f t="shared" si="5"/>
        <v>187429655</v>
      </c>
      <c r="M72" s="65">
        <f t="shared" si="6"/>
        <v>46857413.75</v>
      </c>
      <c r="N72" s="71">
        <f t="shared" si="7"/>
        <v>46857414</v>
      </c>
      <c r="O72" s="68"/>
      <c r="P72" s="68"/>
      <c r="Q72" s="68"/>
      <c r="R72" s="43"/>
      <c r="S72" s="266"/>
      <c r="T72" s="266"/>
    </row>
    <row r="73" spans="1:20">
      <c r="A73" s="23" t="s">
        <v>46</v>
      </c>
      <c r="B73" s="24" t="s">
        <v>13</v>
      </c>
      <c r="C73" s="24" t="s">
        <v>21</v>
      </c>
      <c r="D73" s="24" t="s">
        <v>17</v>
      </c>
      <c r="E73" s="25" t="s">
        <v>23</v>
      </c>
      <c r="F73" s="24" t="s">
        <v>12</v>
      </c>
      <c r="G73" s="28">
        <v>0</v>
      </c>
      <c r="H73" s="28">
        <v>0</v>
      </c>
      <c r="I73" s="28">
        <v>82583322</v>
      </c>
      <c r="J73" s="28">
        <v>809058</v>
      </c>
      <c r="K73" s="59">
        <f t="shared" si="4"/>
        <v>83392380</v>
      </c>
      <c r="L73" s="62">
        <f t="shared" si="5"/>
        <v>83392380</v>
      </c>
      <c r="M73" s="65">
        <f t="shared" si="6"/>
        <v>20848095</v>
      </c>
      <c r="N73" s="71">
        <f t="shared" si="7"/>
        <v>20848095</v>
      </c>
      <c r="O73" s="68"/>
      <c r="P73" s="68"/>
      <c r="Q73" s="68"/>
      <c r="R73" s="43"/>
      <c r="S73" s="266"/>
      <c r="T73" s="266"/>
    </row>
    <row r="74" spans="1:20">
      <c r="A74" s="23" t="s">
        <v>116</v>
      </c>
      <c r="B74" s="24" t="s">
        <v>13</v>
      </c>
      <c r="C74" s="24" t="s">
        <v>21</v>
      </c>
      <c r="D74" s="24" t="s">
        <v>10</v>
      </c>
      <c r="E74" s="24" t="s">
        <v>27</v>
      </c>
      <c r="F74" s="24" t="s">
        <v>30</v>
      </c>
      <c r="G74" s="28">
        <v>10000000</v>
      </c>
      <c r="H74" s="28">
        <v>59890317</v>
      </c>
      <c r="I74" s="28">
        <v>42451842</v>
      </c>
      <c r="J74" s="28">
        <v>0</v>
      </c>
      <c r="K74" s="59">
        <f t="shared" si="4"/>
        <v>102342159</v>
      </c>
      <c r="L74" s="62">
        <f t="shared" si="5"/>
        <v>112342159</v>
      </c>
      <c r="M74" s="65">
        <f t="shared" si="6"/>
        <v>28085539.75</v>
      </c>
      <c r="N74" s="71">
        <f t="shared" si="7"/>
        <v>28085540</v>
      </c>
      <c r="O74" s="68"/>
      <c r="P74" s="68"/>
      <c r="Q74" s="68"/>
      <c r="R74" s="43"/>
      <c r="S74" s="266"/>
      <c r="T74" s="266"/>
    </row>
    <row r="75" spans="1:20">
      <c r="A75" s="23" t="s">
        <v>14</v>
      </c>
      <c r="B75" s="24" t="s">
        <v>13</v>
      </c>
      <c r="C75" s="24" t="s">
        <v>15</v>
      </c>
      <c r="D75" s="24" t="s">
        <v>10</v>
      </c>
      <c r="E75" s="24" t="s">
        <v>11</v>
      </c>
      <c r="F75" s="24" t="s">
        <v>12</v>
      </c>
      <c r="G75" s="28">
        <v>10000000</v>
      </c>
      <c r="H75" s="28">
        <v>97449662</v>
      </c>
      <c r="I75" s="28">
        <v>49624160</v>
      </c>
      <c r="J75" s="28">
        <v>17854677</v>
      </c>
      <c r="K75" s="59">
        <f t="shared" si="4"/>
        <v>164928499</v>
      </c>
      <c r="L75" s="62">
        <f t="shared" si="5"/>
        <v>174928499</v>
      </c>
      <c r="M75" s="65">
        <f t="shared" si="6"/>
        <v>43732124.75</v>
      </c>
      <c r="N75" s="71">
        <f t="shared" si="7"/>
        <v>43732125</v>
      </c>
      <c r="O75" s="68"/>
      <c r="P75" s="68"/>
      <c r="Q75" s="68"/>
      <c r="R75" s="43"/>
      <c r="S75" s="266"/>
      <c r="T75" s="266"/>
    </row>
    <row r="76" spans="1:20">
      <c r="A76" s="23" t="s">
        <v>22</v>
      </c>
      <c r="B76" s="24" t="s">
        <v>13</v>
      </c>
      <c r="C76" s="24" t="s">
        <v>9</v>
      </c>
      <c r="D76" s="24" t="s">
        <v>17</v>
      </c>
      <c r="E76" s="25" t="s">
        <v>23</v>
      </c>
      <c r="F76" s="24" t="s">
        <v>12</v>
      </c>
      <c r="G76" s="28">
        <v>0</v>
      </c>
      <c r="H76" s="28">
        <v>0</v>
      </c>
      <c r="I76" s="28">
        <v>44422091</v>
      </c>
      <c r="J76" s="28">
        <v>8898260</v>
      </c>
      <c r="K76" s="59">
        <f t="shared" si="4"/>
        <v>53320351</v>
      </c>
      <c r="L76" s="62">
        <f t="shared" si="5"/>
        <v>53320351</v>
      </c>
      <c r="M76" s="65">
        <f t="shared" si="6"/>
        <v>13330087.75</v>
      </c>
      <c r="N76" s="71">
        <f t="shared" si="7"/>
        <v>13330088</v>
      </c>
      <c r="O76" s="68"/>
      <c r="P76" s="68"/>
      <c r="Q76" s="68"/>
      <c r="R76" s="43"/>
      <c r="S76" s="266"/>
      <c r="T76" s="266"/>
    </row>
    <row r="77" spans="1:20">
      <c r="A77" s="23" t="s">
        <v>71</v>
      </c>
      <c r="B77" s="25" t="s">
        <v>72</v>
      </c>
      <c r="C77" s="24" t="s">
        <v>21</v>
      </c>
      <c r="D77" s="24" t="s">
        <v>17</v>
      </c>
      <c r="E77" s="25" t="s">
        <v>18</v>
      </c>
      <c r="F77" s="24" t="s">
        <v>12</v>
      </c>
      <c r="G77" s="28">
        <v>0</v>
      </c>
      <c r="H77" s="28">
        <v>0</v>
      </c>
      <c r="I77" s="28">
        <v>0</v>
      </c>
      <c r="J77" s="28">
        <v>63436099</v>
      </c>
      <c r="K77" s="59">
        <f t="shared" si="4"/>
        <v>63436099</v>
      </c>
      <c r="L77" s="62">
        <f t="shared" si="5"/>
        <v>63436099</v>
      </c>
      <c r="M77" s="65">
        <f t="shared" si="6"/>
        <v>15859024.75</v>
      </c>
      <c r="N77" s="71">
        <f t="shared" si="7"/>
        <v>15859025</v>
      </c>
      <c r="O77" s="68"/>
      <c r="P77" s="68"/>
      <c r="Q77" s="68"/>
      <c r="R77" s="43"/>
      <c r="S77" s="266"/>
      <c r="T77" s="266"/>
    </row>
    <row r="78" spans="1:20">
      <c r="A78" s="23" t="s">
        <v>131</v>
      </c>
      <c r="B78" s="24" t="s">
        <v>13</v>
      </c>
      <c r="C78" s="24" t="s">
        <v>21</v>
      </c>
      <c r="D78" s="24" t="s">
        <v>10</v>
      </c>
      <c r="E78" s="24" t="s">
        <v>11</v>
      </c>
      <c r="F78" s="24" t="s">
        <v>30</v>
      </c>
      <c r="G78" s="28">
        <v>10000000</v>
      </c>
      <c r="H78" s="28">
        <v>99989764</v>
      </c>
      <c r="I78" s="28">
        <v>8030175</v>
      </c>
      <c r="J78" s="28">
        <v>37676206</v>
      </c>
      <c r="K78" s="59">
        <f t="shared" si="4"/>
        <v>145696145</v>
      </c>
      <c r="L78" s="62">
        <f t="shared" si="5"/>
        <v>155696145</v>
      </c>
      <c r="M78" s="65">
        <f t="shared" si="6"/>
        <v>38924036.25</v>
      </c>
      <c r="N78" s="71">
        <f t="shared" si="7"/>
        <v>38924036</v>
      </c>
      <c r="O78" s="68"/>
      <c r="P78" s="68"/>
      <c r="Q78" s="68"/>
      <c r="R78" s="43"/>
      <c r="S78" s="266"/>
      <c r="T78" s="266"/>
    </row>
    <row r="79" spans="1:20">
      <c r="A79" s="23" t="s">
        <v>66</v>
      </c>
      <c r="B79" s="24" t="s">
        <v>13</v>
      </c>
      <c r="C79" s="24" t="s">
        <v>21</v>
      </c>
      <c r="D79" s="24" t="s">
        <v>17</v>
      </c>
      <c r="E79" s="25" t="s">
        <v>18</v>
      </c>
      <c r="F79" s="24" t="s">
        <v>30</v>
      </c>
      <c r="G79" s="28">
        <v>0</v>
      </c>
      <c r="H79" s="28">
        <v>0</v>
      </c>
      <c r="I79" s="28">
        <v>12862402</v>
      </c>
      <c r="J79" s="28">
        <v>68922404</v>
      </c>
      <c r="K79" s="59">
        <f t="shared" si="4"/>
        <v>81784806</v>
      </c>
      <c r="L79" s="62">
        <f t="shared" si="5"/>
        <v>81784806</v>
      </c>
      <c r="M79" s="65">
        <f t="shared" si="6"/>
        <v>20446201.5</v>
      </c>
      <c r="N79" s="71">
        <f t="shared" si="7"/>
        <v>20446202</v>
      </c>
      <c r="O79" s="68"/>
      <c r="P79" s="68"/>
      <c r="Q79" s="68"/>
      <c r="R79" s="43"/>
      <c r="S79" s="266"/>
      <c r="T79" s="266"/>
    </row>
    <row r="80" spans="1:20">
      <c r="A80" s="23" t="s">
        <v>99</v>
      </c>
      <c r="B80" s="24" t="s">
        <v>13</v>
      </c>
      <c r="C80" s="24" t="s">
        <v>25</v>
      </c>
      <c r="D80" s="24" t="s">
        <v>17</v>
      </c>
      <c r="E80" s="25" t="s">
        <v>18</v>
      </c>
      <c r="F80" s="24" t="s">
        <v>30</v>
      </c>
      <c r="G80" s="28">
        <v>0</v>
      </c>
      <c r="H80" s="28">
        <v>0</v>
      </c>
      <c r="I80" s="28">
        <v>46914257</v>
      </c>
      <c r="J80" s="28">
        <v>43734508</v>
      </c>
      <c r="K80" s="59">
        <f t="shared" si="4"/>
        <v>90648765</v>
      </c>
      <c r="L80" s="62">
        <f t="shared" si="5"/>
        <v>90648765</v>
      </c>
      <c r="M80" s="65">
        <f t="shared" si="6"/>
        <v>22662191.25</v>
      </c>
      <c r="N80" s="71">
        <f t="shared" si="7"/>
        <v>22662191</v>
      </c>
      <c r="O80" s="68"/>
      <c r="P80" s="68"/>
      <c r="Q80" s="68"/>
      <c r="R80" s="43"/>
      <c r="S80" s="266"/>
      <c r="T80" s="266"/>
    </row>
    <row r="81" spans="1:20">
      <c r="A81" s="23" t="s">
        <v>114</v>
      </c>
      <c r="B81" s="56" t="s">
        <v>115</v>
      </c>
      <c r="C81" s="24" t="s">
        <v>54</v>
      </c>
      <c r="D81" s="24" t="s">
        <v>55</v>
      </c>
      <c r="E81" s="24" t="s">
        <v>56</v>
      </c>
      <c r="F81" s="24" t="s">
        <v>12</v>
      </c>
      <c r="G81" s="28">
        <v>0</v>
      </c>
      <c r="H81" s="28">
        <v>0</v>
      </c>
      <c r="I81" s="28">
        <v>95212463</v>
      </c>
      <c r="J81" s="28">
        <v>0</v>
      </c>
      <c r="K81" s="59">
        <f t="shared" si="4"/>
        <v>95212463</v>
      </c>
      <c r="L81" s="62">
        <f t="shared" si="5"/>
        <v>95212463</v>
      </c>
      <c r="M81" s="65">
        <f t="shared" si="6"/>
        <v>23803115.75</v>
      </c>
      <c r="N81" s="71">
        <f t="shared" si="7"/>
        <v>23803116</v>
      </c>
      <c r="O81" s="68"/>
      <c r="P81" s="68"/>
      <c r="Q81" s="68"/>
      <c r="R81" s="43"/>
      <c r="S81" s="266"/>
      <c r="T81" s="266"/>
    </row>
    <row r="82" spans="1:20">
      <c r="A82" s="23" t="s">
        <v>58</v>
      </c>
      <c r="B82" s="25" t="s">
        <v>28</v>
      </c>
      <c r="C82" s="24" t="s">
        <v>21</v>
      </c>
      <c r="D82" s="24" t="s">
        <v>10</v>
      </c>
      <c r="E82" s="24" t="s">
        <v>11</v>
      </c>
      <c r="F82" s="24" t="s">
        <v>12</v>
      </c>
      <c r="G82" s="28">
        <v>5000000</v>
      </c>
      <c r="H82" s="28">
        <v>32915397</v>
      </c>
      <c r="I82" s="28">
        <v>74493461</v>
      </c>
      <c r="J82" s="28">
        <v>151779</v>
      </c>
      <c r="K82" s="59">
        <f t="shared" si="4"/>
        <v>107560637</v>
      </c>
      <c r="L82" s="62">
        <f t="shared" si="5"/>
        <v>112560637</v>
      </c>
      <c r="M82" s="65">
        <f t="shared" si="6"/>
        <v>28140159.25</v>
      </c>
      <c r="N82" s="71">
        <f t="shared" si="7"/>
        <v>28140159</v>
      </c>
      <c r="O82" s="68"/>
      <c r="P82" s="68"/>
      <c r="Q82" s="68"/>
      <c r="R82" s="43"/>
      <c r="S82" s="266"/>
      <c r="T82" s="266"/>
    </row>
    <row r="83" spans="1:20">
      <c r="A83" s="23" t="s">
        <v>117</v>
      </c>
      <c r="B83" s="24" t="s">
        <v>13</v>
      </c>
      <c r="C83" s="24" t="s">
        <v>25</v>
      </c>
      <c r="D83" s="24" t="s">
        <v>17</v>
      </c>
      <c r="E83" s="25" t="s">
        <v>18</v>
      </c>
      <c r="F83" s="24" t="s">
        <v>12</v>
      </c>
      <c r="G83" s="28">
        <v>0</v>
      </c>
      <c r="H83" s="28">
        <v>0</v>
      </c>
      <c r="I83" s="28">
        <v>43223505</v>
      </c>
      <c r="J83" s="28">
        <v>0</v>
      </c>
      <c r="K83" s="59">
        <f t="shared" si="4"/>
        <v>43223505</v>
      </c>
      <c r="L83" s="62">
        <f t="shared" si="5"/>
        <v>43223505</v>
      </c>
      <c r="M83" s="65">
        <f t="shared" si="6"/>
        <v>10805876.25</v>
      </c>
      <c r="N83" s="71">
        <f t="shared" si="7"/>
        <v>10805876</v>
      </c>
      <c r="O83" s="68"/>
      <c r="P83" s="68"/>
      <c r="Q83" s="68"/>
      <c r="R83" s="43"/>
      <c r="S83" s="266"/>
      <c r="T83" s="266"/>
    </row>
    <row r="84" spans="1:20">
      <c r="A84" s="23" t="s">
        <v>65</v>
      </c>
      <c r="B84" s="24" t="s">
        <v>13</v>
      </c>
      <c r="C84" s="24" t="s">
        <v>21</v>
      </c>
      <c r="D84" s="24" t="s">
        <v>17</v>
      </c>
      <c r="E84" s="25" t="s">
        <v>18</v>
      </c>
      <c r="F84" s="24" t="s">
        <v>12</v>
      </c>
      <c r="G84" s="28">
        <v>0</v>
      </c>
      <c r="H84" s="28">
        <v>0</v>
      </c>
      <c r="I84" s="28">
        <v>14141858</v>
      </c>
      <c r="J84" s="28">
        <v>87162317</v>
      </c>
      <c r="K84" s="59">
        <f t="shared" si="4"/>
        <v>101304175</v>
      </c>
      <c r="L84" s="62">
        <f t="shared" si="5"/>
        <v>101304175</v>
      </c>
      <c r="M84" s="65">
        <f t="shared" si="6"/>
        <v>25326043.75</v>
      </c>
      <c r="N84" s="71">
        <f t="shared" si="7"/>
        <v>25326044</v>
      </c>
      <c r="O84" s="68"/>
      <c r="P84" s="68"/>
      <c r="Q84" s="68"/>
      <c r="R84" s="43"/>
      <c r="S84" s="266"/>
      <c r="T84" s="266"/>
    </row>
    <row r="85" spans="1:20">
      <c r="A85" s="23" t="s">
        <v>112</v>
      </c>
      <c r="B85" s="24" t="s">
        <v>13</v>
      </c>
      <c r="C85" s="24" t="s">
        <v>21</v>
      </c>
      <c r="D85" s="24" t="s">
        <v>17</v>
      </c>
      <c r="E85" s="25" t="s">
        <v>18</v>
      </c>
      <c r="F85" s="24" t="s">
        <v>12</v>
      </c>
      <c r="G85" s="28">
        <v>0</v>
      </c>
      <c r="H85" s="28">
        <v>0</v>
      </c>
      <c r="I85" s="28">
        <v>29525162</v>
      </c>
      <c r="J85" s="28">
        <v>0</v>
      </c>
      <c r="K85" s="59">
        <f t="shared" si="4"/>
        <v>29525162</v>
      </c>
      <c r="L85" s="62">
        <f t="shared" si="5"/>
        <v>29525162</v>
      </c>
      <c r="M85" s="65">
        <f t="shared" si="6"/>
        <v>7381290.5</v>
      </c>
      <c r="N85" s="71">
        <f t="shared" si="7"/>
        <v>7381291</v>
      </c>
      <c r="O85" s="68"/>
      <c r="P85" s="68"/>
      <c r="Q85" s="68"/>
      <c r="R85" s="43"/>
      <c r="S85" s="266"/>
      <c r="T85" s="266"/>
    </row>
    <row r="86" spans="1:20">
      <c r="A86" s="23" t="s">
        <v>135</v>
      </c>
      <c r="B86" s="24" t="s">
        <v>13</v>
      </c>
      <c r="C86" s="24" t="s">
        <v>21</v>
      </c>
      <c r="D86" s="24" t="s">
        <v>17</v>
      </c>
      <c r="E86" s="25" t="s">
        <v>23</v>
      </c>
      <c r="F86" s="24" t="s">
        <v>30</v>
      </c>
      <c r="G86" s="28">
        <v>0</v>
      </c>
      <c r="H86" s="28">
        <v>0</v>
      </c>
      <c r="I86" s="28">
        <v>29366791</v>
      </c>
      <c r="J86" s="28">
        <v>89805774</v>
      </c>
      <c r="K86" s="59">
        <f t="shared" si="4"/>
        <v>119172565</v>
      </c>
      <c r="L86" s="62">
        <f t="shared" si="5"/>
        <v>119172565</v>
      </c>
      <c r="M86" s="65">
        <f t="shared" si="6"/>
        <v>29793141.25</v>
      </c>
      <c r="N86" s="71">
        <f t="shared" si="7"/>
        <v>29793141</v>
      </c>
      <c r="O86" s="68"/>
      <c r="P86" s="68"/>
      <c r="Q86" s="68"/>
      <c r="R86" s="43"/>
      <c r="S86" s="266"/>
      <c r="T86" s="266"/>
    </row>
    <row r="87" spans="1:20">
      <c r="A87" s="23" t="s">
        <v>40</v>
      </c>
      <c r="B87" s="24" t="s">
        <v>13</v>
      </c>
      <c r="C87" s="24" t="s">
        <v>21</v>
      </c>
      <c r="D87" s="24" t="s">
        <v>17</v>
      </c>
      <c r="E87" s="25" t="s">
        <v>18</v>
      </c>
      <c r="F87" s="24" t="s">
        <v>30</v>
      </c>
      <c r="G87" s="28">
        <v>0</v>
      </c>
      <c r="H87" s="28">
        <v>0</v>
      </c>
      <c r="I87" s="28">
        <v>73195518</v>
      </c>
      <c r="J87" s="28">
        <v>10695678</v>
      </c>
      <c r="K87" s="59">
        <f t="shared" si="4"/>
        <v>83891196</v>
      </c>
      <c r="L87" s="62">
        <f t="shared" si="5"/>
        <v>83891196</v>
      </c>
      <c r="M87" s="65">
        <f t="shared" si="6"/>
        <v>20972799</v>
      </c>
      <c r="N87" s="71">
        <f t="shared" si="7"/>
        <v>20972799</v>
      </c>
      <c r="O87" s="68"/>
      <c r="P87" s="68"/>
      <c r="Q87" s="68"/>
      <c r="R87" s="43"/>
      <c r="S87" s="266"/>
      <c r="T87" s="266"/>
    </row>
    <row r="88" spans="1:20">
      <c r="A88" s="23" t="s">
        <v>19</v>
      </c>
      <c r="B88" s="24" t="s">
        <v>13</v>
      </c>
      <c r="C88" s="24" t="s">
        <v>21</v>
      </c>
      <c r="D88" s="24" t="s">
        <v>17</v>
      </c>
      <c r="E88" s="25" t="s">
        <v>18</v>
      </c>
      <c r="F88" s="24" t="s">
        <v>12</v>
      </c>
      <c r="G88" s="28">
        <v>0</v>
      </c>
      <c r="H88" s="28">
        <v>0</v>
      </c>
      <c r="I88" s="28">
        <v>1432950</v>
      </c>
      <c r="J88" s="28">
        <v>29672451</v>
      </c>
      <c r="K88" s="59">
        <f t="shared" si="4"/>
        <v>31105401</v>
      </c>
      <c r="L88" s="62">
        <f t="shared" si="5"/>
        <v>31105401</v>
      </c>
      <c r="M88" s="65">
        <f t="shared" si="6"/>
        <v>7776350.25</v>
      </c>
      <c r="N88" s="71">
        <f t="shared" si="7"/>
        <v>7776350</v>
      </c>
      <c r="O88" s="68"/>
      <c r="P88" s="68"/>
      <c r="Q88" s="68"/>
      <c r="R88" s="43"/>
      <c r="S88" s="266"/>
      <c r="T88" s="266"/>
    </row>
    <row r="89" spans="1:20">
      <c r="A89" s="23" t="s">
        <v>70</v>
      </c>
      <c r="B89" s="24" t="s">
        <v>13</v>
      </c>
      <c r="C89" s="24" t="s">
        <v>21</v>
      </c>
      <c r="D89" s="24" t="s">
        <v>10</v>
      </c>
      <c r="E89" s="24" t="s">
        <v>11</v>
      </c>
      <c r="F89" s="24" t="s">
        <v>30</v>
      </c>
      <c r="G89" s="28">
        <v>1000000</v>
      </c>
      <c r="H89" s="28">
        <v>77159264</v>
      </c>
      <c r="I89" s="28">
        <v>0</v>
      </c>
      <c r="J89" s="28">
        <v>97234303</v>
      </c>
      <c r="K89" s="59">
        <f t="shared" si="4"/>
        <v>174393567</v>
      </c>
      <c r="L89" s="62">
        <f t="shared" si="5"/>
        <v>175393567</v>
      </c>
      <c r="M89" s="65">
        <f t="shared" si="6"/>
        <v>43848391.75</v>
      </c>
      <c r="N89" s="71">
        <f t="shared" si="7"/>
        <v>43848392</v>
      </c>
      <c r="O89" s="68"/>
      <c r="P89" s="68"/>
      <c r="Q89" s="68"/>
      <c r="R89" s="43"/>
      <c r="S89" s="266"/>
      <c r="T89" s="266"/>
    </row>
    <row r="90" spans="1:20">
      <c r="A90" s="23" t="s">
        <v>104</v>
      </c>
      <c r="B90" s="25" t="s">
        <v>28</v>
      </c>
      <c r="C90" s="24" t="s">
        <v>21</v>
      </c>
      <c r="D90" s="24" t="s">
        <v>10</v>
      </c>
      <c r="E90" s="24" t="s">
        <v>11</v>
      </c>
      <c r="F90" s="24" t="s">
        <v>12</v>
      </c>
      <c r="G90" s="28">
        <v>100000000</v>
      </c>
      <c r="H90" s="28">
        <v>12451199</v>
      </c>
      <c r="I90" s="28">
        <v>74231711</v>
      </c>
      <c r="J90" s="28">
        <v>42951226</v>
      </c>
      <c r="K90" s="59">
        <f t="shared" si="4"/>
        <v>129634136</v>
      </c>
      <c r="L90" s="62">
        <f t="shared" si="5"/>
        <v>229634136</v>
      </c>
      <c r="M90" s="65">
        <f t="shared" si="6"/>
        <v>57408534</v>
      </c>
      <c r="N90" s="71">
        <f t="shared" si="7"/>
        <v>57408534</v>
      </c>
      <c r="O90" s="68"/>
      <c r="P90" s="68"/>
      <c r="Q90" s="68"/>
      <c r="R90" s="43"/>
      <c r="S90" s="266"/>
      <c r="T90" s="266"/>
    </row>
    <row r="91" spans="1:20">
      <c r="A91" s="23" t="s">
        <v>128</v>
      </c>
      <c r="B91" s="24" t="s">
        <v>13</v>
      </c>
      <c r="C91" s="24" t="s">
        <v>9</v>
      </c>
      <c r="D91" s="24" t="s">
        <v>10</v>
      </c>
      <c r="E91" s="24" t="s">
        <v>11</v>
      </c>
      <c r="F91" s="24" t="s">
        <v>30</v>
      </c>
      <c r="G91" s="28">
        <v>90000000</v>
      </c>
      <c r="H91" s="28">
        <v>13287929</v>
      </c>
      <c r="I91" s="28">
        <v>27090183</v>
      </c>
      <c r="J91" s="28">
        <v>79518711</v>
      </c>
      <c r="K91" s="59">
        <f t="shared" si="4"/>
        <v>119896823</v>
      </c>
      <c r="L91" s="62">
        <f t="shared" si="5"/>
        <v>209896823</v>
      </c>
      <c r="M91" s="65">
        <f t="shared" si="6"/>
        <v>52474205.75</v>
      </c>
      <c r="N91" s="71">
        <f t="shared" si="7"/>
        <v>52474206</v>
      </c>
      <c r="O91" s="68"/>
      <c r="P91" s="68"/>
      <c r="Q91" s="68"/>
      <c r="R91" s="43"/>
      <c r="S91" s="266"/>
      <c r="T91" s="266"/>
    </row>
    <row r="92" spans="1:20">
      <c r="A92" s="23" t="s">
        <v>53</v>
      </c>
      <c r="B92" s="25" t="s">
        <v>28</v>
      </c>
      <c r="C92" s="24" t="s">
        <v>54</v>
      </c>
      <c r="D92" s="24" t="s">
        <v>55</v>
      </c>
      <c r="E92" s="24" t="s">
        <v>56</v>
      </c>
      <c r="F92" s="24" t="s">
        <v>12</v>
      </c>
      <c r="G92" s="28">
        <v>0</v>
      </c>
      <c r="H92" s="28">
        <v>0</v>
      </c>
      <c r="I92" s="28">
        <v>20898506</v>
      </c>
      <c r="J92" s="28">
        <v>24525645</v>
      </c>
      <c r="K92" s="59">
        <f t="shared" si="4"/>
        <v>45424151</v>
      </c>
      <c r="L92" s="62">
        <f t="shared" si="5"/>
        <v>45424151</v>
      </c>
      <c r="M92" s="65">
        <f t="shared" si="6"/>
        <v>11356037.75</v>
      </c>
      <c r="N92" s="71">
        <f t="shared" si="7"/>
        <v>11356038</v>
      </c>
      <c r="O92" s="68"/>
      <c r="P92" s="68"/>
      <c r="Q92" s="68"/>
      <c r="R92" s="43"/>
      <c r="S92" s="266"/>
      <c r="T92" s="266"/>
    </row>
    <row r="93" spans="1:20">
      <c r="A93" s="23" t="s">
        <v>51</v>
      </c>
      <c r="B93" s="24" t="s">
        <v>13</v>
      </c>
      <c r="C93" s="24" t="s">
        <v>21</v>
      </c>
      <c r="D93" s="24" t="s">
        <v>10</v>
      </c>
      <c r="E93" s="24" t="s">
        <v>11</v>
      </c>
      <c r="F93" s="24" t="s">
        <v>12</v>
      </c>
      <c r="G93" s="28">
        <v>5000000</v>
      </c>
      <c r="H93" s="28">
        <v>37959268</v>
      </c>
      <c r="I93" s="28">
        <v>69132389</v>
      </c>
      <c r="J93" s="28">
        <v>99564796</v>
      </c>
      <c r="K93" s="59">
        <f t="shared" si="4"/>
        <v>206656453</v>
      </c>
      <c r="L93" s="62">
        <f t="shared" si="5"/>
        <v>211656453</v>
      </c>
      <c r="M93" s="65">
        <f t="shared" si="6"/>
        <v>52914113.25</v>
      </c>
      <c r="N93" s="71">
        <f t="shared" si="7"/>
        <v>52914113</v>
      </c>
      <c r="O93" s="68"/>
      <c r="P93" s="68"/>
      <c r="Q93" s="68"/>
      <c r="R93" s="43"/>
      <c r="S93" s="266"/>
      <c r="T93" s="266"/>
    </row>
    <row r="94" spans="1:20">
      <c r="A94" s="23" t="s">
        <v>63</v>
      </c>
      <c r="B94" s="24" t="s">
        <v>13</v>
      </c>
      <c r="C94" s="24" t="s">
        <v>21</v>
      </c>
      <c r="D94" s="24" t="s">
        <v>17</v>
      </c>
      <c r="E94" s="25" t="s">
        <v>18</v>
      </c>
      <c r="F94" s="24" t="s">
        <v>30</v>
      </c>
      <c r="G94" s="28">
        <v>0</v>
      </c>
      <c r="H94" s="28">
        <v>0</v>
      </c>
      <c r="I94" s="28">
        <v>26450622</v>
      </c>
      <c r="J94" s="28">
        <v>4227264</v>
      </c>
      <c r="K94" s="59">
        <f t="shared" si="4"/>
        <v>30677886</v>
      </c>
      <c r="L94" s="62">
        <f t="shared" si="5"/>
        <v>30677886</v>
      </c>
      <c r="M94" s="65">
        <f t="shared" si="6"/>
        <v>7669471.5</v>
      </c>
      <c r="N94" s="71">
        <f t="shared" si="7"/>
        <v>7669472</v>
      </c>
      <c r="O94" s="68"/>
      <c r="P94" s="68"/>
      <c r="Q94" s="68"/>
      <c r="R94" s="43"/>
      <c r="S94" s="266"/>
      <c r="T94" s="266"/>
    </row>
    <row r="95" spans="1:20">
      <c r="A95" s="23" t="s">
        <v>76</v>
      </c>
      <c r="B95" s="25" t="s">
        <v>77</v>
      </c>
      <c r="C95" s="24" t="s">
        <v>21</v>
      </c>
      <c r="D95" s="24" t="s">
        <v>17</v>
      </c>
      <c r="E95" s="25" t="s">
        <v>18</v>
      </c>
      <c r="F95" s="24" t="s">
        <v>30</v>
      </c>
      <c r="G95" s="28">
        <v>0</v>
      </c>
      <c r="H95" s="28">
        <v>0</v>
      </c>
      <c r="I95" s="28">
        <v>0</v>
      </c>
      <c r="J95" s="28">
        <v>54376640</v>
      </c>
      <c r="K95" s="59">
        <f t="shared" si="4"/>
        <v>54376640</v>
      </c>
      <c r="L95" s="62">
        <f t="shared" si="5"/>
        <v>54376640</v>
      </c>
      <c r="M95" s="65">
        <f t="shared" si="6"/>
        <v>13594160</v>
      </c>
      <c r="N95" s="71">
        <f t="shared" si="7"/>
        <v>13594160</v>
      </c>
      <c r="O95" s="68"/>
      <c r="P95" s="68"/>
      <c r="Q95" s="68"/>
      <c r="R95" s="43"/>
      <c r="S95" s="266"/>
      <c r="T95" s="266"/>
    </row>
    <row r="96" spans="1:20">
      <c r="A96" s="23" t="s">
        <v>134</v>
      </c>
      <c r="B96" s="24" t="s">
        <v>13</v>
      </c>
      <c r="C96" s="24" t="s">
        <v>21</v>
      </c>
      <c r="D96" s="24" t="s">
        <v>10</v>
      </c>
      <c r="E96" s="24" t="s">
        <v>27</v>
      </c>
      <c r="F96" s="24" t="s">
        <v>12</v>
      </c>
      <c r="G96" s="28">
        <v>90000000</v>
      </c>
      <c r="H96" s="28">
        <v>29991873</v>
      </c>
      <c r="I96" s="28">
        <v>39252741</v>
      </c>
      <c r="J96" s="28">
        <v>15542722</v>
      </c>
      <c r="K96" s="59">
        <f t="shared" si="4"/>
        <v>84787336</v>
      </c>
      <c r="L96" s="62">
        <f t="shared" si="5"/>
        <v>174787336</v>
      </c>
      <c r="M96" s="65">
        <f t="shared" si="6"/>
        <v>43696834</v>
      </c>
      <c r="N96" s="71">
        <f t="shared" si="7"/>
        <v>43696834</v>
      </c>
      <c r="O96" s="68"/>
      <c r="P96" s="68"/>
      <c r="Q96" s="68"/>
      <c r="R96" s="43"/>
      <c r="S96" s="266"/>
      <c r="T96" s="266"/>
    </row>
    <row r="97" spans="1:20">
      <c r="A97" s="23" t="s">
        <v>52</v>
      </c>
      <c r="B97" s="24" t="s">
        <v>13</v>
      </c>
      <c r="C97" s="24" t="s">
        <v>21</v>
      </c>
      <c r="D97" s="24" t="s">
        <v>10</v>
      </c>
      <c r="E97" s="24" t="s">
        <v>27</v>
      </c>
      <c r="F97" s="24" t="s">
        <v>12</v>
      </c>
      <c r="G97" s="28">
        <v>10000000</v>
      </c>
      <c r="H97" s="28">
        <v>7303129</v>
      </c>
      <c r="I97" s="28">
        <v>3765621</v>
      </c>
      <c r="J97" s="28">
        <v>18125151</v>
      </c>
      <c r="K97" s="59">
        <f t="shared" si="4"/>
        <v>29193901</v>
      </c>
      <c r="L97" s="62">
        <f t="shared" si="5"/>
        <v>39193901</v>
      </c>
      <c r="M97" s="65">
        <f t="shared" si="6"/>
        <v>9798475.25</v>
      </c>
      <c r="N97" s="71">
        <f t="shared" si="7"/>
        <v>9798475</v>
      </c>
      <c r="O97" s="68"/>
      <c r="P97" s="68"/>
      <c r="Q97" s="68"/>
      <c r="R97" s="43"/>
      <c r="S97" s="266"/>
      <c r="T97" s="266"/>
    </row>
    <row r="98" spans="1:20">
      <c r="A98" s="23" t="s">
        <v>69</v>
      </c>
      <c r="B98" s="25" t="s">
        <v>32</v>
      </c>
      <c r="C98" s="24" t="s">
        <v>21</v>
      </c>
      <c r="D98" s="24" t="s">
        <v>10</v>
      </c>
      <c r="E98" s="24" t="s">
        <v>27</v>
      </c>
      <c r="F98" s="24" t="s">
        <v>12</v>
      </c>
      <c r="G98" s="28">
        <v>30000000</v>
      </c>
      <c r="H98" s="28">
        <v>44457754</v>
      </c>
      <c r="I98" s="28">
        <v>0</v>
      </c>
      <c r="J98" s="28">
        <v>62249765</v>
      </c>
      <c r="K98" s="59">
        <f t="shared" si="4"/>
        <v>106707519</v>
      </c>
      <c r="L98" s="62">
        <f t="shared" si="5"/>
        <v>136707519</v>
      </c>
      <c r="M98" s="65">
        <f t="shared" si="6"/>
        <v>34176879.75</v>
      </c>
      <c r="N98" s="71">
        <f t="shared" si="7"/>
        <v>34176880</v>
      </c>
      <c r="O98" s="68"/>
      <c r="P98" s="68"/>
      <c r="Q98" s="68"/>
      <c r="R98" s="43"/>
      <c r="S98" s="266"/>
      <c r="T98" s="266"/>
    </row>
    <row r="99" spans="1:20">
      <c r="A99" s="23" t="s">
        <v>83</v>
      </c>
      <c r="B99" s="24" t="s">
        <v>13</v>
      </c>
      <c r="C99" s="24" t="s">
        <v>21</v>
      </c>
      <c r="D99" s="24" t="s">
        <v>10</v>
      </c>
      <c r="E99" s="24" t="s">
        <v>11</v>
      </c>
      <c r="F99" s="24" t="s">
        <v>12</v>
      </c>
      <c r="G99" s="28">
        <v>10000000</v>
      </c>
      <c r="H99" s="28">
        <v>54467236</v>
      </c>
      <c r="I99" s="28">
        <v>0</v>
      </c>
      <c r="J99" s="28">
        <v>1234692</v>
      </c>
      <c r="K99" s="59">
        <f t="shared" si="4"/>
        <v>55701928</v>
      </c>
      <c r="L99" s="62">
        <f t="shared" si="5"/>
        <v>65701928</v>
      </c>
      <c r="M99" s="65">
        <f t="shared" si="6"/>
        <v>16425482</v>
      </c>
      <c r="N99" s="71">
        <f t="shared" si="7"/>
        <v>16425482</v>
      </c>
      <c r="O99" s="68"/>
      <c r="P99" s="68"/>
      <c r="Q99" s="68"/>
      <c r="R99" s="43"/>
      <c r="S99" s="266"/>
      <c r="T99" s="266"/>
    </row>
    <row r="100" spans="1:20">
      <c r="A100" s="23" t="s">
        <v>75</v>
      </c>
      <c r="B100" s="24" t="s">
        <v>13</v>
      </c>
      <c r="C100" s="24" t="s">
        <v>21</v>
      </c>
      <c r="D100" s="24" t="s">
        <v>10</v>
      </c>
      <c r="E100" s="24" t="s">
        <v>27</v>
      </c>
      <c r="F100" s="24" t="s">
        <v>12</v>
      </c>
      <c r="G100" s="28">
        <v>10000000</v>
      </c>
      <c r="H100" s="28">
        <v>17991607</v>
      </c>
      <c r="I100" s="28">
        <v>0</v>
      </c>
      <c r="J100" s="28">
        <v>174626</v>
      </c>
      <c r="K100" s="59">
        <f t="shared" si="4"/>
        <v>18166233</v>
      </c>
      <c r="L100" s="62">
        <f t="shared" si="5"/>
        <v>28166233</v>
      </c>
      <c r="M100" s="65">
        <f t="shared" si="6"/>
        <v>7041558.25</v>
      </c>
      <c r="N100" s="71">
        <f t="shared" si="7"/>
        <v>7041558</v>
      </c>
      <c r="O100" s="68"/>
      <c r="P100" s="68"/>
      <c r="Q100" s="68"/>
      <c r="R100" s="43"/>
      <c r="S100" s="266"/>
      <c r="T100" s="266"/>
    </row>
    <row r="101" spans="1:20">
      <c r="A101" s="23" t="s">
        <v>92</v>
      </c>
      <c r="B101" s="24" t="s">
        <v>13</v>
      </c>
      <c r="C101" s="24" t="s">
        <v>21</v>
      </c>
      <c r="D101" s="24" t="s">
        <v>17</v>
      </c>
      <c r="E101" s="25" t="s">
        <v>23</v>
      </c>
      <c r="F101" s="24" t="s">
        <v>12</v>
      </c>
      <c r="G101" s="28">
        <v>0</v>
      </c>
      <c r="H101" s="28">
        <v>0</v>
      </c>
      <c r="I101" s="28">
        <v>24965127</v>
      </c>
      <c r="J101" s="28">
        <v>41129782</v>
      </c>
      <c r="K101" s="59">
        <f t="shared" si="4"/>
        <v>66094909</v>
      </c>
      <c r="L101" s="62">
        <f t="shared" si="5"/>
        <v>66094909</v>
      </c>
      <c r="M101" s="65">
        <f t="shared" si="6"/>
        <v>16523727.25</v>
      </c>
      <c r="N101" s="71">
        <f t="shared" si="7"/>
        <v>16523727</v>
      </c>
      <c r="O101" s="68"/>
      <c r="P101" s="68"/>
      <c r="Q101" s="68"/>
      <c r="R101" s="43"/>
      <c r="S101" s="266"/>
      <c r="T101" s="266"/>
    </row>
  </sheetData>
  <autoFilter ref="A1:O101" xr:uid="{35D55B5B-A8F2-4DD0-945C-3645D63616D5}"/>
  <mergeCells count="96">
    <mergeCell ref="R15:U15"/>
    <mergeCell ref="S1:T1"/>
    <mergeCell ref="S2:T2"/>
    <mergeCell ref="S3:T3"/>
    <mergeCell ref="S4:T4"/>
    <mergeCell ref="S5:T5"/>
    <mergeCell ref="S6:T6"/>
    <mergeCell ref="S7:T7"/>
    <mergeCell ref="S8:T8"/>
    <mergeCell ref="S9:T9"/>
    <mergeCell ref="R10:U10"/>
    <mergeCell ref="S14:T14"/>
    <mergeCell ref="S29:T29"/>
    <mergeCell ref="S18:T18"/>
    <mergeCell ref="S19:T19"/>
    <mergeCell ref="S20:T20"/>
    <mergeCell ref="S21:T21"/>
    <mergeCell ref="S22:T22"/>
    <mergeCell ref="S23:T23"/>
    <mergeCell ref="S24:T24"/>
    <mergeCell ref="S25:T25"/>
    <mergeCell ref="S26:T26"/>
    <mergeCell ref="S27:T27"/>
    <mergeCell ref="S28:T28"/>
    <mergeCell ref="S41:T41"/>
    <mergeCell ref="S30:T30"/>
    <mergeCell ref="S31:T31"/>
    <mergeCell ref="S32:T32"/>
    <mergeCell ref="S33:T33"/>
    <mergeCell ref="S34:T34"/>
    <mergeCell ref="S35:T35"/>
    <mergeCell ref="S36:T36"/>
    <mergeCell ref="S37:T37"/>
    <mergeCell ref="S38:T38"/>
    <mergeCell ref="S39:T39"/>
    <mergeCell ref="S40:T40"/>
    <mergeCell ref="S53:T53"/>
    <mergeCell ref="S42:T42"/>
    <mergeCell ref="S43:T43"/>
    <mergeCell ref="S44:T44"/>
    <mergeCell ref="S45:T45"/>
    <mergeCell ref="S46:T46"/>
    <mergeCell ref="S47:T47"/>
    <mergeCell ref="S48:T48"/>
    <mergeCell ref="S49:T49"/>
    <mergeCell ref="S50:T50"/>
    <mergeCell ref="S51:T51"/>
    <mergeCell ref="S52:T52"/>
    <mergeCell ref="S65:T65"/>
    <mergeCell ref="S54:T54"/>
    <mergeCell ref="S55:T55"/>
    <mergeCell ref="S56:T56"/>
    <mergeCell ref="S57:T57"/>
    <mergeCell ref="S58:T58"/>
    <mergeCell ref="S59:T59"/>
    <mergeCell ref="S60:T60"/>
    <mergeCell ref="S61:T61"/>
    <mergeCell ref="S62:T62"/>
    <mergeCell ref="S63:T63"/>
    <mergeCell ref="S64:T64"/>
    <mergeCell ref="S77:T77"/>
    <mergeCell ref="S66:T66"/>
    <mergeCell ref="S67:T67"/>
    <mergeCell ref="S68:T68"/>
    <mergeCell ref="S69:T69"/>
    <mergeCell ref="S70:T70"/>
    <mergeCell ref="S71:T71"/>
    <mergeCell ref="S72:T72"/>
    <mergeCell ref="S73:T73"/>
    <mergeCell ref="S74:T74"/>
    <mergeCell ref="S75:T75"/>
    <mergeCell ref="S76:T76"/>
    <mergeCell ref="S89:T89"/>
    <mergeCell ref="S78:T78"/>
    <mergeCell ref="S79:T79"/>
    <mergeCell ref="S80:T80"/>
    <mergeCell ref="S81:T81"/>
    <mergeCell ref="S82:T82"/>
    <mergeCell ref="S83:T83"/>
    <mergeCell ref="S84:T84"/>
    <mergeCell ref="S85:T85"/>
    <mergeCell ref="S86:T86"/>
    <mergeCell ref="S87:T87"/>
    <mergeCell ref="S88:T88"/>
    <mergeCell ref="S101:T101"/>
    <mergeCell ref="S90:T90"/>
    <mergeCell ref="S91:T91"/>
    <mergeCell ref="S92:T92"/>
    <mergeCell ref="S93:T93"/>
    <mergeCell ref="S94:T94"/>
    <mergeCell ref="S95:T95"/>
    <mergeCell ref="S96:T96"/>
    <mergeCell ref="S97:T97"/>
    <mergeCell ref="S98:T98"/>
    <mergeCell ref="S99:T99"/>
    <mergeCell ref="S100:T10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DC1AD-2E2D-416A-9ADE-323A51D14D66}">
  <sheetPr codeName="Hoja4"/>
  <dimension ref="A1:V103"/>
  <sheetViews>
    <sheetView zoomScale="85" zoomScaleNormal="85" workbookViewId="0">
      <selection activeCell="T33" sqref="T33"/>
    </sheetView>
  </sheetViews>
  <sheetFormatPr baseColWidth="10" defaultRowHeight="15"/>
  <cols>
    <col min="3" max="3" width="14.85546875" customWidth="1"/>
    <col min="5" max="5" width="29.28515625" customWidth="1"/>
    <col min="6" max="6" width="17.28515625" customWidth="1"/>
    <col min="7" max="7" width="30.28515625" bestFit="1" customWidth="1"/>
    <col min="8" max="8" width="22.85546875" customWidth="1"/>
    <col min="9" max="9" width="26.7109375" customWidth="1"/>
    <col min="10" max="10" width="25.5703125" customWidth="1"/>
    <col min="11" max="13" width="19" customWidth="1"/>
    <col min="14" max="14" width="15.140625" customWidth="1"/>
    <col min="15" max="15" width="16" customWidth="1"/>
    <col min="17" max="17" width="58.28515625" bestFit="1" customWidth="1"/>
    <col min="18" max="18" width="13.7109375" bestFit="1" customWidth="1"/>
    <col min="19" max="19" width="18.140625" bestFit="1" customWidth="1"/>
    <col min="21" max="21" width="28.42578125" customWidth="1"/>
    <col min="22" max="22" width="22.5703125" customWidth="1"/>
  </cols>
  <sheetData>
    <row r="1" spans="1:22" ht="45" customHeight="1">
      <c r="A1" s="43"/>
      <c r="B1" s="43"/>
      <c r="C1" s="43"/>
      <c r="D1" s="43"/>
      <c r="E1" s="43"/>
      <c r="F1" s="43"/>
      <c r="G1" s="43"/>
      <c r="H1" s="43"/>
      <c r="I1" s="43"/>
      <c r="J1" s="43"/>
      <c r="K1" s="43"/>
      <c r="L1" s="43"/>
      <c r="M1" s="43"/>
      <c r="N1" s="43"/>
      <c r="O1" s="43"/>
      <c r="P1" s="43"/>
      <c r="Q1" s="281" t="s">
        <v>200</v>
      </c>
      <c r="R1" s="281"/>
      <c r="S1" s="281"/>
      <c r="T1" s="43"/>
    </row>
    <row r="2" spans="1:22">
      <c r="A2" s="43"/>
      <c r="B2" s="43"/>
      <c r="C2" s="43"/>
      <c r="D2" s="43"/>
      <c r="E2" s="43"/>
      <c r="F2" s="43"/>
      <c r="G2" s="43"/>
      <c r="H2" s="43"/>
      <c r="I2" s="43"/>
      <c r="J2" s="43"/>
      <c r="K2" s="43"/>
      <c r="L2" s="43"/>
      <c r="M2" s="43"/>
      <c r="N2" s="43"/>
      <c r="O2" s="43"/>
      <c r="P2" s="43"/>
      <c r="Q2" s="281"/>
      <c r="R2" s="281"/>
      <c r="S2" s="281"/>
      <c r="T2" s="43"/>
    </row>
    <row r="3" spans="1:22" ht="60">
      <c r="A3" s="43"/>
      <c r="B3" s="91" t="s">
        <v>0</v>
      </c>
      <c r="C3" s="20" t="s">
        <v>7</v>
      </c>
      <c r="D3" s="20" t="s">
        <v>3</v>
      </c>
      <c r="E3" s="20" t="s">
        <v>4</v>
      </c>
      <c r="F3" s="20" t="s">
        <v>5</v>
      </c>
      <c r="G3" s="20" t="s">
        <v>6</v>
      </c>
      <c r="H3" s="20" t="s">
        <v>226</v>
      </c>
      <c r="I3" s="20" t="s">
        <v>227</v>
      </c>
      <c r="J3" s="20" t="s">
        <v>175</v>
      </c>
      <c r="K3" s="20" t="s">
        <v>176</v>
      </c>
      <c r="L3" s="20" t="s">
        <v>177</v>
      </c>
      <c r="M3" s="20" t="s">
        <v>178</v>
      </c>
      <c r="N3" s="35" t="s">
        <v>228</v>
      </c>
      <c r="O3" s="35" t="s">
        <v>229</v>
      </c>
      <c r="P3" s="35"/>
      <c r="Q3" s="82" t="s">
        <v>201</v>
      </c>
      <c r="R3" s="81" t="s">
        <v>137</v>
      </c>
      <c r="S3" s="86" t="s">
        <v>223</v>
      </c>
      <c r="T3" s="43"/>
      <c r="U3" s="88" t="s">
        <v>224</v>
      </c>
      <c r="V3" s="89" t="s">
        <v>137</v>
      </c>
    </row>
    <row r="4" spans="1:22">
      <c r="A4" s="43"/>
      <c r="B4" s="92" t="s">
        <v>57</v>
      </c>
      <c r="C4" s="24" t="s">
        <v>13</v>
      </c>
      <c r="D4" s="24" t="s">
        <v>54</v>
      </c>
      <c r="E4" s="24" t="s">
        <v>55</v>
      </c>
      <c r="F4" s="24" t="s">
        <v>56</v>
      </c>
      <c r="G4" s="24" t="s">
        <v>12</v>
      </c>
      <c r="H4" s="24">
        <v>3</v>
      </c>
      <c r="I4" s="24">
        <v>8</v>
      </c>
      <c r="J4" s="28">
        <v>0</v>
      </c>
      <c r="K4" s="28">
        <v>0</v>
      </c>
      <c r="L4" s="28">
        <v>96781441</v>
      </c>
      <c r="M4" s="28">
        <v>47643060</v>
      </c>
      <c r="N4" s="93">
        <f>(Tabla3[[#This Row],[Inversión real 2017]]-Tabla3[[#This Row],[Inversión real 2016]])/Tabla3[[#This Row],[Inversión real 2016]]</f>
        <v>1.0313859143388355</v>
      </c>
      <c r="O4" s="93" t="e">
        <f>(Tabla3[[#This Row],[Inversión real 2017]]-Tabla3[[#This Row],[Inversión real 2018]])/Tabla3[[#This Row],[Inversión real 2018]]</f>
        <v>#DIV/0!</v>
      </c>
      <c r="P4" s="50"/>
      <c r="Q4" s="84" t="s">
        <v>3</v>
      </c>
      <c r="R4" s="74" t="s">
        <v>202</v>
      </c>
      <c r="S4" s="43"/>
      <c r="T4" s="43"/>
      <c r="U4" s="74" t="s">
        <v>3</v>
      </c>
      <c r="V4" s="74" t="s">
        <v>202</v>
      </c>
    </row>
    <row r="5" spans="1:22">
      <c r="A5" s="43"/>
      <c r="B5" s="92" t="s">
        <v>98</v>
      </c>
      <c r="C5" s="24" t="s">
        <v>13</v>
      </c>
      <c r="D5" s="24" t="s">
        <v>21</v>
      </c>
      <c r="E5" s="24" t="s">
        <v>10</v>
      </c>
      <c r="F5" s="24" t="s">
        <v>11</v>
      </c>
      <c r="G5" s="24" t="s">
        <v>30</v>
      </c>
      <c r="H5" s="24">
        <v>8</v>
      </c>
      <c r="I5" s="24">
        <v>7</v>
      </c>
      <c r="J5" s="28">
        <v>10000000</v>
      </c>
      <c r="K5" s="28">
        <v>40848959</v>
      </c>
      <c r="L5" s="28">
        <v>92963332</v>
      </c>
      <c r="M5" s="28">
        <v>47565587</v>
      </c>
      <c r="N5" s="93">
        <f>(Tabla3[[#This Row],[Inversión real 2017]]-Tabla3[[#This Row],[Inversión real 2016]])/Tabla3[[#This Row],[Inversión real 2016]]</f>
        <v>0.95442415122512836</v>
      </c>
      <c r="O5" s="93">
        <f>(Tabla3[[#This Row],[Inversión real 2017]]-Tabla3[[#This Row],[Inversión real 2018]])/Tabla3[[#This Row],[Inversión real 2018]]</f>
        <v>1.2757821564069722</v>
      </c>
      <c r="P5" s="50"/>
      <c r="Q5" s="85" t="s">
        <v>21</v>
      </c>
      <c r="R5" s="28">
        <v>2002341114</v>
      </c>
      <c r="S5" s="83">
        <f>SUMIF($D$4:$D$103,Q5,$K$4:$K$103)</f>
        <v>2002341114</v>
      </c>
      <c r="T5" s="43"/>
      <c r="U5" s="24" t="s">
        <v>21</v>
      </c>
      <c r="V5" s="28">
        <f>SUMIF($D$4:$D$103,U5,$K$4:$K$103)-SUMIF($D$4:$D$103,U5,$J$4:$J$103)</f>
        <v>933341114</v>
      </c>
    </row>
    <row r="6" spans="1:22">
      <c r="A6" s="43"/>
      <c r="B6" s="92" t="s">
        <v>118</v>
      </c>
      <c r="C6" s="24" t="s">
        <v>13</v>
      </c>
      <c r="D6" s="24" t="s">
        <v>9</v>
      </c>
      <c r="E6" s="24" t="s">
        <v>17</v>
      </c>
      <c r="F6" s="25" t="s">
        <v>23</v>
      </c>
      <c r="G6" s="24" t="s">
        <v>12</v>
      </c>
      <c r="H6" s="24">
        <v>5</v>
      </c>
      <c r="I6" s="24">
        <v>10</v>
      </c>
      <c r="J6" s="23" t="s">
        <v>141</v>
      </c>
      <c r="K6" s="23" t="s">
        <v>179</v>
      </c>
      <c r="L6" s="28">
        <v>49599457</v>
      </c>
      <c r="M6" s="23" t="s">
        <v>179</v>
      </c>
      <c r="N6" s="93" t="e">
        <f>(Tabla3[[#This Row],[Inversión real 2017]]-Tabla3[[#This Row],[Inversión real 2016]])/Tabla3[[#This Row],[Inversión real 2016]]</f>
        <v>#VALUE!</v>
      </c>
      <c r="O6" s="93" t="e">
        <f>(Tabla3[[#This Row],[Inversión real 2017]]-Tabla3[[#This Row],[Inversión real 2018]])/Tabla3[[#This Row],[Inversión real 2018]]</f>
        <v>#VALUE!</v>
      </c>
      <c r="P6" s="50"/>
      <c r="Q6" s="85" t="s">
        <v>25</v>
      </c>
      <c r="R6" s="28">
        <v>535791961</v>
      </c>
      <c r="S6" s="83">
        <f t="shared" ref="S6:S9" si="0">SUMIF($D$4:$D$103,Q6,$K$4:$K$103)</f>
        <v>535791961</v>
      </c>
      <c r="T6" s="43"/>
      <c r="U6" s="90" t="s">
        <v>25</v>
      </c>
      <c r="V6" s="28">
        <f t="shared" ref="V6:V9" si="1">SUMIF($D$4:$D$103,U6,$K$4:$K$103)-SUMIF($D$4:$D$103,U6,$J$4:$J$103)</f>
        <v>298791961</v>
      </c>
    </row>
    <row r="7" spans="1:22">
      <c r="A7" s="43"/>
      <c r="B7" s="92" t="s">
        <v>60</v>
      </c>
      <c r="C7" s="24" t="s">
        <v>13</v>
      </c>
      <c r="D7" s="24" t="s">
        <v>21</v>
      </c>
      <c r="E7" s="24" t="s">
        <v>10</v>
      </c>
      <c r="F7" s="24" t="s">
        <v>27</v>
      </c>
      <c r="G7" s="24" t="s">
        <v>12</v>
      </c>
      <c r="H7" s="24">
        <v>4</v>
      </c>
      <c r="I7" s="24">
        <v>8</v>
      </c>
      <c r="J7" s="28">
        <v>10000000</v>
      </c>
      <c r="K7" s="28">
        <v>78308880</v>
      </c>
      <c r="L7" s="28">
        <v>3248026</v>
      </c>
      <c r="M7" s="28">
        <v>27143270</v>
      </c>
      <c r="N7" s="93">
        <f>(Tabla3[[#This Row],[Inversión real 2017]]-Tabla3[[#This Row],[Inversión real 2016]])/Tabla3[[#This Row],[Inversión real 2016]]</f>
        <v>-0.88033770433702352</v>
      </c>
      <c r="O7" s="93">
        <f>(Tabla3[[#This Row],[Inversión real 2017]]-Tabla3[[#This Row],[Inversión real 2018]])/Tabla3[[#This Row],[Inversión real 2018]]</f>
        <v>-0.95852289037973726</v>
      </c>
      <c r="P7" s="50"/>
      <c r="Q7" s="85" t="s">
        <v>15</v>
      </c>
      <c r="R7" s="28">
        <v>253232607</v>
      </c>
      <c r="S7" s="83">
        <f t="shared" si="0"/>
        <v>253232607</v>
      </c>
      <c r="T7" s="43"/>
      <c r="U7" s="24" t="s">
        <v>15</v>
      </c>
      <c r="V7" s="28">
        <f t="shared" si="1"/>
        <v>203232607</v>
      </c>
    </row>
    <row r="8" spans="1:22">
      <c r="A8" s="43"/>
      <c r="B8" s="92" t="s">
        <v>8</v>
      </c>
      <c r="C8" s="24" t="s">
        <v>13</v>
      </c>
      <c r="D8" s="24" t="s">
        <v>9</v>
      </c>
      <c r="E8" s="24" t="s">
        <v>10</v>
      </c>
      <c r="F8" s="24" t="s">
        <v>11</v>
      </c>
      <c r="G8" s="24" t="s">
        <v>12</v>
      </c>
      <c r="H8" s="24">
        <v>4</v>
      </c>
      <c r="I8" s="24">
        <v>9</v>
      </c>
      <c r="J8" s="28">
        <v>50000000</v>
      </c>
      <c r="K8" s="28">
        <v>2910571</v>
      </c>
      <c r="L8" s="28">
        <v>37561085</v>
      </c>
      <c r="M8" s="28">
        <v>19598007</v>
      </c>
      <c r="N8" s="93">
        <f>(Tabla3[[#This Row],[Inversión real 2017]]-Tabla3[[#This Row],[Inversión real 2016]])/Tabla3[[#This Row],[Inversión real 2016]]</f>
        <v>0.91657677232179779</v>
      </c>
      <c r="O8" s="93">
        <f>(Tabla3[[#This Row],[Inversión real 2017]]-Tabla3[[#This Row],[Inversión real 2018]])/Tabla3[[#This Row],[Inversión real 2018]]</f>
        <v>11.905057117658357</v>
      </c>
      <c r="P8" s="50"/>
      <c r="Q8" s="85" t="s">
        <v>9</v>
      </c>
      <c r="R8" s="28">
        <v>187304900</v>
      </c>
      <c r="S8" s="83">
        <f t="shared" si="0"/>
        <v>187304900</v>
      </c>
      <c r="T8" s="43"/>
      <c r="U8" s="90" t="s">
        <v>9</v>
      </c>
      <c r="V8" s="28">
        <f t="shared" si="1"/>
        <v>-23695100</v>
      </c>
    </row>
    <row r="9" spans="1:22">
      <c r="A9" s="43"/>
      <c r="B9" s="92" t="s">
        <v>125</v>
      </c>
      <c r="C9" s="24" t="s">
        <v>13</v>
      </c>
      <c r="D9" s="24" t="s">
        <v>21</v>
      </c>
      <c r="E9" s="24" t="s">
        <v>10</v>
      </c>
      <c r="F9" s="24" t="s">
        <v>27</v>
      </c>
      <c r="G9" s="24" t="s">
        <v>12</v>
      </c>
      <c r="H9" s="24">
        <v>9</v>
      </c>
      <c r="I9" s="24">
        <v>7</v>
      </c>
      <c r="J9" s="28">
        <v>90000000</v>
      </c>
      <c r="K9" s="28">
        <v>50075523</v>
      </c>
      <c r="L9" s="28">
        <v>59142617</v>
      </c>
      <c r="M9" s="28">
        <v>95314026</v>
      </c>
      <c r="N9" s="93">
        <f>(Tabla3[[#This Row],[Inversión real 2017]]-Tabla3[[#This Row],[Inversión real 2016]])/Tabla3[[#This Row],[Inversión real 2016]]</f>
        <v>-0.37949723160366766</v>
      </c>
      <c r="O9" s="93">
        <f>(Tabla3[[#This Row],[Inversión real 2017]]-Tabla3[[#This Row],[Inversión real 2018]])/Tabla3[[#This Row],[Inversión real 2018]]</f>
        <v>0.18106838344953483</v>
      </c>
      <c r="P9" s="50"/>
      <c r="Q9" s="85" t="s">
        <v>54</v>
      </c>
      <c r="R9" s="23" t="s">
        <v>141</v>
      </c>
      <c r="S9" s="83">
        <f t="shared" si="0"/>
        <v>0</v>
      </c>
      <c r="T9" s="43"/>
      <c r="U9" s="24" t="s">
        <v>54</v>
      </c>
      <c r="V9" s="28">
        <f t="shared" si="1"/>
        <v>0</v>
      </c>
    </row>
    <row r="10" spans="1:22">
      <c r="A10" s="43"/>
      <c r="B10" s="92" t="s">
        <v>74</v>
      </c>
      <c r="C10" s="24" t="s">
        <v>13</v>
      </c>
      <c r="D10" s="24" t="s">
        <v>21</v>
      </c>
      <c r="E10" s="24" t="s">
        <v>17</v>
      </c>
      <c r="F10" s="25" t="s">
        <v>23</v>
      </c>
      <c r="G10" s="24" t="s">
        <v>12</v>
      </c>
      <c r="H10" s="24">
        <v>5</v>
      </c>
      <c r="I10" s="24">
        <v>9</v>
      </c>
      <c r="J10" s="23" t="s">
        <v>141</v>
      </c>
      <c r="K10" s="23" t="s">
        <v>179</v>
      </c>
      <c r="L10" s="23" t="s">
        <v>179</v>
      </c>
      <c r="M10" s="28">
        <v>67714973</v>
      </c>
      <c r="N10" s="93" t="e">
        <f>(Tabla3[[#This Row],[Inversión real 2017]]-Tabla3[[#This Row],[Inversión real 2016]])/Tabla3[[#This Row],[Inversión real 2016]]</f>
        <v>#VALUE!</v>
      </c>
      <c r="O10" s="93" t="e">
        <f>(Tabla3[[#This Row],[Inversión real 2017]]-Tabla3[[#This Row],[Inversión real 2018]])/Tabla3[[#This Row],[Inversión real 2018]]</f>
        <v>#VALUE!</v>
      </c>
      <c r="P10" s="50"/>
      <c r="Q10" s="50"/>
      <c r="R10" s="50"/>
      <c r="S10" s="43"/>
      <c r="T10" s="43"/>
    </row>
    <row r="11" spans="1:22">
      <c r="A11" s="43"/>
      <c r="B11" s="92" t="s">
        <v>29</v>
      </c>
      <c r="C11" s="24" t="s">
        <v>13</v>
      </c>
      <c r="D11" s="24" t="s">
        <v>21</v>
      </c>
      <c r="E11" s="24" t="s">
        <v>10</v>
      </c>
      <c r="F11" s="24" t="s">
        <v>11</v>
      </c>
      <c r="G11" s="24" t="s">
        <v>30</v>
      </c>
      <c r="H11" s="24">
        <v>8</v>
      </c>
      <c r="I11" s="24">
        <v>10</v>
      </c>
      <c r="J11" s="28">
        <v>1000000</v>
      </c>
      <c r="K11" s="28">
        <v>5305190</v>
      </c>
      <c r="L11" s="28">
        <v>53291805</v>
      </c>
      <c r="M11" s="28">
        <v>84809282</v>
      </c>
      <c r="N11" s="93">
        <f>(Tabla3[[#This Row],[Inversión real 2017]]-Tabla3[[#This Row],[Inversión real 2016]])/Tabla3[[#This Row],[Inversión real 2016]]</f>
        <v>-0.37162768339437185</v>
      </c>
      <c r="O11" s="93">
        <f>(Tabla3[[#This Row],[Inversión real 2017]]-Tabla3[[#This Row],[Inversión real 2018]])/Tabla3[[#This Row],[Inversión real 2018]]</f>
        <v>9.0452208120727065</v>
      </c>
      <c r="P11" s="50"/>
      <c r="Q11" s="50"/>
      <c r="R11" s="50"/>
      <c r="S11" s="43"/>
      <c r="T11" s="43"/>
    </row>
    <row r="12" spans="1:22" ht="45" customHeight="1">
      <c r="A12" s="43"/>
      <c r="B12" s="92" t="s">
        <v>107</v>
      </c>
      <c r="C12" s="23" t="s">
        <v>13</v>
      </c>
      <c r="D12" s="23" t="s">
        <v>15</v>
      </c>
      <c r="E12" s="23" t="s">
        <v>17</v>
      </c>
      <c r="F12" s="75" t="s">
        <v>23</v>
      </c>
      <c r="G12" s="23" t="s">
        <v>30</v>
      </c>
      <c r="H12" s="24">
        <v>8</v>
      </c>
      <c r="I12" s="24">
        <v>3</v>
      </c>
      <c r="J12" s="23" t="s">
        <v>141</v>
      </c>
      <c r="K12" s="23" t="s">
        <v>179</v>
      </c>
      <c r="L12" s="28">
        <v>50085574</v>
      </c>
      <c r="M12" s="28">
        <v>42495353</v>
      </c>
      <c r="N12" s="93">
        <f>(Tabla3[[#This Row],[Inversión real 2017]]-Tabla3[[#This Row],[Inversión real 2016]])/Tabla3[[#This Row],[Inversión real 2016]]</f>
        <v>0.17861296504584867</v>
      </c>
      <c r="O12" s="93" t="e">
        <f>(Tabla3[[#This Row],[Inversión real 2017]]-Tabla3[[#This Row],[Inversión real 2018]])/Tabla3[[#This Row],[Inversión real 2018]]</f>
        <v>#VALUE!</v>
      </c>
      <c r="P12" s="50"/>
      <c r="Q12" s="279" t="s">
        <v>203</v>
      </c>
      <c r="R12" s="282"/>
      <c r="S12" s="280"/>
      <c r="T12" s="76" t="s">
        <v>204</v>
      </c>
      <c r="U12" s="88" t="s">
        <v>225</v>
      </c>
      <c r="V12" s="89" t="s">
        <v>137</v>
      </c>
    </row>
    <row r="13" spans="1:22">
      <c r="A13" s="43"/>
      <c r="B13" s="92" t="s">
        <v>108</v>
      </c>
      <c r="C13" s="24" t="s">
        <v>13</v>
      </c>
      <c r="D13" s="24" t="s">
        <v>25</v>
      </c>
      <c r="E13" s="24" t="s">
        <v>10</v>
      </c>
      <c r="F13" s="24" t="s">
        <v>27</v>
      </c>
      <c r="G13" s="24" t="s">
        <v>12</v>
      </c>
      <c r="H13" s="24">
        <v>5</v>
      </c>
      <c r="I13" s="24">
        <v>9</v>
      </c>
      <c r="J13" s="28">
        <v>10000000</v>
      </c>
      <c r="K13" s="28">
        <v>38941670</v>
      </c>
      <c r="L13" s="28">
        <v>67846781</v>
      </c>
      <c r="M13" s="28">
        <v>87726693</v>
      </c>
      <c r="N13" s="93">
        <f>(Tabla3[[#This Row],[Inversión real 2017]]-Tabla3[[#This Row],[Inversión real 2016]])/Tabla3[[#This Row],[Inversión real 2016]]</f>
        <v>-0.22661189337206636</v>
      </c>
      <c r="O13" s="93">
        <f>(Tabla3[[#This Row],[Inversión real 2017]]-Tabla3[[#This Row],[Inversión real 2018]])/Tabla3[[#This Row],[Inversión real 2018]]</f>
        <v>0.74226685707110152</v>
      </c>
      <c r="P13" s="50"/>
      <c r="Q13" s="74" t="s">
        <v>163</v>
      </c>
      <c r="R13" s="74" t="s">
        <v>205</v>
      </c>
      <c r="S13" s="74" t="s">
        <v>206</v>
      </c>
      <c r="T13" s="43"/>
      <c r="U13" s="74" t="s">
        <v>3</v>
      </c>
      <c r="V13" s="74" t="s">
        <v>202</v>
      </c>
    </row>
    <row r="14" spans="1:22">
      <c r="A14" s="43"/>
      <c r="B14" s="92" t="s">
        <v>129</v>
      </c>
      <c r="C14" s="25" t="s">
        <v>130</v>
      </c>
      <c r="D14" s="24" t="s">
        <v>21</v>
      </c>
      <c r="E14" s="24" t="s">
        <v>10</v>
      </c>
      <c r="F14" s="24" t="s">
        <v>27</v>
      </c>
      <c r="G14" s="24" t="s">
        <v>12</v>
      </c>
      <c r="H14" s="24">
        <v>4</v>
      </c>
      <c r="I14" s="24">
        <v>5</v>
      </c>
      <c r="J14" s="28">
        <v>1000000</v>
      </c>
      <c r="K14" s="28">
        <v>28926771</v>
      </c>
      <c r="L14" s="28">
        <v>56939610</v>
      </c>
      <c r="M14" s="28">
        <v>92726884</v>
      </c>
      <c r="N14" s="93">
        <f>(Tabla3[[#This Row],[Inversión real 2017]]-Tabla3[[#This Row],[Inversión real 2016]])/Tabla3[[#This Row],[Inversión real 2016]]</f>
        <v>-0.38594280812887016</v>
      </c>
      <c r="O14" s="93">
        <f>(Tabla3[[#This Row],[Inversión real 2017]]-Tabla3[[#This Row],[Inversión real 2018]])/Tabla3[[#This Row],[Inversión real 2018]]</f>
        <v>0.96840532252977696</v>
      </c>
      <c r="P14" s="50"/>
      <c r="Q14" s="24" t="s">
        <v>17</v>
      </c>
      <c r="R14" s="87">
        <f>ROUND(COUNTIF($E$4:$E$103,Q14),0)</f>
        <v>33</v>
      </c>
      <c r="S14" s="77">
        <f>R14/SUM($R$14:$R$16)</f>
        <v>0.33</v>
      </c>
      <c r="T14" s="43"/>
      <c r="U14" s="24" t="s">
        <v>21</v>
      </c>
      <c r="V14" s="28">
        <f>SUMIF($D$4:$D$103,U14,$L$4:$L$103)-SUMIF($D$4:$D$103,U14,$M$4:$M$103)</f>
        <v>-497331542</v>
      </c>
    </row>
    <row r="15" spans="1:22">
      <c r="A15" s="43"/>
      <c r="B15" s="92" t="s">
        <v>93</v>
      </c>
      <c r="C15" s="24" t="s">
        <v>13</v>
      </c>
      <c r="D15" s="24" t="s">
        <v>21</v>
      </c>
      <c r="E15" s="24" t="s">
        <v>10</v>
      </c>
      <c r="F15" s="24" t="s">
        <v>27</v>
      </c>
      <c r="G15" s="24" t="s">
        <v>12</v>
      </c>
      <c r="H15" s="24">
        <v>3</v>
      </c>
      <c r="I15" s="24">
        <v>8</v>
      </c>
      <c r="J15" s="28">
        <v>1000000</v>
      </c>
      <c r="K15" s="28">
        <v>34252074</v>
      </c>
      <c r="L15" s="23" t="s">
        <v>179</v>
      </c>
      <c r="M15" s="28">
        <v>22994819</v>
      </c>
      <c r="N15" s="93" t="e">
        <f>(Tabla3[[#This Row],[Inversión real 2017]]-Tabla3[[#This Row],[Inversión real 2016]])/Tabla3[[#This Row],[Inversión real 2016]]</f>
        <v>#VALUE!</v>
      </c>
      <c r="O15" s="93" t="e">
        <f>(Tabla3[[#This Row],[Inversión real 2017]]-Tabla3[[#This Row],[Inversión real 2018]])/Tabla3[[#This Row],[Inversión real 2018]]</f>
        <v>#VALUE!</v>
      </c>
      <c r="P15" s="50"/>
      <c r="Q15" s="24" t="s">
        <v>10</v>
      </c>
      <c r="R15" s="87">
        <f t="shared" ref="R15:R16" si="2">ROUND(COUNTIF($E$4:$E$103,Q15),0)</f>
        <v>59</v>
      </c>
      <c r="S15" s="77">
        <f t="shared" ref="S15:S16" si="3">R15/SUM($R$14:$R$16)</f>
        <v>0.59</v>
      </c>
      <c r="T15" s="43"/>
      <c r="U15" s="90" t="s">
        <v>25</v>
      </c>
      <c r="V15" s="28">
        <f t="shared" ref="V15:V18" si="4">SUMIF($D$4:$D$103,U15,$L$4:$L$103)-SUMIF($D$4:$D$103,U15,$M$4:$M$103)</f>
        <v>1143341</v>
      </c>
    </row>
    <row r="16" spans="1:22">
      <c r="A16" s="43"/>
      <c r="B16" s="92" t="s">
        <v>16</v>
      </c>
      <c r="C16" s="24" t="s">
        <v>13</v>
      </c>
      <c r="D16" s="24" t="s">
        <v>9</v>
      </c>
      <c r="E16" s="24" t="s">
        <v>17</v>
      </c>
      <c r="F16" s="25" t="s">
        <v>18</v>
      </c>
      <c r="G16" s="24" t="s">
        <v>12</v>
      </c>
      <c r="H16" s="24">
        <v>7</v>
      </c>
      <c r="I16" s="24">
        <v>9</v>
      </c>
      <c r="J16" s="23" t="s">
        <v>141</v>
      </c>
      <c r="K16" s="23" t="s">
        <v>179</v>
      </c>
      <c r="L16" s="28">
        <v>45347826</v>
      </c>
      <c r="M16" s="28">
        <v>14301768</v>
      </c>
      <c r="N16" s="93">
        <f>(Tabla3[[#This Row],[Inversión real 2017]]-Tabla3[[#This Row],[Inversión real 2016]])/Tabla3[[#This Row],[Inversión real 2016]]</f>
        <v>2.1707846190764668</v>
      </c>
      <c r="O16" s="93" t="e">
        <f>(Tabla3[[#This Row],[Inversión real 2017]]-Tabla3[[#This Row],[Inversión real 2018]])/Tabla3[[#This Row],[Inversión real 2018]]</f>
        <v>#VALUE!</v>
      </c>
      <c r="P16" s="50"/>
      <c r="Q16" s="24" t="s">
        <v>55</v>
      </c>
      <c r="R16" s="87">
        <f t="shared" si="2"/>
        <v>8</v>
      </c>
      <c r="S16" s="77">
        <f t="shared" si="3"/>
        <v>0.08</v>
      </c>
      <c r="T16" s="43"/>
      <c r="U16" s="24" t="s">
        <v>15</v>
      </c>
      <c r="V16" s="28">
        <f t="shared" si="4"/>
        <v>129879240</v>
      </c>
    </row>
    <row r="17" spans="1:22">
      <c r="A17" s="43"/>
      <c r="B17" s="92" t="s">
        <v>34</v>
      </c>
      <c r="C17" s="24" t="s">
        <v>13</v>
      </c>
      <c r="D17" s="24" t="s">
        <v>21</v>
      </c>
      <c r="E17" s="24" t="s">
        <v>17</v>
      </c>
      <c r="F17" s="25" t="s">
        <v>18</v>
      </c>
      <c r="G17" s="24" t="s">
        <v>30</v>
      </c>
      <c r="H17" s="24">
        <v>4</v>
      </c>
      <c r="I17" s="24">
        <v>8</v>
      </c>
      <c r="J17" s="23" t="s">
        <v>141</v>
      </c>
      <c r="K17" s="23" t="s">
        <v>179</v>
      </c>
      <c r="L17" s="28">
        <v>71453938</v>
      </c>
      <c r="M17" s="28">
        <v>38593802</v>
      </c>
      <c r="N17" s="93">
        <f>(Tabla3[[#This Row],[Inversión real 2017]]-Tabla3[[#This Row],[Inversión real 2016]])/Tabla3[[#This Row],[Inversión real 2016]]</f>
        <v>0.85143557506980005</v>
      </c>
      <c r="O17" s="93" t="e">
        <f>(Tabla3[[#This Row],[Inversión real 2017]]-Tabla3[[#This Row],[Inversión real 2018]])/Tabla3[[#This Row],[Inversión real 2018]]</f>
        <v>#VALUE!</v>
      </c>
      <c r="P17" s="50"/>
      <c r="Q17" s="50"/>
      <c r="R17" s="50"/>
      <c r="S17" s="43"/>
      <c r="T17" s="43"/>
      <c r="U17" s="90" t="s">
        <v>9</v>
      </c>
      <c r="V17" s="28">
        <f t="shared" si="4"/>
        <v>20785398</v>
      </c>
    </row>
    <row r="18" spans="1:22">
      <c r="A18" s="43"/>
      <c r="B18" s="92" t="s">
        <v>45</v>
      </c>
      <c r="C18" s="24" t="s">
        <v>13</v>
      </c>
      <c r="D18" s="24" t="s">
        <v>25</v>
      </c>
      <c r="E18" s="24" t="s">
        <v>10</v>
      </c>
      <c r="F18" s="24" t="s">
        <v>11</v>
      </c>
      <c r="G18" s="24" t="s">
        <v>12</v>
      </c>
      <c r="H18" s="24">
        <v>9</v>
      </c>
      <c r="I18" s="24">
        <v>10</v>
      </c>
      <c r="J18" s="28">
        <v>20000000</v>
      </c>
      <c r="K18" s="28">
        <v>32346156</v>
      </c>
      <c r="L18" s="28">
        <v>22346275</v>
      </c>
      <c r="M18" s="28">
        <v>73743047</v>
      </c>
      <c r="N18" s="93">
        <f>(Tabla3[[#This Row],[Inversión real 2017]]-Tabla3[[#This Row],[Inversión real 2016]])/Tabla3[[#This Row],[Inversión real 2016]]</f>
        <v>-0.69697109206783925</v>
      </c>
      <c r="O18" s="93">
        <f>(Tabla3[[#This Row],[Inversión real 2017]]-Tabla3[[#This Row],[Inversión real 2018]])/Tabla3[[#This Row],[Inversión real 2018]]</f>
        <v>-0.3091520674048564</v>
      </c>
      <c r="P18" s="50"/>
      <c r="Q18" s="50"/>
      <c r="R18" s="50"/>
      <c r="S18" s="50"/>
      <c r="T18" s="43"/>
      <c r="U18" s="24" t="s">
        <v>54</v>
      </c>
      <c r="V18" s="28">
        <f t="shared" si="4"/>
        <v>256825755</v>
      </c>
    </row>
    <row r="19" spans="1:22" ht="15" customHeight="1">
      <c r="A19" s="43"/>
      <c r="B19" s="92" t="s">
        <v>64</v>
      </c>
      <c r="C19" s="24" t="s">
        <v>13</v>
      </c>
      <c r="D19" s="24" t="s">
        <v>54</v>
      </c>
      <c r="E19" s="24" t="s">
        <v>55</v>
      </c>
      <c r="F19" s="24" t="s">
        <v>56</v>
      </c>
      <c r="G19" s="24" t="s">
        <v>12</v>
      </c>
      <c r="H19" s="24">
        <v>4</v>
      </c>
      <c r="I19" s="24">
        <v>6</v>
      </c>
      <c r="J19" s="23" t="s">
        <v>141</v>
      </c>
      <c r="K19" s="23" t="s">
        <v>179</v>
      </c>
      <c r="L19" s="28">
        <v>96357193</v>
      </c>
      <c r="M19" s="28">
        <v>67901582</v>
      </c>
      <c r="N19" s="93">
        <f>(Tabla3[[#This Row],[Inversión real 2017]]-Tabla3[[#This Row],[Inversión real 2016]])/Tabla3[[#This Row],[Inversión real 2016]]</f>
        <v>0.41907139954412254</v>
      </c>
      <c r="O19" s="93" t="e">
        <f>(Tabla3[[#This Row],[Inversión real 2017]]-Tabla3[[#This Row],[Inversión real 2018]])/Tabla3[[#This Row],[Inversión real 2018]]</f>
        <v>#VALUE!</v>
      </c>
      <c r="P19" s="50"/>
      <c r="Q19" s="279" t="s">
        <v>207</v>
      </c>
      <c r="R19" s="282"/>
      <c r="S19" s="280"/>
      <c r="T19" s="76" t="s">
        <v>208</v>
      </c>
    </row>
    <row r="20" spans="1:22" ht="45" customHeight="1">
      <c r="A20" s="43"/>
      <c r="B20" s="92" t="s">
        <v>90</v>
      </c>
      <c r="C20" s="24" t="s">
        <v>13</v>
      </c>
      <c r="D20" s="24" t="s">
        <v>21</v>
      </c>
      <c r="E20" s="24" t="s">
        <v>10</v>
      </c>
      <c r="F20" s="24" t="s">
        <v>11</v>
      </c>
      <c r="G20" s="24" t="s">
        <v>12</v>
      </c>
      <c r="H20" s="24">
        <v>5</v>
      </c>
      <c r="I20" s="24">
        <v>7</v>
      </c>
      <c r="J20" s="28">
        <v>100000000</v>
      </c>
      <c r="K20" s="28">
        <v>72903049</v>
      </c>
      <c r="L20" s="28">
        <v>67375493</v>
      </c>
      <c r="M20" s="28">
        <v>4753995</v>
      </c>
      <c r="N20" s="93">
        <f>(Tabla3[[#This Row],[Inversión real 2017]]-Tabla3[[#This Row],[Inversión real 2016]])/Tabla3[[#This Row],[Inversión real 2016]]</f>
        <v>13.172394586027121</v>
      </c>
      <c r="O20" s="93">
        <f>(Tabla3[[#This Row],[Inversión real 2017]]-Tabla3[[#This Row],[Inversión real 2018]])/Tabla3[[#This Row],[Inversión real 2018]]</f>
        <v>-7.582064228891168E-2</v>
      </c>
      <c r="P20" s="50"/>
      <c r="Q20" s="273" t="s">
        <v>209</v>
      </c>
      <c r="R20" s="275" t="s">
        <v>210</v>
      </c>
      <c r="S20" s="276"/>
      <c r="T20" s="43">
        <f>COUNT(F4:H11)</f>
        <v>8</v>
      </c>
      <c r="U20" s="88" t="s">
        <v>225</v>
      </c>
      <c r="V20" s="89" t="s">
        <v>137</v>
      </c>
    </row>
    <row r="21" spans="1:22">
      <c r="A21" s="43"/>
      <c r="B21" s="92" t="s">
        <v>105</v>
      </c>
      <c r="C21" s="24" t="s">
        <v>13</v>
      </c>
      <c r="D21" s="24" t="s">
        <v>54</v>
      </c>
      <c r="E21" s="24" t="s">
        <v>55</v>
      </c>
      <c r="F21" s="24" t="s">
        <v>56</v>
      </c>
      <c r="G21" s="24" t="s">
        <v>12</v>
      </c>
      <c r="H21" s="24">
        <v>6</v>
      </c>
      <c r="I21" s="24">
        <v>7</v>
      </c>
      <c r="J21" s="23" t="s">
        <v>141</v>
      </c>
      <c r="K21" s="23" t="s">
        <v>179</v>
      </c>
      <c r="L21" s="28">
        <v>80671052</v>
      </c>
      <c r="M21" s="28">
        <v>58339670</v>
      </c>
      <c r="N21" s="93">
        <f>(Tabla3[[#This Row],[Inversión real 2017]]-Tabla3[[#This Row],[Inversión real 2016]])/Tabla3[[#This Row],[Inversión real 2016]]</f>
        <v>0.38278211035475518</v>
      </c>
      <c r="O21" s="93" t="e">
        <f>(Tabla3[[#This Row],[Inversión real 2017]]-Tabla3[[#This Row],[Inversión real 2018]])/Tabla3[[#This Row],[Inversión real 2018]]</f>
        <v>#VALUE!</v>
      </c>
      <c r="P21" s="50"/>
      <c r="Q21" s="274"/>
      <c r="R21" s="277"/>
      <c r="S21" s="278"/>
      <c r="T21" s="43"/>
      <c r="U21" s="74" t="s">
        <v>3</v>
      </c>
      <c r="V21" s="74" t="s">
        <v>202</v>
      </c>
    </row>
    <row r="22" spans="1:22" ht="30" customHeight="1">
      <c r="A22" s="43"/>
      <c r="B22" s="92" t="s">
        <v>68</v>
      </c>
      <c r="C22" s="24" t="s">
        <v>32</v>
      </c>
      <c r="D22" s="24" t="s">
        <v>25</v>
      </c>
      <c r="E22" s="24" t="s">
        <v>17</v>
      </c>
      <c r="F22" s="25" t="s">
        <v>18</v>
      </c>
      <c r="G22" s="24" t="s">
        <v>30</v>
      </c>
      <c r="H22" s="24">
        <v>9</v>
      </c>
      <c r="I22" s="24">
        <v>8</v>
      </c>
      <c r="J22" s="23" t="s">
        <v>141</v>
      </c>
      <c r="K22" s="23" t="s">
        <v>179</v>
      </c>
      <c r="L22" s="23" t="s">
        <v>179</v>
      </c>
      <c r="M22" s="28">
        <v>44898366</v>
      </c>
      <c r="N22" s="93" t="e">
        <f>(Tabla3[[#This Row],[Inversión real 2017]]-Tabla3[[#This Row],[Inversión real 2016]])/Tabla3[[#This Row],[Inversión real 2016]]</f>
        <v>#VALUE!</v>
      </c>
      <c r="O22" s="93" t="e">
        <f>(Tabla3[[#This Row],[Inversión real 2017]]-Tabla3[[#This Row],[Inversión real 2018]])/Tabla3[[#This Row],[Inversión real 2018]]</f>
        <v>#VALUE!</v>
      </c>
      <c r="P22" s="50"/>
      <c r="Q22" s="273" t="s">
        <v>211</v>
      </c>
      <c r="R22" s="275" t="s">
        <v>212</v>
      </c>
      <c r="S22" s="276"/>
      <c r="T22" s="43">
        <f>COUNTA(F4:H11)</f>
        <v>24</v>
      </c>
      <c r="U22" s="24" t="s">
        <v>21</v>
      </c>
      <c r="V22" s="28">
        <f>SUMIF(SECTOR,U22,IINVREAL)</f>
        <v>2002341114</v>
      </c>
    </row>
    <row r="23" spans="1:22">
      <c r="A23" s="43"/>
      <c r="B23" s="92" t="s">
        <v>126</v>
      </c>
      <c r="C23" s="24" t="s">
        <v>13</v>
      </c>
      <c r="D23" s="24" t="s">
        <v>21</v>
      </c>
      <c r="E23" s="24" t="s">
        <v>10</v>
      </c>
      <c r="F23" s="24" t="s">
        <v>27</v>
      </c>
      <c r="G23" s="24" t="s">
        <v>12</v>
      </c>
      <c r="H23" s="24">
        <v>5</v>
      </c>
      <c r="I23" s="24">
        <v>6</v>
      </c>
      <c r="J23" s="28">
        <v>1000000</v>
      </c>
      <c r="K23" s="28">
        <v>96696256</v>
      </c>
      <c r="L23" s="28">
        <v>62106884</v>
      </c>
      <c r="M23" s="28">
        <v>85228190</v>
      </c>
      <c r="N23" s="93">
        <f>(Tabla3[[#This Row],[Inversión real 2017]]-Tabla3[[#This Row],[Inversión real 2016]])/Tabla3[[#This Row],[Inversión real 2016]]</f>
        <v>-0.27128707062768787</v>
      </c>
      <c r="O23" s="93">
        <f>(Tabla3[[#This Row],[Inversión real 2017]]-Tabla3[[#This Row],[Inversión real 2018]])/Tabla3[[#This Row],[Inversión real 2018]]</f>
        <v>-0.35771159536931812</v>
      </c>
      <c r="P23" s="50"/>
      <c r="Q23" s="274"/>
      <c r="R23" s="277"/>
      <c r="S23" s="278"/>
      <c r="T23" s="43"/>
      <c r="U23" s="90" t="s">
        <v>25</v>
      </c>
      <c r="V23" s="28">
        <f>SUMIF(SECTOR,U23,IINVREAL)</f>
        <v>535791961</v>
      </c>
    </row>
    <row r="24" spans="1:22">
      <c r="A24" s="43"/>
      <c r="B24" s="92" t="s">
        <v>62</v>
      </c>
      <c r="C24" s="24" t="s">
        <v>13</v>
      </c>
      <c r="D24" s="24" t="s">
        <v>21</v>
      </c>
      <c r="E24" s="24" t="s">
        <v>10</v>
      </c>
      <c r="F24" s="24" t="s">
        <v>27</v>
      </c>
      <c r="G24" s="24" t="s">
        <v>12</v>
      </c>
      <c r="H24" s="24">
        <v>6</v>
      </c>
      <c r="I24" s="24">
        <v>7</v>
      </c>
      <c r="J24" s="28">
        <v>10000000</v>
      </c>
      <c r="K24" s="28">
        <v>51531809</v>
      </c>
      <c r="L24" s="28">
        <v>99819688</v>
      </c>
      <c r="M24" s="28">
        <v>24233431</v>
      </c>
      <c r="N24" s="93">
        <f>(Tabla3[[#This Row],[Inversión real 2017]]-Tabla3[[#This Row],[Inversión real 2016]])/Tabla3[[#This Row],[Inversión real 2016]]</f>
        <v>3.119090194038145</v>
      </c>
      <c r="O24" s="93">
        <f>(Tabla3[[#This Row],[Inversión real 2017]]-Tabla3[[#This Row],[Inversión real 2018]])/Tabla3[[#This Row],[Inversión real 2018]]</f>
        <v>0.93704994909066752</v>
      </c>
      <c r="P24" s="50"/>
      <c r="Q24" s="50" t="s">
        <v>213</v>
      </c>
      <c r="R24" s="50"/>
      <c r="S24" s="50"/>
      <c r="T24" s="43"/>
      <c r="U24" s="24" t="s">
        <v>15</v>
      </c>
      <c r="V24" s="28">
        <f>SUMIF(SECTOR,U24,IINVREAL)</f>
        <v>253232607</v>
      </c>
    </row>
    <row r="25" spans="1:22">
      <c r="A25" s="43"/>
      <c r="B25" s="92" t="s">
        <v>97</v>
      </c>
      <c r="C25" s="24" t="s">
        <v>13</v>
      </c>
      <c r="D25" s="24" t="s">
        <v>15</v>
      </c>
      <c r="E25" s="24" t="s">
        <v>10</v>
      </c>
      <c r="F25" s="25" t="s">
        <v>11</v>
      </c>
      <c r="G25" s="24" t="s">
        <v>30</v>
      </c>
      <c r="H25" s="24">
        <v>6</v>
      </c>
      <c r="I25" s="24">
        <v>10</v>
      </c>
      <c r="J25" s="23" t="s">
        <v>141</v>
      </c>
      <c r="K25" s="23" t="s">
        <v>179</v>
      </c>
      <c r="L25" s="28">
        <v>34214902</v>
      </c>
      <c r="M25" s="28">
        <v>24896611</v>
      </c>
      <c r="N25" s="93">
        <f>(Tabla3[[#This Row],[Inversión real 2017]]-Tabla3[[#This Row],[Inversión real 2016]])/Tabla3[[#This Row],[Inversión real 2016]]</f>
        <v>0.37427949530962268</v>
      </c>
      <c r="O25" s="93" t="e">
        <f>(Tabla3[[#This Row],[Inversión real 2017]]-Tabla3[[#This Row],[Inversión real 2018]])/Tabla3[[#This Row],[Inversión real 2018]]</f>
        <v>#VALUE!</v>
      </c>
      <c r="P25" s="50"/>
      <c r="Q25" s="50"/>
      <c r="R25" s="50"/>
      <c r="S25" s="50"/>
      <c r="T25" s="43"/>
      <c r="U25" s="90" t="s">
        <v>9</v>
      </c>
      <c r="V25" s="28">
        <f>SUMIF(SECTOR,U25,IINVREAL)</f>
        <v>187304900</v>
      </c>
    </row>
    <row r="26" spans="1:22">
      <c r="A26" s="43"/>
      <c r="B26" s="92" t="s">
        <v>101</v>
      </c>
      <c r="C26" s="25" t="s">
        <v>102</v>
      </c>
      <c r="D26" s="24" t="s">
        <v>25</v>
      </c>
      <c r="E26" s="24" t="s">
        <v>17</v>
      </c>
      <c r="F26" s="25" t="s">
        <v>23</v>
      </c>
      <c r="G26" s="24" t="s">
        <v>12</v>
      </c>
      <c r="H26" s="24">
        <v>8</v>
      </c>
      <c r="I26" s="24">
        <v>5</v>
      </c>
      <c r="J26" s="23" t="s">
        <v>141</v>
      </c>
      <c r="K26" s="23" t="s">
        <v>179</v>
      </c>
      <c r="L26" s="28">
        <v>7121108</v>
      </c>
      <c r="M26" s="28">
        <v>6991703</v>
      </c>
      <c r="N26" s="93">
        <f>(Tabla3[[#This Row],[Inversión real 2017]]-Tabla3[[#This Row],[Inversión real 2016]])/Tabla3[[#This Row],[Inversión real 2016]]</f>
        <v>1.85083662735674E-2</v>
      </c>
      <c r="O26" s="93" t="e">
        <f>(Tabla3[[#This Row],[Inversión real 2017]]-Tabla3[[#This Row],[Inversión real 2018]])/Tabla3[[#This Row],[Inversión real 2018]]</f>
        <v>#VALUE!</v>
      </c>
      <c r="P26" s="50"/>
      <c r="Q26" s="50"/>
      <c r="R26" s="50"/>
      <c r="S26" s="50"/>
      <c r="T26" s="43"/>
      <c r="U26" s="24" t="s">
        <v>54</v>
      </c>
      <c r="V26" s="28">
        <f>SUMIF(SECTOR,U26,IINVREAL)</f>
        <v>0</v>
      </c>
    </row>
    <row r="27" spans="1:22" ht="30" customHeight="1">
      <c r="A27" s="43"/>
      <c r="B27" s="92" t="s">
        <v>103</v>
      </c>
      <c r="C27" s="24" t="s">
        <v>13</v>
      </c>
      <c r="D27" s="24" t="s">
        <v>15</v>
      </c>
      <c r="E27" s="24" t="s">
        <v>10</v>
      </c>
      <c r="F27" s="24" t="s">
        <v>11</v>
      </c>
      <c r="G27" s="24" t="s">
        <v>12</v>
      </c>
      <c r="H27" s="24">
        <v>7</v>
      </c>
      <c r="I27" s="24">
        <v>10</v>
      </c>
      <c r="J27" s="28">
        <v>20000000</v>
      </c>
      <c r="K27" s="28">
        <v>93037614</v>
      </c>
      <c r="L27" s="28">
        <v>48185946</v>
      </c>
      <c r="M27" s="28">
        <v>75039300</v>
      </c>
      <c r="N27" s="93">
        <f>(Tabla3[[#This Row],[Inversión real 2017]]-Tabla3[[#This Row],[Inversión real 2016]])/Tabla3[[#This Row],[Inversión real 2016]]</f>
        <v>-0.35785720282571931</v>
      </c>
      <c r="O27" s="93">
        <f>(Tabla3[[#This Row],[Inversión real 2017]]-Tabla3[[#This Row],[Inversión real 2018]])/Tabla3[[#This Row],[Inversión real 2018]]</f>
        <v>-0.48208102155328275</v>
      </c>
      <c r="P27" s="50"/>
      <c r="Q27" s="279" t="s">
        <v>214</v>
      </c>
      <c r="R27" s="280"/>
      <c r="S27" s="78" t="s">
        <v>215</v>
      </c>
      <c r="T27" s="43"/>
    </row>
    <row r="28" spans="1:22">
      <c r="A28" s="43"/>
      <c r="B28" s="92" t="s">
        <v>35</v>
      </c>
      <c r="C28" s="24" t="s">
        <v>13</v>
      </c>
      <c r="D28" s="24" t="s">
        <v>21</v>
      </c>
      <c r="E28" s="24" t="s">
        <v>10</v>
      </c>
      <c r="F28" s="24" t="s">
        <v>11</v>
      </c>
      <c r="G28" s="24" t="s">
        <v>12</v>
      </c>
      <c r="H28" s="24">
        <v>9</v>
      </c>
      <c r="I28" s="24">
        <v>10</v>
      </c>
      <c r="J28" s="28">
        <v>90000000</v>
      </c>
      <c r="K28" s="28">
        <v>62088180</v>
      </c>
      <c r="L28" s="28">
        <v>18047519</v>
      </c>
      <c r="M28" s="28">
        <v>3738158</v>
      </c>
      <c r="N28" s="93">
        <f>(Tabla3[[#This Row],[Inversión real 2017]]-Tabla3[[#This Row],[Inversión real 2016]])/Tabla3[[#This Row],[Inversión real 2016]]</f>
        <v>3.8279176535609247</v>
      </c>
      <c r="O28" s="93">
        <f>(Tabla3[[#This Row],[Inversión real 2017]]-Tabla3[[#This Row],[Inversión real 2018]])/Tabla3[[#This Row],[Inversión real 2018]]</f>
        <v>-0.70932439958781202</v>
      </c>
      <c r="P28" s="50"/>
      <c r="Q28" s="74" t="s">
        <v>216</v>
      </c>
      <c r="R28" s="74" t="s">
        <v>217</v>
      </c>
      <c r="S28" s="50"/>
      <c r="T28" s="43"/>
      <c r="U28" s="279" t="s">
        <v>230</v>
      </c>
      <c r="V28" s="280"/>
    </row>
    <row r="29" spans="1:22">
      <c r="A29" s="43"/>
      <c r="B29" s="92" t="s">
        <v>61</v>
      </c>
      <c r="C29" s="24" t="s">
        <v>13</v>
      </c>
      <c r="D29" s="24" t="s">
        <v>25</v>
      </c>
      <c r="E29" s="24" t="s">
        <v>10</v>
      </c>
      <c r="F29" s="24" t="s">
        <v>11</v>
      </c>
      <c r="G29" s="24" t="s">
        <v>12</v>
      </c>
      <c r="H29" s="24">
        <v>3</v>
      </c>
      <c r="I29" s="24">
        <v>9</v>
      </c>
      <c r="J29" s="28">
        <v>1000000</v>
      </c>
      <c r="K29" s="28">
        <v>1160848</v>
      </c>
      <c r="L29" s="28">
        <v>32268145</v>
      </c>
      <c r="M29" s="28">
        <v>13339687</v>
      </c>
      <c r="N29" s="93">
        <f>(Tabla3[[#This Row],[Inversión real 2017]]-Tabla3[[#This Row],[Inversión real 2016]])/Tabla3[[#This Row],[Inversión real 2016]]</f>
        <v>1.4189581809528216</v>
      </c>
      <c r="O29" s="93">
        <f>(Tabla3[[#This Row],[Inversión real 2017]]-Tabla3[[#This Row],[Inversión real 2018]])/Tabla3[[#This Row],[Inversión real 2018]]</f>
        <v>26.797045780326105</v>
      </c>
      <c r="P29" s="50"/>
      <c r="Q29" s="24" t="s">
        <v>218</v>
      </c>
      <c r="R29" s="23">
        <f>AVERAGE(H4:H103)</f>
        <v>5.81</v>
      </c>
      <c r="S29" s="50"/>
      <c r="T29" s="43"/>
      <c r="U29" s="94">
        <f>(SUM(INVREAL17)-SUM(INVREAL16))/SUM(INVREAL16)</f>
        <v>-2.0979823406262626E-2</v>
      </c>
      <c r="V29" s="74" t="s">
        <v>231</v>
      </c>
    </row>
    <row r="30" spans="1:22">
      <c r="A30" s="43"/>
      <c r="B30" s="92" t="s">
        <v>124</v>
      </c>
      <c r="C30" s="24" t="s">
        <v>13</v>
      </c>
      <c r="D30" s="24" t="s">
        <v>21</v>
      </c>
      <c r="E30" s="24" t="s">
        <v>17</v>
      </c>
      <c r="F30" s="25" t="s">
        <v>23</v>
      </c>
      <c r="G30" s="24" t="s">
        <v>12</v>
      </c>
      <c r="H30" s="24">
        <v>6</v>
      </c>
      <c r="I30" s="24">
        <v>2</v>
      </c>
      <c r="J30" s="23" t="s">
        <v>141</v>
      </c>
      <c r="K30" s="23" t="s">
        <v>179</v>
      </c>
      <c r="L30" s="28">
        <v>21224611</v>
      </c>
      <c r="M30" s="28">
        <v>62562457</v>
      </c>
      <c r="N30" s="93">
        <f>(Tabla3[[#This Row],[Inversión real 2017]]-Tabla3[[#This Row],[Inversión real 2016]])/Tabla3[[#This Row],[Inversión real 2016]]</f>
        <v>-0.66074524534738144</v>
      </c>
      <c r="O30" s="93" t="e">
        <f>(Tabla3[[#This Row],[Inversión real 2017]]-Tabla3[[#This Row],[Inversión real 2018]])/Tabla3[[#This Row],[Inversión real 2018]]</f>
        <v>#VALUE!</v>
      </c>
      <c r="P30" s="50"/>
      <c r="Q30" s="24" t="s">
        <v>219</v>
      </c>
      <c r="R30" s="23">
        <f>AVERAGE(I4:I103)</f>
        <v>7.56</v>
      </c>
      <c r="S30" s="50"/>
      <c r="T30" s="43"/>
    </row>
    <row r="31" spans="1:22">
      <c r="A31" s="43"/>
      <c r="B31" s="92" t="s">
        <v>33</v>
      </c>
      <c r="C31" s="24" t="s">
        <v>13</v>
      </c>
      <c r="D31" s="24" t="s">
        <v>25</v>
      </c>
      <c r="E31" s="24" t="s">
        <v>17</v>
      </c>
      <c r="F31" s="25" t="s">
        <v>23</v>
      </c>
      <c r="G31" s="24" t="s">
        <v>12</v>
      </c>
      <c r="H31" s="24">
        <v>9</v>
      </c>
      <c r="I31" s="24">
        <v>9</v>
      </c>
      <c r="J31" s="23" t="s">
        <v>141</v>
      </c>
      <c r="K31" s="23" t="s">
        <v>179</v>
      </c>
      <c r="L31" s="28">
        <v>85434615</v>
      </c>
      <c r="M31" s="28">
        <v>79508333</v>
      </c>
      <c r="N31" s="93">
        <f>(Tabla3[[#This Row],[Inversión real 2017]]-Tabla3[[#This Row],[Inversión real 2016]])/Tabla3[[#This Row],[Inversión real 2016]]</f>
        <v>7.4536614923117556E-2</v>
      </c>
      <c r="O31" s="93" t="e">
        <f>(Tabla3[[#This Row],[Inversión real 2017]]-Tabla3[[#This Row],[Inversión real 2018]])/Tabla3[[#This Row],[Inversión real 2018]]</f>
        <v>#VALUE!</v>
      </c>
      <c r="P31" s="50"/>
      <c r="Q31" s="79" t="s">
        <v>220</v>
      </c>
      <c r="R31" s="80">
        <f>AVERAGE(R29:R30)</f>
        <v>6.6849999999999996</v>
      </c>
      <c r="S31" s="78" t="s">
        <v>215</v>
      </c>
      <c r="T31" s="43"/>
    </row>
    <row r="32" spans="1:22">
      <c r="A32" s="43"/>
      <c r="B32" s="92" t="s">
        <v>85</v>
      </c>
      <c r="C32" s="24" t="s">
        <v>13</v>
      </c>
      <c r="D32" s="24" t="s">
        <v>21</v>
      </c>
      <c r="E32" s="24" t="s">
        <v>10</v>
      </c>
      <c r="F32" s="24" t="s">
        <v>27</v>
      </c>
      <c r="G32" s="24" t="s">
        <v>12</v>
      </c>
      <c r="H32" s="24">
        <v>8</v>
      </c>
      <c r="I32" s="24">
        <v>7</v>
      </c>
      <c r="J32" s="28">
        <v>90000000</v>
      </c>
      <c r="K32" s="28">
        <v>23888885</v>
      </c>
      <c r="L32" s="28">
        <v>68725539</v>
      </c>
      <c r="M32" s="28">
        <v>78613526</v>
      </c>
      <c r="N32" s="93">
        <f>(Tabla3[[#This Row],[Inversión real 2017]]-Tabla3[[#This Row],[Inversión real 2016]])/Tabla3[[#This Row],[Inversión real 2016]]</f>
        <v>-0.12577971633024068</v>
      </c>
      <c r="O32" s="93">
        <f>(Tabla3[[#This Row],[Inversión real 2017]]-Tabla3[[#This Row],[Inversión real 2018]])/Tabla3[[#This Row],[Inversión real 2018]]</f>
        <v>1.8768834962368481</v>
      </c>
      <c r="P32" s="50"/>
      <c r="Q32" s="50"/>
      <c r="R32" s="50"/>
      <c r="S32" s="50"/>
      <c r="T32" s="43"/>
    </row>
    <row r="33" spans="1:20" ht="75" customHeight="1">
      <c r="A33" s="43"/>
      <c r="B33" s="92" t="s">
        <v>110</v>
      </c>
      <c r="C33" s="23" t="s">
        <v>13</v>
      </c>
      <c r="D33" s="23" t="s">
        <v>25</v>
      </c>
      <c r="E33" s="23" t="s">
        <v>10</v>
      </c>
      <c r="F33" s="23" t="s">
        <v>11</v>
      </c>
      <c r="G33" s="23" t="s">
        <v>30</v>
      </c>
      <c r="H33" s="24">
        <v>8</v>
      </c>
      <c r="I33" s="23">
        <v>8</v>
      </c>
      <c r="J33" s="28">
        <v>10000000</v>
      </c>
      <c r="K33" s="28">
        <v>23464528</v>
      </c>
      <c r="L33" s="28">
        <v>904543</v>
      </c>
      <c r="M33" s="23" t="s">
        <v>179</v>
      </c>
      <c r="N33" s="93" t="e">
        <f>(Tabla3[[#This Row],[Inversión real 2017]]-Tabla3[[#This Row],[Inversión real 2016]])/Tabla3[[#This Row],[Inversión real 2016]]</f>
        <v>#VALUE!</v>
      </c>
      <c r="O33" s="93">
        <f>(Tabla3[[#This Row],[Inversión real 2017]]-Tabla3[[#This Row],[Inversión real 2018]])/Tabla3[[#This Row],[Inversión real 2018]]</f>
        <v>-0.96145062027243844</v>
      </c>
      <c r="P33" s="50"/>
      <c r="Q33" s="279" t="s">
        <v>221</v>
      </c>
      <c r="R33" s="280"/>
      <c r="S33" s="76" t="s">
        <v>222</v>
      </c>
      <c r="T33" s="43"/>
    </row>
    <row r="34" spans="1:20">
      <c r="A34" s="43"/>
      <c r="B34" s="92" t="s">
        <v>132</v>
      </c>
      <c r="C34" s="24" t="s">
        <v>13</v>
      </c>
      <c r="D34" s="24" t="s">
        <v>15</v>
      </c>
      <c r="E34" s="24" t="s">
        <v>17</v>
      </c>
      <c r="F34" s="25" t="s">
        <v>23</v>
      </c>
      <c r="G34" s="24" t="s">
        <v>12</v>
      </c>
      <c r="H34" s="24">
        <v>6</v>
      </c>
      <c r="I34" s="24">
        <v>8</v>
      </c>
      <c r="J34" s="23" t="s">
        <v>141</v>
      </c>
      <c r="K34" s="23" t="s">
        <v>179</v>
      </c>
      <c r="L34" s="28">
        <v>66204884</v>
      </c>
      <c r="M34" s="28">
        <v>27801447</v>
      </c>
      <c r="N34" s="93">
        <f>(Tabla3[[#This Row],[Inversión real 2017]]-Tabla3[[#This Row],[Inversión real 2016]])/Tabla3[[#This Row],[Inversión real 2016]]</f>
        <v>1.3813466975298083</v>
      </c>
      <c r="O34" s="93" t="e">
        <f>(Tabla3[[#This Row],[Inversión real 2017]]-Tabla3[[#This Row],[Inversión real 2018]])/Tabla3[[#This Row],[Inversión real 2018]]</f>
        <v>#VALUE!</v>
      </c>
      <c r="P34" s="50"/>
      <c r="Q34" s="74" t="s">
        <v>3</v>
      </c>
      <c r="R34" s="74" t="s">
        <v>217</v>
      </c>
      <c r="S34" s="43"/>
      <c r="T34" s="43"/>
    </row>
    <row r="35" spans="1:20">
      <c r="A35" s="43"/>
      <c r="B35" s="92" t="s">
        <v>91</v>
      </c>
      <c r="C35" s="24" t="s">
        <v>32</v>
      </c>
      <c r="D35" s="24" t="s">
        <v>25</v>
      </c>
      <c r="E35" s="24" t="s">
        <v>17</v>
      </c>
      <c r="F35" s="25" t="s">
        <v>18</v>
      </c>
      <c r="G35" s="24" t="s">
        <v>30</v>
      </c>
      <c r="H35" s="24">
        <v>3</v>
      </c>
      <c r="I35" s="24">
        <v>5</v>
      </c>
      <c r="J35" s="23" t="s">
        <v>141</v>
      </c>
      <c r="K35" s="23" t="s">
        <v>179</v>
      </c>
      <c r="L35" s="28">
        <v>30987169</v>
      </c>
      <c r="M35" s="28">
        <v>7339680</v>
      </c>
      <c r="N35" s="93">
        <f>(Tabla3[[#This Row],[Inversión real 2017]]-Tabla3[[#This Row],[Inversión real 2016]])/Tabla3[[#This Row],[Inversión real 2016]]</f>
        <v>3.2218692095568198</v>
      </c>
      <c r="O35" s="93" t="e">
        <f>(Tabla3[[#This Row],[Inversión real 2017]]-Tabla3[[#This Row],[Inversión real 2018]])/Tabla3[[#This Row],[Inversión real 2018]]</f>
        <v>#VALUE!</v>
      </c>
      <c r="P35" s="50"/>
      <c r="Q35" s="24" t="s">
        <v>21</v>
      </c>
      <c r="R35" s="23">
        <f>AVERAGEIF($D$4:$D$103,Q35,$I$4:$I$103)</f>
        <v>7.333333333333333</v>
      </c>
      <c r="S35" s="43"/>
      <c r="T35" s="43"/>
    </row>
    <row r="36" spans="1:20">
      <c r="A36" s="43"/>
      <c r="B36" s="92" t="s">
        <v>109</v>
      </c>
      <c r="C36" s="24" t="s">
        <v>13</v>
      </c>
      <c r="D36" s="24" t="s">
        <v>21</v>
      </c>
      <c r="E36" s="24" t="s">
        <v>10</v>
      </c>
      <c r="F36" s="24" t="s">
        <v>11</v>
      </c>
      <c r="G36" s="24" t="s">
        <v>12</v>
      </c>
      <c r="H36" s="24">
        <v>6</v>
      </c>
      <c r="I36" s="24">
        <v>7</v>
      </c>
      <c r="J36" s="28">
        <v>10000000</v>
      </c>
      <c r="K36" s="28">
        <v>22390348</v>
      </c>
      <c r="L36" s="28">
        <v>24476166</v>
      </c>
      <c r="M36" s="23" t="s">
        <v>179</v>
      </c>
      <c r="N36" s="93" t="e">
        <f>(Tabla3[[#This Row],[Inversión real 2017]]-Tabla3[[#This Row],[Inversión real 2016]])/Tabla3[[#This Row],[Inversión real 2016]]</f>
        <v>#VALUE!</v>
      </c>
      <c r="O36" s="93">
        <f>(Tabla3[[#This Row],[Inversión real 2017]]-Tabla3[[#This Row],[Inversión real 2018]])/Tabla3[[#This Row],[Inversión real 2018]]</f>
        <v>9.3157015692654707E-2</v>
      </c>
      <c r="P36" s="50"/>
      <c r="Q36" s="24" t="s">
        <v>25</v>
      </c>
      <c r="R36" s="23">
        <f t="shared" ref="R36:R39" si="5">AVERAGEIF($D$4:$D$103,Q36,$I$4:$I$103)</f>
        <v>8.0952380952380949</v>
      </c>
      <c r="S36" s="43"/>
      <c r="T36" s="43"/>
    </row>
    <row r="37" spans="1:20">
      <c r="A37" s="43"/>
      <c r="B37" s="92" t="s">
        <v>127</v>
      </c>
      <c r="C37" s="24" t="s">
        <v>13</v>
      </c>
      <c r="D37" s="24" t="s">
        <v>25</v>
      </c>
      <c r="E37" s="24" t="s">
        <v>10</v>
      </c>
      <c r="F37" s="24" t="s">
        <v>27</v>
      </c>
      <c r="G37" s="24" t="s">
        <v>12</v>
      </c>
      <c r="H37" s="24">
        <v>6</v>
      </c>
      <c r="I37" s="24">
        <v>10</v>
      </c>
      <c r="J37" s="28">
        <v>20000000</v>
      </c>
      <c r="K37" s="28">
        <v>31670482</v>
      </c>
      <c r="L37" s="28">
        <v>15619630</v>
      </c>
      <c r="M37" s="28">
        <v>59838390</v>
      </c>
      <c r="N37" s="93">
        <f>(Tabla3[[#This Row],[Inversión real 2017]]-Tabla3[[#This Row],[Inversión real 2016]])/Tabla3[[#This Row],[Inversión real 2016]]</f>
        <v>-0.73896974835051543</v>
      </c>
      <c r="O37" s="93">
        <f>(Tabla3[[#This Row],[Inversión real 2017]]-Tabla3[[#This Row],[Inversión real 2018]])/Tabla3[[#This Row],[Inversión real 2018]]</f>
        <v>-0.506807948170792</v>
      </c>
      <c r="P37" s="50"/>
      <c r="Q37" s="24" t="s">
        <v>15</v>
      </c>
      <c r="R37" s="23">
        <f t="shared" si="5"/>
        <v>7</v>
      </c>
      <c r="S37" s="43"/>
      <c r="T37" s="43"/>
    </row>
    <row r="38" spans="1:20">
      <c r="A38" s="43"/>
      <c r="B38" s="92" t="s">
        <v>48</v>
      </c>
      <c r="C38" s="24" t="s">
        <v>13</v>
      </c>
      <c r="D38" s="24" t="s">
        <v>9</v>
      </c>
      <c r="E38" s="24" t="s">
        <v>10</v>
      </c>
      <c r="F38" s="24" t="s">
        <v>27</v>
      </c>
      <c r="G38" s="24" t="s">
        <v>12</v>
      </c>
      <c r="H38" s="24">
        <v>8</v>
      </c>
      <c r="I38" s="24">
        <v>5</v>
      </c>
      <c r="J38" s="28">
        <v>20000000</v>
      </c>
      <c r="K38" s="28">
        <v>81056910</v>
      </c>
      <c r="L38" s="28">
        <v>96438403</v>
      </c>
      <c r="M38" s="28">
        <v>90723423</v>
      </c>
      <c r="N38" s="93">
        <f>(Tabla3[[#This Row],[Inversión real 2017]]-Tabla3[[#This Row],[Inversión real 2016]])/Tabla3[[#This Row],[Inversión real 2016]]</f>
        <v>6.2993434451872485E-2</v>
      </c>
      <c r="O38" s="93">
        <f>(Tabla3[[#This Row],[Inversión real 2017]]-Tabla3[[#This Row],[Inversión real 2018]])/Tabla3[[#This Row],[Inversión real 2018]]</f>
        <v>0.18976165017886815</v>
      </c>
      <c r="P38" s="50"/>
      <c r="Q38" s="24" t="s">
        <v>9</v>
      </c>
      <c r="R38" s="23">
        <f t="shared" si="5"/>
        <v>8.5</v>
      </c>
      <c r="S38" s="43"/>
      <c r="T38" s="43"/>
    </row>
    <row r="39" spans="1:20">
      <c r="A39" s="43"/>
      <c r="B39" s="92" t="s">
        <v>79</v>
      </c>
      <c r="C39" s="24" t="s">
        <v>13</v>
      </c>
      <c r="D39" s="24" t="s">
        <v>21</v>
      </c>
      <c r="E39" s="24" t="s">
        <v>55</v>
      </c>
      <c r="F39" s="24" t="s">
        <v>80</v>
      </c>
      <c r="G39" s="24" t="s">
        <v>12</v>
      </c>
      <c r="H39" s="24">
        <v>5</v>
      </c>
      <c r="I39" s="24">
        <v>7</v>
      </c>
      <c r="J39" s="23" t="s">
        <v>141</v>
      </c>
      <c r="K39" s="23" t="s">
        <v>179</v>
      </c>
      <c r="L39" s="23" t="s">
        <v>179</v>
      </c>
      <c r="M39" s="28">
        <v>52936315</v>
      </c>
      <c r="N39" s="93" t="e">
        <f>(Tabla3[[#This Row],[Inversión real 2017]]-Tabla3[[#This Row],[Inversión real 2016]])/Tabla3[[#This Row],[Inversión real 2016]]</f>
        <v>#VALUE!</v>
      </c>
      <c r="O39" s="93" t="e">
        <f>(Tabla3[[#This Row],[Inversión real 2017]]-Tabla3[[#This Row],[Inversión real 2018]])/Tabla3[[#This Row],[Inversión real 2018]]</f>
        <v>#VALUE!</v>
      </c>
      <c r="P39" s="50"/>
      <c r="Q39" s="24" t="s">
        <v>54</v>
      </c>
      <c r="R39" s="23">
        <f t="shared" si="5"/>
        <v>7.333333333333333</v>
      </c>
      <c r="S39" s="43"/>
      <c r="T39" s="43"/>
    </row>
    <row r="40" spans="1:20">
      <c r="A40" s="43"/>
      <c r="B40" s="92" t="s">
        <v>113</v>
      </c>
      <c r="C40" s="24" t="s">
        <v>13</v>
      </c>
      <c r="D40" s="24" t="s">
        <v>21</v>
      </c>
      <c r="E40" s="24" t="s">
        <v>10</v>
      </c>
      <c r="F40" s="24" t="s">
        <v>11</v>
      </c>
      <c r="G40" s="24" t="s">
        <v>12</v>
      </c>
      <c r="H40" s="24">
        <v>9</v>
      </c>
      <c r="I40" s="24">
        <v>7</v>
      </c>
      <c r="J40" s="28">
        <v>30000000</v>
      </c>
      <c r="K40" s="28">
        <v>91413171</v>
      </c>
      <c r="L40" s="28">
        <v>13211402</v>
      </c>
      <c r="M40" s="23" t="s">
        <v>179</v>
      </c>
      <c r="N40" s="93" t="e">
        <f>(Tabla3[[#This Row],[Inversión real 2017]]-Tabla3[[#This Row],[Inversión real 2016]])/Tabla3[[#This Row],[Inversión real 2016]]</f>
        <v>#VALUE!</v>
      </c>
      <c r="O40" s="93">
        <f>(Tabla3[[#This Row],[Inversión real 2017]]-Tabla3[[#This Row],[Inversión real 2018]])/Tabla3[[#This Row],[Inversión real 2018]]</f>
        <v>-0.85547594667731197</v>
      </c>
      <c r="P40" s="50"/>
      <c r="Q40" s="43"/>
      <c r="R40" s="43"/>
      <c r="S40" s="50"/>
      <c r="T40" s="43"/>
    </row>
    <row r="41" spans="1:20">
      <c r="A41" s="43"/>
      <c r="B41" s="92" t="s">
        <v>36</v>
      </c>
      <c r="C41" s="24" t="s">
        <v>13</v>
      </c>
      <c r="D41" s="24" t="s">
        <v>9</v>
      </c>
      <c r="E41" s="24" t="s">
        <v>10</v>
      </c>
      <c r="F41" s="24" t="s">
        <v>27</v>
      </c>
      <c r="G41" s="24" t="s">
        <v>12</v>
      </c>
      <c r="H41" s="24">
        <v>4</v>
      </c>
      <c r="I41" s="24">
        <v>7</v>
      </c>
      <c r="J41" s="28">
        <v>1000000</v>
      </c>
      <c r="K41" s="28">
        <v>87347043</v>
      </c>
      <c r="L41" s="28">
        <v>50796112</v>
      </c>
      <c r="M41" s="28">
        <v>72757830</v>
      </c>
      <c r="N41" s="93">
        <f>(Tabla3[[#This Row],[Inversión real 2017]]-Tabla3[[#This Row],[Inversión real 2016]])/Tabla3[[#This Row],[Inversión real 2016]]</f>
        <v>-0.30184679779482154</v>
      </c>
      <c r="O41" s="93">
        <f>(Tabla3[[#This Row],[Inversión real 2017]]-Tabla3[[#This Row],[Inversión real 2018]])/Tabla3[[#This Row],[Inversión real 2018]]</f>
        <v>-0.41845642101473313</v>
      </c>
      <c r="P41" s="50"/>
      <c r="Q41" s="43"/>
      <c r="R41" s="43"/>
      <c r="S41" s="50"/>
      <c r="T41" s="43"/>
    </row>
    <row r="42" spans="1:20">
      <c r="A42" s="43"/>
      <c r="B42" s="92" t="s">
        <v>44</v>
      </c>
      <c r="C42" s="24" t="s">
        <v>13</v>
      </c>
      <c r="D42" s="24" t="s">
        <v>25</v>
      </c>
      <c r="E42" s="24" t="s">
        <v>17</v>
      </c>
      <c r="F42" s="25" t="s">
        <v>18</v>
      </c>
      <c r="G42" s="24" t="s">
        <v>12</v>
      </c>
      <c r="H42" s="24">
        <v>4</v>
      </c>
      <c r="I42" s="24">
        <v>9</v>
      </c>
      <c r="J42" s="23" t="s">
        <v>141</v>
      </c>
      <c r="K42" s="23" t="s">
        <v>179</v>
      </c>
      <c r="L42" s="28">
        <v>38721754</v>
      </c>
      <c r="M42" s="28">
        <v>77230635</v>
      </c>
      <c r="N42" s="93">
        <f>(Tabla3[[#This Row],[Inversión real 2017]]-Tabla3[[#This Row],[Inversión real 2016]])/Tabla3[[#This Row],[Inversión real 2016]]</f>
        <v>-0.49862183575209501</v>
      </c>
      <c r="O42" s="93" t="e">
        <f>(Tabla3[[#This Row],[Inversión real 2017]]-Tabla3[[#This Row],[Inversión real 2018]])/Tabla3[[#This Row],[Inversión real 2018]]</f>
        <v>#VALUE!</v>
      </c>
      <c r="P42" s="50"/>
      <c r="Q42" s="43"/>
      <c r="R42" s="43"/>
      <c r="S42" s="50"/>
      <c r="T42" s="43"/>
    </row>
    <row r="43" spans="1:20">
      <c r="A43" s="43"/>
      <c r="B43" s="92" t="s">
        <v>100</v>
      </c>
      <c r="C43" s="24" t="s">
        <v>13</v>
      </c>
      <c r="D43" s="24" t="s">
        <v>21</v>
      </c>
      <c r="E43" s="24" t="s">
        <v>10</v>
      </c>
      <c r="F43" s="24" t="s">
        <v>27</v>
      </c>
      <c r="G43" s="24" t="s">
        <v>12</v>
      </c>
      <c r="H43" s="24">
        <v>9</v>
      </c>
      <c r="I43" s="24">
        <v>5</v>
      </c>
      <c r="J43" s="28">
        <v>10000000</v>
      </c>
      <c r="K43" s="28">
        <v>43538967</v>
      </c>
      <c r="L43" s="28">
        <v>5161300</v>
      </c>
      <c r="M43" s="28">
        <v>85417673</v>
      </c>
      <c r="N43" s="93">
        <f>(Tabla3[[#This Row],[Inversión real 2017]]-Tabla3[[#This Row],[Inversión real 2016]])/Tabla3[[#This Row],[Inversión real 2016]]</f>
        <v>-0.93957573627649627</v>
      </c>
      <c r="O43" s="93">
        <f>(Tabla3[[#This Row],[Inversión real 2017]]-Tabla3[[#This Row],[Inversión real 2018]])/Tabla3[[#This Row],[Inversión real 2018]]</f>
        <v>-0.88145561652852256</v>
      </c>
      <c r="P43" s="50"/>
      <c r="Q43" s="43"/>
      <c r="R43" s="43"/>
      <c r="S43" s="50"/>
      <c r="T43" s="43"/>
    </row>
    <row r="44" spans="1:20">
      <c r="A44" s="43"/>
      <c r="B44" s="92" t="s">
        <v>42</v>
      </c>
      <c r="C44" s="24" t="s">
        <v>13</v>
      </c>
      <c r="D44" s="24" t="s">
        <v>21</v>
      </c>
      <c r="E44" s="24" t="s">
        <v>10</v>
      </c>
      <c r="F44" s="24" t="s">
        <v>27</v>
      </c>
      <c r="G44" s="24" t="s">
        <v>30</v>
      </c>
      <c r="H44" s="24">
        <v>6</v>
      </c>
      <c r="I44" s="24">
        <v>10</v>
      </c>
      <c r="J44" s="28">
        <v>1000000</v>
      </c>
      <c r="K44" s="28">
        <v>95899452</v>
      </c>
      <c r="L44" s="28">
        <v>2565664</v>
      </c>
      <c r="M44" s="28">
        <v>39602953</v>
      </c>
      <c r="N44" s="93">
        <f>(Tabla3[[#This Row],[Inversión real 2017]]-Tabla3[[#This Row],[Inversión real 2016]])/Tabla3[[#This Row],[Inversión real 2016]]</f>
        <v>-0.93521533608870022</v>
      </c>
      <c r="O44" s="93">
        <f>(Tabla3[[#This Row],[Inversión real 2017]]-Tabla3[[#This Row],[Inversión real 2018]])/Tabla3[[#This Row],[Inversión real 2018]]</f>
        <v>-0.97324631218956292</v>
      </c>
      <c r="P44" s="50"/>
      <c r="Q44" s="43"/>
      <c r="R44" s="43"/>
      <c r="S44" s="50"/>
      <c r="T44" s="43"/>
    </row>
    <row r="45" spans="1:20">
      <c r="A45" s="43"/>
      <c r="B45" s="92" t="s">
        <v>39</v>
      </c>
      <c r="C45" s="24" t="s">
        <v>13</v>
      </c>
      <c r="D45" s="24" t="s">
        <v>21</v>
      </c>
      <c r="E45" s="24" t="s">
        <v>10</v>
      </c>
      <c r="F45" s="24" t="s">
        <v>27</v>
      </c>
      <c r="G45" s="24" t="s">
        <v>30</v>
      </c>
      <c r="H45" s="24">
        <v>8</v>
      </c>
      <c r="I45" s="24">
        <v>8</v>
      </c>
      <c r="J45" s="28">
        <v>1000000</v>
      </c>
      <c r="K45" s="28">
        <v>81347428</v>
      </c>
      <c r="L45" s="28">
        <v>10860215</v>
      </c>
      <c r="M45" s="28">
        <v>28637290</v>
      </c>
      <c r="N45" s="93">
        <f>(Tabla3[[#This Row],[Inversión real 2017]]-Tabla3[[#This Row],[Inversión real 2016]])/Tabla3[[#This Row],[Inversión real 2016]]</f>
        <v>-0.62076666472281417</v>
      </c>
      <c r="O45" s="93">
        <f>(Tabla3[[#This Row],[Inversión real 2017]]-Tabla3[[#This Row],[Inversión real 2018]])/Tabla3[[#This Row],[Inversión real 2018]]</f>
        <v>-0.86649590199704896</v>
      </c>
      <c r="P45" s="50"/>
      <c r="Q45" s="43"/>
      <c r="R45" s="43"/>
      <c r="S45" s="50"/>
      <c r="T45" s="43"/>
    </row>
    <row r="46" spans="1:20">
      <c r="A46" s="43"/>
      <c r="B46" s="92" t="s">
        <v>120</v>
      </c>
      <c r="C46" s="24" t="s">
        <v>13</v>
      </c>
      <c r="D46" s="24" t="s">
        <v>25</v>
      </c>
      <c r="E46" s="24" t="s">
        <v>10</v>
      </c>
      <c r="F46" s="24" t="s">
        <v>27</v>
      </c>
      <c r="G46" s="24" t="s">
        <v>30</v>
      </c>
      <c r="H46" s="24">
        <v>6</v>
      </c>
      <c r="I46" s="24">
        <v>10</v>
      </c>
      <c r="J46" s="28">
        <v>30000000</v>
      </c>
      <c r="K46" s="28">
        <v>52442860</v>
      </c>
      <c r="L46" s="28">
        <v>2659881</v>
      </c>
      <c r="M46" s="28">
        <v>80287314</v>
      </c>
      <c r="N46" s="93">
        <f>(Tabla3[[#This Row],[Inversión real 2017]]-Tabla3[[#This Row],[Inversión real 2016]])/Tabla3[[#This Row],[Inversión real 2016]]</f>
        <v>-0.96687046972327406</v>
      </c>
      <c r="O46" s="93">
        <f>(Tabla3[[#This Row],[Inversión real 2017]]-Tabla3[[#This Row],[Inversión real 2018]])/Tabla3[[#This Row],[Inversión real 2018]]</f>
        <v>-0.94928039775099982</v>
      </c>
      <c r="P46" s="50"/>
      <c r="Q46" s="43"/>
      <c r="R46" s="43"/>
      <c r="S46" s="50"/>
      <c r="T46" s="43"/>
    </row>
    <row r="47" spans="1:20">
      <c r="A47" s="43"/>
      <c r="B47" s="92" t="s">
        <v>43</v>
      </c>
      <c r="C47" s="24" t="s">
        <v>13</v>
      </c>
      <c r="D47" s="24" t="s">
        <v>21</v>
      </c>
      <c r="E47" s="24" t="s">
        <v>10</v>
      </c>
      <c r="F47" s="24" t="s">
        <v>27</v>
      </c>
      <c r="G47" s="24" t="s">
        <v>30</v>
      </c>
      <c r="H47" s="24">
        <v>7</v>
      </c>
      <c r="I47" s="24">
        <v>5</v>
      </c>
      <c r="J47" s="28">
        <v>10000000</v>
      </c>
      <c r="K47" s="28">
        <v>96199053</v>
      </c>
      <c r="L47" s="28">
        <v>31746355</v>
      </c>
      <c r="M47" s="28">
        <v>80063468</v>
      </c>
      <c r="N47" s="93">
        <f>(Tabla3[[#This Row],[Inversión real 2017]]-Tabla3[[#This Row],[Inversión real 2016]])/Tabla3[[#This Row],[Inversión real 2016]]</f>
        <v>-0.60348513756611188</v>
      </c>
      <c r="O47" s="93">
        <f>(Tabla3[[#This Row],[Inversión real 2017]]-Tabla3[[#This Row],[Inversión real 2018]])/Tabla3[[#This Row],[Inversión real 2018]]</f>
        <v>-0.6699930611583047</v>
      </c>
      <c r="P47" s="50"/>
      <c r="Q47" s="43"/>
      <c r="R47" s="43"/>
      <c r="S47" s="50"/>
      <c r="T47" s="43"/>
    </row>
    <row r="48" spans="1:20">
      <c r="A48" s="43"/>
      <c r="B48" s="92" t="s">
        <v>106</v>
      </c>
      <c r="C48" s="24" t="s">
        <v>13</v>
      </c>
      <c r="D48" s="24" t="s">
        <v>21</v>
      </c>
      <c r="E48" s="24" t="s">
        <v>10</v>
      </c>
      <c r="F48" s="24" t="s">
        <v>27</v>
      </c>
      <c r="G48" s="24" t="s">
        <v>12</v>
      </c>
      <c r="H48" s="24">
        <v>5</v>
      </c>
      <c r="I48" s="24">
        <v>7</v>
      </c>
      <c r="J48" s="28">
        <v>1000000</v>
      </c>
      <c r="K48" s="28">
        <v>71783742</v>
      </c>
      <c r="L48" s="28">
        <v>64667814</v>
      </c>
      <c r="M48" s="28">
        <v>70653180</v>
      </c>
      <c r="N48" s="93">
        <f>(Tabla3[[#This Row],[Inversión real 2017]]-Tabla3[[#This Row],[Inversión real 2016]])/Tabla3[[#This Row],[Inversión real 2016]]</f>
        <v>-8.4714743200518361E-2</v>
      </c>
      <c r="O48" s="93">
        <f>(Tabla3[[#This Row],[Inversión real 2017]]-Tabla3[[#This Row],[Inversión real 2018]])/Tabla3[[#This Row],[Inversión real 2018]]</f>
        <v>-9.9130078785806403E-2</v>
      </c>
      <c r="P48" s="50"/>
      <c r="Q48" s="50"/>
      <c r="R48" s="50"/>
      <c r="S48" s="50"/>
      <c r="T48" s="43"/>
    </row>
    <row r="49" spans="1:20">
      <c r="A49" s="43"/>
      <c r="B49" s="92" t="s">
        <v>122</v>
      </c>
      <c r="C49" s="24" t="s">
        <v>13</v>
      </c>
      <c r="D49" s="24" t="s">
        <v>25</v>
      </c>
      <c r="E49" s="24" t="s">
        <v>10</v>
      </c>
      <c r="F49" s="24" t="s">
        <v>27</v>
      </c>
      <c r="G49" s="24" t="s">
        <v>12</v>
      </c>
      <c r="H49" s="24">
        <v>3</v>
      </c>
      <c r="I49" s="24">
        <v>8</v>
      </c>
      <c r="J49" s="28">
        <v>90000000</v>
      </c>
      <c r="K49" s="28">
        <v>94913746</v>
      </c>
      <c r="L49" s="28">
        <v>74083223</v>
      </c>
      <c r="M49" s="28">
        <v>31617670</v>
      </c>
      <c r="N49" s="93">
        <f>(Tabla3[[#This Row],[Inversión real 2017]]-Tabla3[[#This Row],[Inversión real 2016]])/Tabla3[[#This Row],[Inversión real 2016]]</f>
        <v>1.343095585474831</v>
      </c>
      <c r="O49" s="93">
        <f>(Tabla3[[#This Row],[Inversión real 2017]]-Tabla3[[#This Row],[Inversión real 2018]])/Tabla3[[#This Row],[Inversión real 2018]]</f>
        <v>-0.21946792617372829</v>
      </c>
      <c r="P49" s="50"/>
      <c r="Q49" s="50"/>
      <c r="R49" s="50"/>
      <c r="S49" s="50"/>
      <c r="T49" s="43"/>
    </row>
    <row r="50" spans="1:20">
      <c r="A50" s="43"/>
      <c r="B50" s="92" t="s">
        <v>121</v>
      </c>
      <c r="C50" s="24" t="s">
        <v>13</v>
      </c>
      <c r="D50" s="24" t="s">
        <v>25</v>
      </c>
      <c r="E50" s="24" t="s">
        <v>17</v>
      </c>
      <c r="F50" s="25" t="s">
        <v>23</v>
      </c>
      <c r="G50" s="24" t="s">
        <v>12</v>
      </c>
      <c r="H50" s="24">
        <v>7</v>
      </c>
      <c r="I50" s="24">
        <v>9</v>
      </c>
      <c r="J50" s="23" t="s">
        <v>141</v>
      </c>
      <c r="K50" s="23" t="s">
        <v>179</v>
      </c>
      <c r="L50" s="28">
        <v>67753952</v>
      </c>
      <c r="M50" s="28">
        <v>77205812</v>
      </c>
      <c r="N50" s="93">
        <f>(Tabla3[[#This Row],[Inversión real 2017]]-Tabla3[[#This Row],[Inversión real 2016]])/Tabla3[[#This Row],[Inversión real 2016]]</f>
        <v>-0.12242420298616896</v>
      </c>
      <c r="O50" s="93" t="e">
        <f>(Tabla3[[#This Row],[Inversión real 2017]]-Tabla3[[#This Row],[Inversión real 2018]])/Tabla3[[#This Row],[Inversión real 2018]]</f>
        <v>#VALUE!</v>
      </c>
      <c r="P50" s="50"/>
      <c r="Q50" s="50"/>
      <c r="R50" s="50"/>
      <c r="S50" s="50"/>
      <c r="T50" s="43"/>
    </row>
    <row r="51" spans="1:20">
      <c r="A51" s="43"/>
      <c r="B51" s="92" t="s">
        <v>78</v>
      </c>
      <c r="C51" s="24" t="s">
        <v>32</v>
      </c>
      <c r="D51" s="24" t="s">
        <v>21</v>
      </c>
      <c r="E51" s="24" t="s">
        <v>10</v>
      </c>
      <c r="F51" s="24" t="s">
        <v>27</v>
      </c>
      <c r="G51" s="24" t="s">
        <v>30</v>
      </c>
      <c r="H51" s="24">
        <v>5</v>
      </c>
      <c r="I51" s="24">
        <v>6</v>
      </c>
      <c r="J51" s="28">
        <v>30000000</v>
      </c>
      <c r="K51" s="28">
        <v>33477783</v>
      </c>
      <c r="L51" s="23" t="s">
        <v>179</v>
      </c>
      <c r="M51" s="28">
        <v>27651635</v>
      </c>
      <c r="N51" s="93" t="e">
        <f>(Tabla3[[#This Row],[Inversión real 2017]]-Tabla3[[#This Row],[Inversión real 2016]])/Tabla3[[#This Row],[Inversión real 2016]]</f>
        <v>#VALUE!</v>
      </c>
      <c r="O51" s="93" t="e">
        <f>(Tabla3[[#This Row],[Inversión real 2017]]-Tabla3[[#This Row],[Inversión real 2018]])/Tabla3[[#This Row],[Inversión real 2018]]</f>
        <v>#VALUE!</v>
      </c>
      <c r="P51" s="50"/>
      <c r="Q51" s="50"/>
      <c r="R51" s="50"/>
      <c r="S51" s="50"/>
      <c r="T51" s="43"/>
    </row>
    <row r="52" spans="1:20">
      <c r="A52" s="43"/>
      <c r="B52" s="92" t="s">
        <v>82</v>
      </c>
      <c r="C52" s="24" t="s">
        <v>13</v>
      </c>
      <c r="D52" s="24" t="s">
        <v>9</v>
      </c>
      <c r="E52" s="24" t="s">
        <v>10</v>
      </c>
      <c r="F52" s="24" t="s">
        <v>11</v>
      </c>
      <c r="G52" s="24" t="s">
        <v>30</v>
      </c>
      <c r="H52" s="24">
        <v>9</v>
      </c>
      <c r="I52" s="24">
        <v>9</v>
      </c>
      <c r="J52" s="28">
        <v>50000000</v>
      </c>
      <c r="K52" s="28">
        <v>2702447</v>
      </c>
      <c r="L52" s="23" t="s">
        <v>179</v>
      </c>
      <c r="M52" s="28">
        <v>44671760</v>
      </c>
      <c r="N52" s="93" t="e">
        <f>(Tabla3[[#This Row],[Inversión real 2017]]-Tabla3[[#This Row],[Inversión real 2016]])/Tabla3[[#This Row],[Inversión real 2016]]</f>
        <v>#VALUE!</v>
      </c>
      <c r="O52" s="93" t="e">
        <f>(Tabla3[[#This Row],[Inversión real 2017]]-Tabla3[[#This Row],[Inversión real 2018]])/Tabla3[[#This Row],[Inversión real 2018]]</f>
        <v>#VALUE!</v>
      </c>
      <c r="P52" s="50"/>
      <c r="Q52" s="50"/>
      <c r="R52" s="50"/>
      <c r="S52" s="50"/>
      <c r="T52" s="43"/>
    </row>
    <row r="53" spans="1:20">
      <c r="A53" s="43"/>
      <c r="B53" s="92" t="s">
        <v>95</v>
      </c>
      <c r="C53" s="25" t="s">
        <v>96</v>
      </c>
      <c r="D53" s="24" t="s">
        <v>21</v>
      </c>
      <c r="E53" s="24" t="s">
        <v>10</v>
      </c>
      <c r="F53" s="24" t="s">
        <v>11</v>
      </c>
      <c r="G53" s="24" t="s">
        <v>12</v>
      </c>
      <c r="H53" s="24">
        <v>6</v>
      </c>
      <c r="I53" s="24">
        <v>8</v>
      </c>
      <c r="J53" s="28">
        <v>50000000</v>
      </c>
      <c r="K53" s="28">
        <v>70787848</v>
      </c>
      <c r="L53" s="28">
        <v>33368202</v>
      </c>
      <c r="M53" s="28">
        <v>43277527</v>
      </c>
      <c r="N53" s="93">
        <f>(Tabla3[[#This Row],[Inversión real 2017]]-Tabla3[[#This Row],[Inversión real 2016]])/Tabla3[[#This Row],[Inversión real 2016]]</f>
        <v>-0.22897160921417714</v>
      </c>
      <c r="O53" s="93">
        <f>(Tabla3[[#This Row],[Inversión real 2017]]-Tabla3[[#This Row],[Inversión real 2018]])/Tabla3[[#This Row],[Inversión real 2018]]</f>
        <v>-0.52861680439840464</v>
      </c>
      <c r="P53" s="50"/>
      <c r="Q53" s="50"/>
      <c r="R53" s="50"/>
      <c r="S53" s="50"/>
      <c r="T53" s="43"/>
    </row>
    <row r="54" spans="1:20">
      <c r="A54" s="43"/>
      <c r="B54" s="92" t="s">
        <v>31</v>
      </c>
      <c r="C54" s="24" t="s">
        <v>32</v>
      </c>
      <c r="D54" s="24" t="s">
        <v>21</v>
      </c>
      <c r="E54" s="24" t="s">
        <v>17</v>
      </c>
      <c r="F54" s="25" t="s">
        <v>23</v>
      </c>
      <c r="G54" s="24" t="s">
        <v>30</v>
      </c>
      <c r="H54" s="24">
        <v>7</v>
      </c>
      <c r="I54" s="24">
        <v>5</v>
      </c>
      <c r="J54" s="23" t="s">
        <v>141</v>
      </c>
      <c r="K54" s="23" t="s">
        <v>179</v>
      </c>
      <c r="L54" s="28">
        <v>46563396</v>
      </c>
      <c r="M54" s="28">
        <v>63313535</v>
      </c>
      <c r="N54" s="93">
        <f>(Tabla3[[#This Row],[Inversión real 2017]]-Tabla3[[#This Row],[Inversión real 2016]])/Tabla3[[#This Row],[Inversión real 2016]]</f>
        <v>-0.26455858135231275</v>
      </c>
      <c r="O54" s="93" t="e">
        <f>(Tabla3[[#This Row],[Inversión real 2017]]-Tabla3[[#This Row],[Inversión real 2018]])/Tabla3[[#This Row],[Inversión real 2018]]</f>
        <v>#VALUE!</v>
      </c>
      <c r="P54" s="50"/>
      <c r="Q54" s="50"/>
      <c r="R54" s="50"/>
      <c r="S54" s="50"/>
      <c r="T54" s="43"/>
    </row>
    <row r="55" spans="1:20">
      <c r="A55" s="43"/>
      <c r="B55" s="92" t="s">
        <v>111</v>
      </c>
      <c r="C55" s="24" t="s">
        <v>72</v>
      </c>
      <c r="D55" s="24" t="s">
        <v>21</v>
      </c>
      <c r="E55" s="24" t="s">
        <v>10</v>
      </c>
      <c r="F55" s="24" t="s">
        <v>11</v>
      </c>
      <c r="G55" s="24" t="s">
        <v>12</v>
      </c>
      <c r="H55" s="24">
        <v>5</v>
      </c>
      <c r="I55" s="24">
        <v>6</v>
      </c>
      <c r="J55" s="28">
        <v>20000000</v>
      </c>
      <c r="K55" s="28">
        <v>40064620</v>
      </c>
      <c r="L55" s="28">
        <v>98137438</v>
      </c>
      <c r="M55" s="23" t="s">
        <v>179</v>
      </c>
      <c r="N55" s="93" t="e">
        <f>(Tabla3[[#This Row],[Inversión real 2017]]-Tabla3[[#This Row],[Inversión real 2016]])/Tabla3[[#This Row],[Inversión real 2016]]</f>
        <v>#VALUE!</v>
      </c>
      <c r="O55" s="93">
        <f>(Tabla3[[#This Row],[Inversión real 2017]]-Tabla3[[#This Row],[Inversión real 2018]])/Tabla3[[#This Row],[Inversión real 2018]]</f>
        <v>1.449478816971183</v>
      </c>
      <c r="P55" s="50"/>
      <c r="Q55" s="50"/>
      <c r="R55" s="50"/>
      <c r="S55" s="50"/>
      <c r="T55" s="43"/>
    </row>
    <row r="56" spans="1:20">
      <c r="A56" s="43"/>
      <c r="B56" s="92" t="s">
        <v>81</v>
      </c>
      <c r="C56" s="24" t="s">
        <v>13</v>
      </c>
      <c r="D56" s="24" t="s">
        <v>21</v>
      </c>
      <c r="E56" s="24" t="s">
        <v>10</v>
      </c>
      <c r="F56" s="24" t="s">
        <v>27</v>
      </c>
      <c r="G56" s="24" t="s">
        <v>12</v>
      </c>
      <c r="H56" s="24">
        <v>4</v>
      </c>
      <c r="I56" s="24">
        <v>6</v>
      </c>
      <c r="J56" s="28">
        <v>30000000</v>
      </c>
      <c r="K56" s="28">
        <v>45289360</v>
      </c>
      <c r="L56" s="23" t="s">
        <v>179</v>
      </c>
      <c r="M56" s="28">
        <v>46980526</v>
      </c>
      <c r="N56" s="93" t="e">
        <f>(Tabla3[[#This Row],[Inversión real 2017]]-Tabla3[[#This Row],[Inversión real 2016]])/Tabla3[[#This Row],[Inversión real 2016]]</f>
        <v>#VALUE!</v>
      </c>
      <c r="O56" s="93" t="e">
        <f>(Tabla3[[#This Row],[Inversión real 2017]]-Tabla3[[#This Row],[Inversión real 2018]])/Tabla3[[#This Row],[Inversión real 2018]]</f>
        <v>#VALUE!</v>
      </c>
      <c r="P56" s="50"/>
      <c r="Q56" s="50"/>
      <c r="R56" s="50"/>
      <c r="S56" s="50"/>
      <c r="T56" s="43"/>
    </row>
    <row r="57" spans="1:20">
      <c r="A57" s="43"/>
      <c r="B57" s="92" t="s">
        <v>50</v>
      </c>
      <c r="C57" s="24" t="s">
        <v>13</v>
      </c>
      <c r="D57" s="24" t="s">
        <v>25</v>
      </c>
      <c r="E57" s="24" t="s">
        <v>10</v>
      </c>
      <c r="F57" s="24" t="s">
        <v>27</v>
      </c>
      <c r="G57" s="24" t="s">
        <v>12</v>
      </c>
      <c r="H57" s="24">
        <v>7</v>
      </c>
      <c r="I57" s="24">
        <v>5</v>
      </c>
      <c r="J57" s="28">
        <v>30000000</v>
      </c>
      <c r="K57" s="28">
        <v>34397393</v>
      </c>
      <c r="L57" s="28">
        <v>72192037</v>
      </c>
      <c r="M57" s="28">
        <v>21247716</v>
      </c>
      <c r="N57" s="93">
        <f>(Tabla3[[#This Row],[Inversión real 2017]]-Tabla3[[#This Row],[Inversión real 2016]])/Tabla3[[#This Row],[Inversión real 2016]]</f>
        <v>2.3976375154863705</v>
      </c>
      <c r="O57" s="93">
        <f>(Tabla3[[#This Row],[Inversión real 2017]]-Tabla3[[#This Row],[Inversión real 2018]])/Tabla3[[#This Row],[Inversión real 2018]]</f>
        <v>1.0987647813891013</v>
      </c>
      <c r="P57" s="50"/>
      <c r="Q57" s="50"/>
      <c r="R57" s="50"/>
      <c r="S57" s="50"/>
      <c r="T57" s="43"/>
    </row>
    <row r="58" spans="1:20">
      <c r="A58" s="43"/>
      <c r="B58" s="92" t="s">
        <v>123</v>
      </c>
      <c r="C58" s="24" t="s">
        <v>13</v>
      </c>
      <c r="D58" s="24" t="s">
        <v>21</v>
      </c>
      <c r="E58" s="24" t="s">
        <v>17</v>
      </c>
      <c r="F58" s="25" t="s">
        <v>18</v>
      </c>
      <c r="G58" s="24" t="s">
        <v>30</v>
      </c>
      <c r="H58" s="24">
        <v>3</v>
      </c>
      <c r="I58" s="24">
        <v>9</v>
      </c>
      <c r="J58" s="23" t="s">
        <v>141</v>
      </c>
      <c r="K58" s="23" t="s">
        <v>179</v>
      </c>
      <c r="L58" s="28">
        <v>69870077</v>
      </c>
      <c r="M58" s="28">
        <v>98441580</v>
      </c>
      <c r="N58" s="93">
        <f>(Tabla3[[#This Row],[Inversión real 2017]]-Tabla3[[#This Row],[Inversión real 2016]])/Tabla3[[#This Row],[Inversión real 2016]]</f>
        <v>-0.29023815952568011</v>
      </c>
      <c r="O58" s="93" t="e">
        <f>(Tabla3[[#This Row],[Inversión real 2017]]-Tabla3[[#This Row],[Inversión real 2018]])/Tabla3[[#This Row],[Inversión real 2018]]</f>
        <v>#VALUE!</v>
      </c>
      <c r="P58" s="50"/>
      <c r="Q58" s="50"/>
      <c r="R58" s="50"/>
      <c r="S58" s="50"/>
      <c r="T58" s="43"/>
    </row>
    <row r="59" spans="1:20">
      <c r="A59" s="43"/>
      <c r="B59" s="92" t="s">
        <v>26</v>
      </c>
      <c r="C59" s="25" t="s">
        <v>28</v>
      </c>
      <c r="D59" s="24" t="s">
        <v>25</v>
      </c>
      <c r="E59" s="24" t="s">
        <v>10</v>
      </c>
      <c r="F59" s="24" t="s">
        <v>27</v>
      </c>
      <c r="G59" s="24" t="s">
        <v>12</v>
      </c>
      <c r="H59" s="24">
        <v>3</v>
      </c>
      <c r="I59" s="24">
        <v>6</v>
      </c>
      <c r="J59" s="28">
        <v>1000000</v>
      </c>
      <c r="K59" s="28">
        <v>34126405</v>
      </c>
      <c r="L59" s="28">
        <v>88265167</v>
      </c>
      <c r="M59" s="28">
        <v>56002928</v>
      </c>
      <c r="N59" s="93">
        <f>(Tabla3[[#This Row],[Inversión real 2017]]-Tabla3[[#This Row],[Inversión real 2016]])/Tabla3[[#This Row],[Inversión real 2016]]</f>
        <v>0.57608128989255702</v>
      </c>
      <c r="O59" s="93">
        <f>(Tabla3[[#This Row],[Inversión real 2017]]-Tabla3[[#This Row],[Inversión real 2018]])/Tabla3[[#This Row],[Inversión real 2018]]</f>
        <v>1.5864185518515648</v>
      </c>
      <c r="P59" s="50"/>
      <c r="Q59" s="50"/>
      <c r="R59" s="50"/>
      <c r="S59" s="50"/>
      <c r="T59" s="43"/>
    </row>
    <row r="60" spans="1:20">
      <c r="A60" s="43"/>
      <c r="B60" s="92" t="s">
        <v>41</v>
      </c>
      <c r="C60" s="24" t="s">
        <v>13</v>
      </c>
      <c r="D60" s="24" t="s">
        <v>21</v>
      </c>
      <c r="E60" s="24" t="s">
        <v>10</v>
      </c>
      <c r="F60" s="24" t="s">
        <v>11</v>
      </c>
      <c r="G60" s="24" t="s">
        <v>12</v>
      </c>
      <c r="H60" s="24">
        <v>7</v>
      </c>
      <c r="I60" s="24">
        <v>10</v>
      </c>
      <c r="J60" s="28">
        <v>1000000</v>
      </c>
      <c r="K60" s="28">
        <v>53008255</v>
      </c>
      <c r="L60" s="28">
        <v>46917910</v>
      </c>
      <c r="M60" s="28">
        <v>47557281</v>
      </c>
      <c r="N60" s="93">
        <f>(Tabla3[[#This Row],[Inversión real 2017]]-Tabla3[[#This Row],[Inversión real 2016]])/Tabla3[[#This Row],[Inversión real 2016]]</f>
        <v>-1.3444229496635858E-2</v>
      </c>
      <c r="O60" s="93">
        <f>(Tabla3[[#This Row],[Inversión real 2017]]-Tabla3[[#This Row],[Inversión real 2018]])/Tabla3[[#This Row],[Inversión real 2018]]</f>
        <v>-0.11489427448611542</v>
      </c>
      <c r="P60" s="50"/>
      <c r="Q60" s="50"/>
      <c r="R60" s="50"/>
      <c r="S60" s="50"/>
      <c r="T60" s="43"/>
    </row>
    <row r="61" spans="1:20">
      <c r="A61" s="43"/>
      <c r="B61" s="92" t="s">
        <v>73</v>
      </c>
      <c r="C61" s="24" t="s">
        <v>13</v>
      </c>
      <c r="D61" s="24" t="s">
        <v>21</v>
      </c>
      <c r="E61" s="24" t="s">
        <v>17</v>
      </c>
      <c r="F61" s="25" t="s">
        <v>18</v>
      </c>
      <c r="G61" s="24" t="s">
        <v>12</v>
      </c>
      <c r="H61" s="24">
        <v>5</v>
      </c>
      <c r="I61" s="24">
        <v>9</v>
      </c>
      <c r="J61" s="23" t="s">
        <v>141</v>
      </c>
      <c r="K61" s="23" t="s">
        <v>179</v>
      </c>
      <c r="L61" s="23" t="s">
        <v>179</v>
      </c>
      <c r="M61" s="28">
        <v>22675260</v>
      </c>
      <c r="N61" s="93" t="e">
        <f>(Tabla3[[#This Row],[Inversión real 2017]]-Tabla3[[#This Row],[Inversión real 2016]])/Tabla3[[#This Row],[Inversión real 2016]]</f>
        <v>#VALUE!</v>
      </c>
      <c r="O61" s="93" t="e">
        <f>(Tabla3[[#This Row],[Inversión real 2017]]-Tabla3[[#This Row],[Inversión real 2018]])/Tabla3[[#This Row],[Inversión real 2018]]</f>
        <v>#VALUE!</v>
      </c>
      <c r="P61" s="50"/>
      <c r="Q61" s="50"/>
      <c r="R61" s="50"/>
      <c r="S61" s="50"/>
      <c r="T61" s="43"/>
    </row>
    <row r="62" spans="1:20">
      <c r="A62" s="43"/>
      <c r="B62" s="92" t="s">
        <v>88</v>
      </c>
      <c r="C62" s="25" t="s">
        <v>89</v>
      </c>
      <c r="D62" s="24" t="s">
        <v>21</v>
      </c>
      <c r="E62" s="24" t="s">
        <v>10</v>
      </c>
      <c r="F62" s="24" t="s">
        <v>11</v>
      </c>
      <c r="G62" s="24" t="s">
        <v>12</v>
      </c>
      <c r="H62" s="24">
        <v>9</v>
      </c>
      <c r="I62" s="24">
        <v>5</v>
      </c>
      <c r="J62" s="28">
        <v>100000000</v>
      </c>
      <c r="K62" s="28">
        <v>94688720</v>
      </c>
      <c r="L62" s="28">
        <v>86323763</v>
      </c>
      <c r="M62" s="28">
        <v>20929788</v>
      </c>
      <c r="N62" s="93">
        <f>(Tabla3[[#This Row],[Inversión real 2017]]-Tabla3[[#This Row],[Inversión real 2016]])/Tabla3[[#This Row],[Inversión real 2016]]</f>
        <v>3.12444516877094</v>
      </c>
      <c r="O62" s="93">
        <f>(Tabla3[[#This Row],[Inversión real 2017]]-Tabla3[[#This Row],[Inversión real 2018]])/Tabla3[[#This Row],[Inversión real 2018]]</f>
        <v>-8.8341641961154405E-2</v>
      </c>
      <c r="P62" s="50"/>
      <c r="Q62" s="50"/>
      <c r="R62" s="50"/>
      <c r="S62" s="50"/>
      <c r="T62" s="43"/>
    </row>
    <row r="63" spans="1:20">
      <c r="A63" s="43"/>
      <c r="B63" s="92" t="s">
        <v>133</v>
      </c>
      <c r="C63" s="24" t="s">
        <v>13</v>
      </c>
      <c r="D63" s="24" t="s">
        <v>54</v>
      </c>
      <c r="E63" s="24" t="s">
        <v>55</v>
      </c>
      <c r="F63" s="24" t="s">
        <v>56</v>
      </c>
      <c r="G63" s="24" t="s">
        <v>12</v>
      </c>
      <c r="H63" s="24">
        <v>4</v>
      </c>
      <c r="I63" s="24">
        <v>8</v>
      </c>
      <c r="J63" s="23" t="s">
        <v>141</v>
      </c>
      <c r="K63" s="23" t="s">
        <v>179</v>
      </c>
      <c r="L63" s="28">
        <v>96750826</v>
      </c>
      <c r="M63" s="28">
        <v>31435769</v>
      </c>
      <c r="N63" s="93">
        <f>(Tabla3[[#This Row],[Inversión real 2017]]-Tabla3[[#This Row],[Inversión real 2016]])/Tabla3[[#This Row],[Inversión real 2016]]</f>
        <v>2.0777305304667433</v>
      </c>
      <c r="O63" s="93" t="e">
        <f>(Tabla3[[#This Row],[Inversión real 2017]]-Tabla3[[#This Row],[Inversión real 2018]])/Tabla3[[#This Row],[Inversión real 2018]]</f>
        <v>#VALUE!</v>
      </c>
      <c r="P63" s="50"/>
      <c r="Q63" s="50"/>
      <c r="R63" s="50"/>
      <c r="S63" s="50"/>
      <c r="T63" s="43"/>
    </row>
    <row r="64" spans="1:20">
      <c r="A64" s="43"/>
      <c r="B64" s="92" t="s">
        <v>67</v>
      </c>
      <c r="C64" s="24" t="s">
        <v>13</v>
      </c>
      <c r="D64" s="24" t="s">
        <v>25</v>
      </c>
      <c r="E64" s="24" t="s">
        <v>10</v>
      </c>
      <c r="F64" s="24" t="s">
        <v>11</v>
      </c>
      <c r="G64" s="24" t="s">
        <v>12</v>
      </c>
      <c r="H64" s="24">
        <v>5</v>
      </c>
      <c r="I64" s="24">
        <v>10</v>
      </c>
      <c r="J64" s="28">
        <v>10000000</v>
      </c>
      <c r="K64" s="28">
        <v>89686683</v>
      </c>
      <c r="L64" s="28">
        <v>62448793</v>
      </c>
      <c r="M64" s="28">
        <v>26812600</v>
      </c>
      <c r="N64" s="93">
        <f>(Tabla3[[#This Row],[Inversión real 2017]]-Tabla3[[#This Row],[Inversión real 2016]])/Tabla3[[#This Row],[Inversión real 2016]]</f>
        <v>1.3290838262607878</v>
      </c>
      <c r="O64" s="93">
        <f>(Tabla3[[#This Row],[Inversión real 2017]]-Tabla3[[#This Row],[Inversión real 2018]])/Tabla3[[#This Row],[Inversión real 2018]]</f>
        <v>-0.30370049475461147</v>
      </c>
      <c r="P64" s="50"/>
      <c r="Q64" s="50"/>
      <c r="R64" s="50"/>
      <c r="S64" s="50"/>
      <c r="T64" s="43"/>
    </row>
    <row r="65" spans="1:20">
      <c r="A65" s="43"/>
      <c r="B65" s="92" t="s">
        <v>84</v>
      </c>
      <c r="C65" s="24" t="s">
        <v>13</v>
      </c>
      <c r="D65" s="24" t="s">
        <v>21</v>
      </c>
      <c r="E65" s="24" t="s">
        <v>10</v>
      </c>
      <c r="F65" s="24" t="s">
        <v>27</v>
      </c>
      <c r="G65" s="24" t="s">
        <v>12</v>
      </c>
      <c r="H65" s="24">
        <v>3</v>
      </c>
      <c r="I65" s="24">
        <v>10</v>
      </c>
      <c r="J65" s="28">
        <v>30000000</v>
      </c>
      <c r="K65" s="28">
        <v>32890743</v>
      </c>
      <c r="L65" s="23" t="s">
        <v>179</v>
      </c>
      <c r="M65" s="28">
        <v>39864620</v>
      </c>
      <c r="N65" s="93" t="e">
        <f>(Tabla3[[#This Row],[Inversión real 2017]]-Tabla3[[#This Row],[Inversión real 2016]])/Tabla3[[#This Row],[Inversión real 2016]]</f>
        <v>#VALUE!</v>
      </c>
      <c r="O65" s="93" t="e">
        <f>(Tabla3[[#This Row],[Inversión real 2017]]-Tabla3[[#This Row],[Inversión real 2018]])/Tabla3[[#This Row],[Inversión real 2018]]</f>
        <v>#VALUE!</v>
      </c>
      <c r="P65" s="50"/>
      <c r="Q65" s="50"/>
      <c r="R65" s="50"/>
      <c r="S65" s="50"/>
      <c r="T65" s="43"/>
    </row>
    <row r="66" spans="1:20">
      <c r="A66" s="43"/>
      <c r="B66" s="92" t="s">
        <v>38</v>
      </c>
      <c r="C66" s="24" t="s">
        <v>13</v>
      </c>
      <c r="D66" s="24" t="s">
        <v>25</v>
      </c>
      <c r="E66" s="24" t="s">
        <v>10</v>
      </c>
      <c r="F66" s="24" t="s">
        <v>11</v>
      </c>
      <c r="G66" s="24" t="s">
        <v>12</v>
      </c>
      <c r="H66" s="24">
        <v>3</v>
      </c>
      <c r="I66" s="24">
        <v>10</v>
      </c>
      <c r="J66" s="28">
        <v>10000000</v>
      </c>
      <c r="K66" s="28">
        <v>32370896</v>
      </c>
      <c r="L66" s="28">
        <v>96066942</v>
      </c>
      <c r="M66" s="28">
        <v>3767736</v>
      </c>
      <c r="N66" s="93">
        <f>(Tabla3[[#This Row],[Inversión real 2017]]-Tabla3[[#This Row],[Inversión real 2016]])/Tabla3[[#This Row],[Inversión real 2016]]</f>
        <v>24.497259362120914</v>
      </c>
      <c r="O66" s="93">
        <f>(Tabla3[[#This Row],[Inversión real 2017]]-Tabla3[[#This Row],[Inversión real 2018]])/Tabla3[[#This Row],[Inversión real 2018]]</f>
        <v>1.967694870108013</v>
      </c>
      <c r="P66" s="50"/>
      <c r="Q66" s="50"/>
      <c r="R66" s="50"/>
      <c r="S66" s="50"/>
      <c r="T66" s="43"/>
    </row>
    <row r="67" spans="1:20">
      <c r="A67" s="43"/>
      <c r="B67" s="92" t="s">
        <v>24</v>
      </c>
      <c r="C67" s="24" t="s">
        <v>13</v>
      </c>
      <c r="D67" s="24" t="s">
        <v>25</v>
      </c>
      <c r="E67" s="24" t="s">
        <v>17</v>
      </c>
      <c r="F67" s="25" t="s">
        <v>23</v>
      </c>
      <c r="G67" s="24" t="s">
        <v>12</v>
      </c>
      <c r="H67" s="24">
        <v>5</v>
      </c>
      <c r="I67" s="24">
        <v>5</v>
      </c>
      <c r="J67" s="23" t="s">
        <v>141</v>
      </c>
      <c r="K67" s="23" t="s">
        <v>179</v>
      </c>
      <c r="L67" s="28">
        <v>24514428</v>
      </c>
      <c r="M67" s="28">
        <v>27890231</v>
      </c>
      <c r="N67" s="93">
        <f>(Tabla3[[#This Row],[Inversión real 2017]]-Tabla3[[#This Row],[Inversión real 2016]])/Tabla3[[#This Row],[Inversión real 2016]]</f>
        <v>-0.12103890426723249</v>
      </c>
      <c r="O67" s="93" t="e">
        <f>(Tabla3[[#This Row],[Inversión real 2017]]-Tabla3[[#This Row],[Inversión real 2018]])/Tabla3[[#This Row],[Inversión real 2018]]</f>
        <v>#VALUE!</v>
      </c>
      <c r="P67" s="50"/>
      <c r="Q67" s="50"/>
      <c r="R67" s="50"/>
      <c r="S67" s="50"/>
      <c r="T67" s="43"/>
    </row>
    <row r="68" spans="1:20">
      <c r="A68" s="43"/>
      <c r="B68" s="92" t="s">
        <v>37</v>
      </c>
      <c r="C68" s="24" t="s">
        <v>13</v>
      </c>
      <c r="D68" s="24" t="s">
        <v>21</v>
      </c>
      <c r="E68" s="24" t="s">
        <v>10</v>
      </c>
      <c r="F68" s="24" t="s">
        <v>11</v>
      </c>
      <c r="G68" s="24" t="s">
        <v>30</v>
      </c>
      <c r="H68" s="24">
        <v>7</v>
      </c>
      <c r="I68" s="24">
        <v>7</v>
      </c>
      <c r="J68" s="28">
        <v>10000000</v>
      </c>
      <c r="K68" s="28">
        <v>31953589</v>
      </c>
      <c r="L68" s="28">
        <v>40068224</v>
      </c>
      <c r="M68" s="28">
        <v>80951038</v>
      </c>
      <c r="N68" s="93">
        <f>(Tabla3[[#This Row],[Inversión real 2017]]-Tabla3[[#This Row],[Inversión real 2016]])/Tabla3[[#This Row],[Inversión real 2016]]</f>
        <v>-0.50503137464401626</v>
      </c>
      <c r="O68" s="93">
        <f>(Tabla3[[#This Row],[Inversión real 2017]]-Tabla3[[#This Row],[Inversión real 2018]])/Tabla3[[#This Row],[Inversión real 2018]]</f>
        <v>0.25395065950181683</v>
      </c>
      <c r="P68" s="50"/>
      <c r="Q68" s="50"/>
      <c r="R68" s="50"/>
      <c r="S68" s="50"/>
      <c r="T68" s="43"/>
    </row>
    <row r="69" spans="1:20">
      <c r="A69" s="43"/>
      <c r="B69" s="92" t="s">
        <v>49</v>
      </c>
      <c r="C69" s="24" t="s">
        <v>13</v>
      </c>
      <c r="D69" s="24" t="s">
        <v>21</v>
      </c>
      <c r="E69" s="24" t="s">
        <v>10</v>
      </c>
      <c r="F69" s="24" t="s">
        <v>11</v>
      </c>
      <c r="G69" s="24" t="s">
        <v>12</v>
      </c>
      <c r="H69" s="24">
        <v>7</v>
      </c>
      <c r="I69" s="24">
        <v>5</v>
      </c>
      <c r="J69" s="28">
        <v>50000000</v>
      </c>
      <c r="K69" s="28">
        <v>78205651</v>
      </c>
      <c r="L69" s="28">
        <v>62381180</v>
      </c>
      <c r="M69" s="28">
        <v>6508585</v>
      </c>
      <c r="N69" s="93">
        <f>(Tabla3[[#This Row],[Inversión real 2017]]-Tabla3[[#This Row],[Inversión real 2016]])/Tabla3[[#This Row],[Inversión real 2016]]</f>
        <v>8.5844457743119289</v>
      </c>
      <c r="O69" s="93">
        <f>(Tabla3[[#This Row],[Inversión real 2017]]-Tabla3[[#This Row],[Inversión real 2018]])/Tabla3[[#This Row],[Inversión real 2018]]</f>
        <v>-0.20234434209875704</v>
      </c>
      <c r="P69" s="50"/>
      <c r="Q69" s="50"/>
      <c r="R69" s="50"/>
      <c r="S69" s="50"/>
      <c r="T69" s="43"/>
    </row>
    <row r="70" spans="1:20">
      <c r="A70" s="43"/>
      <c r="B70" s="92" t="s">
        <v>119</v>
      </c>
      <c r="C70" s="24" t="s">
        <v>13</v>
      </c>
      <c r="D70" s="24" t="s">
        <v>15</v>
      </c>
      <c r="E70" s="24" t="s">
        <v>17</v>
      </c>
      <c r="F70" s="25" t="s">
        <v>18</v>
      </c>
      <c r="G70" s="24" t="s">
        <v>12</v>
      </c>
      <c r="H70" s="24">
        <v>5</v>
      </c>
      <c r="I70" s="24">
        <v>4</v>
      </c>
      <c r="J70" s="23" t="s">
        <v>141</v>
      </c>
      <c r="K70" s="23" t="s">
        <v>179</v>
      </c>
      <c r="L70" s="28">
        <v>34584522</v>
      </c>
      <c r="M70" s="23" t="s">
        <v>179</v>
      </c>
      <c r="N70" s="93" t="e">
        <f>(Tabla3[[#This Row],[Inversión real 2017]]-Tabla3[[#This Row],[Inversión real 2016]])/Tabla3[[#This Row],[Inversión real 2016]]</f>
        <v>#VALUE!</v>
      </c>
      <c r="O70" s="93" t="e">
        <f>(Tabla3[[#This Row],[Inversión real 2017]]-Tabla3[[#This Row],[Inversión real 2018]])/Tabla3[[#This Row],[Inversión real 2018]]</f>
        <v>#VALUE!</v>
      </c>
      <c r="P70" s="50"/>
      <c r="Q70" s="50"/>
      <c r="R70" s="50"/>
      <c r="S70" s="50"/>
      <c r="T70" s="43"/>
    </row>
    <row r="71" spans="1:20">
      <c r="A71" s="43"/>
      <c r="B71" s="92" t="s">
        <v>86</v>
      </c>
      <c r="C71" s="25" t="s">
        <v>87</v>
      </c>
      <c r="D71" s="24" t="s">
        <v>21</v>
      </c>
      <c r="E71" s="24" t="s">
        <v>55</v>
      </c>
      <c r="F71" s="24" t="s">
        <v>80</v>
      </c>
      <c r="G71" s="24" t="s">
        <v>12</v>
      </c>
      <c r="H71" s="24">
        <v>7</v>
      </c>
      <c r="I71" s="24">
        <v>7</v>
      </c>
      <c r="J71" s="23" t="s">
        <v>141</v>
      </c>
      <c r="K71" s="23" t="s">
        <v>179</v>
      </c>
      <c r="L71" s="28">
        <v>76942676</v>
      </c>
      <c r="M71" s="28">
        <v>74216691</v>
      </c>
      <c r="N71" s="93">
        <f>(Tabla3[[#This Row],[Inversión real 2017]]-Tabla3[[#This Row],[Inversión real 2016]])/Tabla3[[#This Row],[Inversión real 2016]]</f>
        <v>3.6730080030110746E-2</v>
      </c>
      <c r="O71" s="93" t="e">
        <f>(Tabla3[[#This Row],[Inversión real 2017]]-Tabla3[[#This Row],[Inversión real 2018]])/Tabla3[[#This Row],[Inversión real 2018]]</f>
        <v>#VALUE!</v>
      </c>
      <c r="P71" s="50"/>
      <c r="Q71" s="50"/>
      <c r="R71" s="50"/>
      <c r="S71" s="50"/>
      <c r="T71" s="43"/>
    </row>
    <row r="72" spans="1:20">
      <c r="A72" s="43"/>
      <c r="B72" s="92" t="s">
        <v>47</v>
      </c>
      <c r="C72" s="24" t="s">
        <v>32</v>
      </c>
      <c r="D72" s="24" t="s">
        <v>25</v>
      </c>
      <c r="E72" s="24" t="s">
        <v>10</v>
      </c>
      <c r="F72" s="24" t="s">
        <v>27</v>
      </c>
      <c r="G72" s="24" t="s">
        <v>30</v>
      </c>
      <c r="H72" s="24">
        <v>8</v>
      </c>
      <c r="I72" s="24">
        <v>9</v>
      </c>
      <c r="J72" s="28">
        <v>5000000</v>
      </c>
      <c r="K72" s="28">
        <v>70270294</v>
      </c>
      <c r="L72" s="28">
        <v>19588762</v>
      </c>
      <c r="M72" s="28">
        <v>78634577</v>
      </c>
      <c r="N72" s="93">
        <f>(Tabla3[[#This Row],[Inversión real 2017]]-Tabla3[[#This Row],[Inversión real 2016]])/Tabla3[[#This Row],[Inversión real 2016]]</f>
        <v>-0.75088869620294385</v>
      </c>
      <c r="O72" s="93">
        <f>(Tabla3[[#This Row],[Inversión real 2017]]-Tabla3[[#This Row],[Inversión real 2018]])/Tabla3[[#This Row],[Inversión real 2018]]</f>
        <v>-0.72123694259767857</v>
      </c>
      <c r="P72" s="50"/>
      <c r="Q72" s="50"/>
      <c r="R72" s="50"/>
      <c r="S72" s="50"/>
      <c r="T72" s="43"/>
    </row>
    <row r="73" spans="1:20">
      <c r="A73" s="43"/>
      <c r="B73" s="92" t="s">
        <v>59</v>
      </c>
      <c r="C73" s="24" t="s">
        <v>13</v>
      </c>
      <c r="D73" s="24" t="s">
        <v>15</v>
      </c>
      <c r="E73" s="24" t="s">
        <v>17</v>
      </c>
      <c r="F73" s="25" t="s">
        <v>18</v>
      </c>
      <c r="G73" s="24" t="s">
        <v>12</v>
      </c>
      <c r="H73" s="24">
        <v>3</v>
      </c>
      <c r="I73" s="24">
        <v>5</v>
      </c>
      <c r="J73" s="23" t="s">
        <v>141</v>
      </c>
      <c r="K73" s="23" t="s">
        <v>179</v>
      </c>
      <c r="L73" s="28">
        <v>85955846</v>
      </c>
      <c r="M73" s="28">
        <v>25891596</v>
      </c>
      <c r="N73" s="93">
        <f>(Tabla3[[#This Row],[Inversión real 2017]]-Tabla3[[#This Row],[Inversión real 2016]])/Tabla3[[#This Row],[Inversión real 2016]]</f>
        <v>2.3198357490206476</v>
      </c>
      <c r="O73" s="93" t="e">
        <f>(Tabla3[[#This Row],[Inversión real 2017]]-Tabla3[[#This Row],[Inversión real 2018]])/Tabla3[[#This Row],[Inversión real 2018]]</f>
        <v>#VALUE!</v>
      </c>
      <c r="P73" s="50"/>
      <c r="Q73" s="50"/>
      <c r="R73" s="50"/>
      <c r="S73" s="50"/>
      <c r="T73" s="43"/>
    </row>
    <row r="74" spans="1:20">
      <c r="A74" s="43"/>
      <c r="B74" s="92" t="s">
        <v>94</v>
      </c>
      <c r="C74" s="24" t="s">
        <v>13</v>
      </c>
      <c r="D74" s="24" t="s">
        <v>15</v>
      </c>
      <c r="E74" s="24" t="s">
        <v>10</v>
      </c>
      <c r="F74" s="24" t="s">
        <v>27</v>
      </c>
      <c r="G74" s="24" t="s">
        <v>30</v>
      </c>
      <c r="H74" s="24">
        <v>8</v>
      </c>
      <c r="I74" s="24">
        <v>10</v>
      </c>
      <c r="J74" s="28">
        <v>20000000</v>
      </c>
      <c r="K74" s="28">
        <v>62745331</v>
      </c>
      <c r="L74" s="28">
        <v>39843357</v>
      </c>
      <c r="M74" s="28">
        <v>64840967</v>
      </c>
      <c r="N74" s="93">
        <f>(Tabla3[[#This Row],[Inversión real 2017]]-Tabla3[[#This Row],[Inversión real 2016]])/Tabla3[[#This Row],[Inversión real 2016]]</f>
        <v>-0.38552185688408996</v>
      </c>
      <c r="O74" s="93">
        <f>(Tabla3[[#This Row],[Inversión real 2017]]-Tabla3[[#This Row],[Inversión real 2018]])/Tabla3[[#This Row],[Inversión real 2018]]</f>
        <v>-0.36499885545268701</v>
      </c>
      <c r="P74" s="50"/>
      <c r="Q74" s="50"/>
      <c r="R74" s="50"/>
      <c r="S74" s="50"/>
      <c r="T74" s="43"/>
    </row>
    <row r="75" spans="1:20">
      <c r="A75" s="43"/>
      <c r="B75" s="92" t="s">
        <v>46</v>
      </c>
      <c r="C75" s="24" t="s">
        <v>13</v>
      </c>
      <c r="D75" s="24" t="s">
        <v>21</v>
      </c>
      <c r="E75" s="24" t="s">
        <v>17</v>
      </c>
      <c r="F75" s="25" t="s">
        <v>23</v>
      </c>
      <c r="G75" s="24" t="s">
        <v>12</v>
      </c>
      <c r="H75" s="24">
        <v>5</v>
      </c>
      <c r="I75" s="24">
        <v>7</v>
      </c>
      <c r="J75" s="23" t="s">
        <v>141</v>
      </c>
      <c r="K75" s="23" t="s">
        <v>179</v>
      </c>
      <c r="L75" s="28">
        <v>82583322</v>
      </c>
      <c r="M75" s="28">
        <v>809058</v>
      </c>
      <c r="N75" s="93">
        <f>(Tabla3[[#This Row],[Inversión real 2017]]-Tabla3[[#This Row],[Inversión real 2016]])/Tabla3[[#This Row],[Inversión real 2016]]</f>
        <v>101.07342613261348</v>
      </c>
      <c r="O75" s="93" t="e">
        <f>(Tabla3[[#This Row],[Inversión real 2017]]-Tabla3[[#This Row],[Inversión real 2018]])/Tabla3[[#This Row],[Inversión real 2018]]</f>
        <v>#VALUE!</v>
      </c>
      <c r="P75" s="50"/>
      <c r="Q75" s="50"/>
      <c r="R75" s="50"/>
      <c r="S75" s="50"/>
      <c r="T75" s="43"/>
    </row>
    <row r="76" spans="1:20">
      <c r="A76" s="43"/>
      <c r="B76" s="92" t="s">
        <v>116</v>
      </c>
      <c r="C76" s="24" t="s">
        <v>13</v>
      </c>
      <c r="D76" s="24" t="s">
        <v>21</v>
      </c>
      <c r="E76" s="24" t="s">
        <v>10</v>
      </c>
      <c r="F76" s="24" t="s">
        <v>27</v>
      </c>
      <c r="G76" s="24" t="s">
        <v>30</v>
      </c>
      <c r="H76" s="24">
        <v>6</v>
      </c>
      <c r="I76" s="24">
        <v>6</v>
      </c>
      <c r="J76" s="28">
        <v>10000000</v>
      </c>
      <c r="K76" s="28">
        <v>59890317</v>
      </c>
      <c r="L76" s="28">
        <v>42451842</v>
      </c>
      <c r="M76" s="23" t="s">
        <v>179</v>
      </c>
      <c r="N76" s="93" t="e">
        <f>(Tabla3[[#This Row],[Inversión real 2017]]-Tabla3[[#This Row],[Inversión real 2016]])/Tabla3[[#This Row],[Inversión real 2016]]</f>
        <v>#VALUE!</v>
      </c>
      <c r="O76" s="93">
        <f>(Tabla3[[#This Row],[Inversión real 2017]]-Tabla3[[#This Row],[Inversión real 2018]])/Tabla3[[#This Row],[Inversión real 2018]]</f>
        <v>-0.29117352977109806</v>
      </c>
      <c r="P76" s="50"/>
      <c r="Q76" s="50"/>
      <c r="R76" s="50"/>
      <c r="S76" s="50"/>
      <c r="T76" s="43"/>
    </row>
    <row r="77" spans="1:20">
      <c r="A77" s="43"/>
      <c r="B77" s="92" t="s">
        <v>14</v>
      </c>
      <c r="C77" s="24" t="s">
        <v>13</v>
      </c>
      <c r="D77" s="24" t="s">
        <v>15</v>
      </c>
      <c r="E77" s="24" t="s">
        <v>10</v>
      </c>
      <c r="F77" s="24" t="s">
        <v>11</v>
      </c>
      <c r="G77" s="24" t="s">
        <v>12</v>
      </c>
      <c r="H77" s="24">
        <v>3</v>
      </c>
      <c r="I77" s="24">
        <v>6</v>
      </c>
      <c r="J77" s="28">
        <v>10000000</v>
      </c>
      <c r="K77" s="28">
        <v>97449662</v>
      </c>
      <c r="L77" s="28">
        <v>49624160</v>
      </c>
      <c r="M77" s="28">
        <v>17854677</v>
      </c>
      <c r="N77" s="93">
        <f>(Tabla3[[#This Row],[Inversión real 2017]]-Tabla3[[#This Row],[Inversión real 2016]])/Tabla3[[#This Row],[Inversión real 2016]]</f>
        <v>1.7793367530535558</v>
      </c>
      <c r="O77" s="93">
        <f>(Tabla3[[#This Row],[Inversión real 2017]]-Tabla3[[#This Row],[Inversión real 2018]])/Tabla3[[#This Row],[Inversión real 2018]]</f>
        <v>-0.49077134818589724</v>
      </c>
      <c r="P77" s="50"/>
      <c r="Q77" s="50"/>
      <c r="R77" s="50"/>
      <c r="S77" s="50"/>
      <c r="T77" s="43"/>
    </row>
    <row r="78" spans="1:20">
      <c r="A78" s="43"/>
      <c r="B78" s="92" t="s">
        <v>22</v>
      </c>
      <c r="C78" s="24" t="s">
        <v>13</v>
      </c>
      <c r="D78" s="24" t="s">
        <v>9</v>
      </c>
      <c r="E78" s="24" t="s">
        <v>17</v>
      </c>
      <c r="F78" s="25" t="s">
        <v>23</v>
      </c>
      <c r="G78" s="24" t="s">
        <v>12</v>
      </c>
      <c r="H78" s="24">
        <v>8</v>
      </c>
      <c r="I78" s="24">
        <v>10</v>
      </c>
      <c r="J78" s="23" t="s">
        <v>141</v>
      </c>
      <c r="K78" s="23" t="s">
        <v>179</v>
      </c>
      <c r="L78" s="28">
        <v>44422091</v>
      </c>
      <c r="M78" s="28">
        <v>8898260</v>
      </c>
      <c r="N78" s="93">
        <f>(Tabla3[[#This Row],[Inversión real 2017]]-Tabla3[[#This Row],[Inversión real 2016]])/Tabla3[[#This Row],[Inversión real 2016]]</f>
        <v>3.992222187259082</v>
      </c>
      <c r="O78" s="93" t="e">
        <f>(Tabla3[[#This Row],[Inversión real 2017]]-Tabla3[[#This Row],[Inversión real 2018]])/Tabla3[[#This Row],[Inversión real 2018]]</f>
        <v>#VALUE!</v>
      </c>
      <c r="P78" s="50"/>
      <c r="Q78" s="50"/>
      <c r="R78" s="50"/>
      <c r="S78" s="50"/>
      <c r="T78" s="43"/>
    </row>
    <row r="79" spans="1:20">
      <c r="A79" s="43"/>
      <c r="B79" s="92" t="s">
        <v>71</v>
      </c>
      <c r="C79" s="25" t="s">
        <v>72</v>
      </c>
      <c r="D79" s="24" t="s">
        <v>21</v>
      </c>
      <c r="E79" s="24" t="s">
        <v>17</v>
      </c>
      <c r="F79" s="25" t="s">
        <v>18</v>
      </c>
      <c r="G79" s="24" t="s">
        <v>12</v>
      </c>
      <c r="H79" s="24">
        <v>5</v>
      </c>
      <c r="I79" s="24">
        <v>7</v>
      </c>
      <c r="J79" s="23" t="s">
        <v>141</v>
      </c>
      <c r="K79" s="23" t="s">
        <v>179</v>
      </c>
      <c r="L79" s="23" t="s">
        <v>179</v>
      </c>
      <c r="M79" s="28">
        <v>63436099</v>
      </c>
      <c r="N79" s="93" t="e">
        <f>(Tabla3[[#This Row],[Inversión real 2017]]-Tabla3[[#This Row],[Inversión real 2016]])/Tabla3[[#This Row],[Inversión real 2016]]</f>
        <v>#VALUE!</v>
      </c>
      <c r="O79" s="93" t="e">
        <f>(Tabla3[[#This Row],[Inversión real 2017]]-Tabla3[[#This Row],[Inversión real 2018]])/Tabla3[[#This Row],[Inversión real 2018]]</f>
        <v>#VALUE!</v>
      </c>
      <c r="P79" s="50"/>
      <c r="Q79" s="50"/>
      <c r="R79" s="50"/>
      <c r="S79" s="50"/>
      <c r="T79" s="43"/>
    </row>
    <row r="80" spans="1:20">
      <c r="A80" s="43"/>
      <c r="B80" s="92" t="s">
        <v>131</v>
      </c>
      <c r="C80" s="24" t="s">
        <v>13</v>
      </c>
      <c r="D80" s="24" t="s">
        <v>21</v>
      </c>
      <c r="E80" s="24" t="s">
        <v>10</v>
      </c>
      <c r="F80" s="24" t="s">
        <v>11</v>
      </c>
      <c r="G80" s="24" t="s">
        <v>30</v>
      </c>
      <c r="H80" s="24">
        <v>8</v>
      </c>
      <c r="I80" s="24">
        <v>9</v>
      </c>
      <c r="J80" s="28">
        <v>10000000</v>
      </c>
      <c r="K80" s="28">
        <v>99989764</v>
      </c>
      <c r="L80" s="28">
        <v>8030175</v>
      </c>
      <c r="M80" s="28">
        <v>37676206</v>
      </c>
      <c r="N80" s="93">
        <f>(Tabla3[[#This Row],[Inversión real 2017]]-Tabla3[[#This Row],[Inversión real 2016]])/Tabla3[[#This Row],[Inversión real 2016]]</f>
        <v>-0.78686349150973434</v>
      </c>
      <c r="O80" s="93">
        <f>(Tabla3[[#This Row],[Inversión real 2017]]-Tabla3[[#This Row],[Inversión real 2018]])/Tabla3[[#This Row],[Inversión real 2018]]</f>
        <v>-0.91969002947141665</v>
      </c>
      <c r="P80" s="50"/>
      <c r="Q80" s="50"/>
      <c r="R80" s="50"/>
      <c r="S80" s="50"/>
      <c r="T80" s="43"/>
    </row>
    <row r="81" spans="1:20">
      <c r="A81" s="43"/>
      <c r="B81" s="92" t="s">
        <v>66</v>
      </c>
      <c r="C81" s="24" t="s">
        <v>13</v>
      </c>
      <c r="D81" s="24" t="s">
        <v>21</v>
      </c>
      <c r="E81" s="24" t="s">
        <v>17</v>
      </c>
      <c r="F81" s="25" t="s">
        <v>18</v>
      </c>
      <c r="G81" s="24" t="s">
        <v>30</v>
      </c>
      <c r="H81" s="24">
        <v>4</v>
      </c>
      <c r="I81" s="24">
        <v>5</v>
      </c>
      <c r="J81" s="23" t="s">
        <v>141</v>
      </c>
      <c r="K81" s="23" t="s">
        <v>179</v>
      </c>
      <c r="L81" s="28">
        <v>12862402</v>
      </c>
      <c r="M81" s="28">
        <v>68922404</v>
      </c>
      <c r="N81" s="93">
        <f>(Tabla3[[#This Row],[Inversión real 2017]]-Tabla3[[#This Row],[Inversión real 2016]])/Tabla3[[#This Row],[Inversión real 2016]]</f>
        <v>-0.81337850606603912</v>
      </c>
      <c r="O81" s="93" t="e">
        <f>(Tabla3[[#This Row],[Inversión real 2017]]-Tabla3[[#This Row],[Inversión real 2018]])/Tabla3[[#This Row],[Inversión real 2018]]</f>
        <v>#VALUE!</v>
      </c>
      <c r="P81" s="50"/>
      <c r="Q81" s="50"/>
      <c r="R81" s="50"/>
      <c r="S81" s="50"/>
      <c r="T81" s="43"/>
    </row>
    <row r="82" spans="1:20">
      <c r="A82" s="43"/>
      <c r="B82" s="92" t="s">
        <v>99</v>
      </c>
      <c r="C82" s="24" t="s">
        <v>13</v>
      </c>
      <c r="D82" s="24" t="s">
        <v>25</v>
      </c>
      <c r="E82" s="24" t="s">
        <v>17</v>
      </c>
      <c r="F82" s="25" t="s">
        <v>18</v>
      </c>
      <c r="G82" s="24" t="s">
        <v>30</v>
      </c>
      <c r="H82" s="24">
        <v>9</v>
      </c>
      <c r="I82" s="24">
        <v>9</v>
      </c>
      <c r="J82" s="23" t="s">
        <v>141</v>
      </c>
      <c r="K82" s="23" t="s">
        <v>179</v>
      </c>
      <c r="L82" s="28">
        <v>46914257</v>
      </c>
      <c r="M82" s="28">
        <v>43734508</v>
      </c>
      <c r="N82" s="93">
        <f>(Tabla3[[#This Row],[Inversión real 2017]]-Tabla3[[#This Row],[Inversión real 2016]])/Tabla3[[#This Row],[Inversión real 2016]]</f>
        <v>7.2705722446906235E-2</v>
      </c>
      <c r="O82" s="93" t="e">
        <f>(Tabla3[[#This Row],[Inversión real 2017]]-Tabla3[[#This Row],[Inversión real 2018]])/Tabla3[[#This Row],[Inversión real 2018]]</f>
        <v>#VALUE!</v>
      </c>
      <c r="P82" s="50"/>
      <c r="Q82" s="50"/>
      <c r="R82" s="50"/>
      <c r="S82" s="50"/>
      <c r="T82" s="43"/>
    </row>
    <row r="83" spans="1:20">
      <c r="A83" s="43"/>
      <c r="B83" s="92" t="s">
        <v>114</v>
      </c>
      <c r="C83" s="56" t="s">
        <v>115</v>
      </c>
      <c r="D83" s="24" t="s">
        <v>54</v>
      </c>
      <c r="E83" s="24" t="s">
        <v>55</v>
      </c>
      <c r="F83" s="24" t="s">
        <v>56</v>
      </c>
      <c r="G83" s="24" t="s">
        <v>12</v>
      </c>
      <c r="H83" s="24">
        <v>6</v>
      </c>
      <c r="I83" s="24">
        <v>10</v>
      </c>
      <c r="J83" s="23" t="s">
        <v>141</v>
      </c>
      <c r="K83" s="23" t="s">
        <v>179</v>
      </c>
      <c r="L83" s="28">
        <v>95212463</v>
      </c>
      <c r="M83" s="23" t="s">
        <v>179</v>
      </c>
      <c r="N83" s="93" t="e">
        <f>(Tabla3[[#This Row],[Inversión real 2017]]-Tabla3[[#This Row],[Inversión real 2016]])/Tabla3[[#This Row],[Inversión real 2016]]</f>
        <v>#VALUE!</v>
      </c>
      <c r="O83" s="93" t="e">
        <f>(Tabla3[[#This Row],[Inversión real 2017]]-Tabla3[[#This Row],[Inversión real 2018]])/Tabla3[[#This Row],[Inversión real 2018]]</f>
        <v>#VALUE!</v>
      </c>
      <c r="P83" s="50"/>
      <c r="Q83" s="50"/>
      <c r="R83" s="50"/>
      <c r="S83" s="50"/>
      <c r="T83" s="43"/>
    </row>
    <row r="84" spans="1:20">
      <c r="A84" s="43"/>
      <c r="B84" s="92" t="s">
        <v>58</v>
      </c>
      <c r="C84" s="25" t="s">
        <v>28</v>
      </c>
      <c r="D84" s="24" t="s">
        <v>21</v>
      </c>
      <c r="E84" s="24" t="s">
        <v>10</v>
      </c>
      <c r="F84" s="24" t="s">
        <v>11</v>
      </c>
      <c r="G84" s="24" t="s">
        <v>12</v>
      </c>
      <c r="H84" s="24">
        <v>3</v>
      </c>
      <c r="I84" s="24">
        <v>9</v>
      </c>
      <c r="J84" s="28">
        <v>5000000</v>
      </c>
      <c r="K84" s="28">
        <v>32915397</v>
      </c>
      <c r="L84" s="28">
        <v>74493461</v>
      </c>
      <c r="M84" s="28">
        <v>151779</v>
      </c>
      <c r="N84" s="93">
        <f>(Tabla3[[#This Row],[Inversión real 2017]]-Tabla3[[#This Row],[Inversión real 2016]])/Tabla3[[#This Row],[Inversión real 2016]]</f>
        <v>489.80215971906523</v>
      </c>
      <c r="O84" s="93">
        <f>(Tabla3[[#This Row],[Inversión real 2017]]-Tabla3[[#This Row],[Inversión real 2018]])/Tabla3[[#This Row],[Inversión real 2018]]</f>
        <v>1.2631797817902668</v>
      </c>
      <c r="P84" s="50"/>
      <c r="Q84" s="50"/>
      <c r="R84" s="50"/>
      <c r="S84" s="50"/>
      <c r="T84" s="43"/>
    </row>
    <row r="85" spans="1:20">
      <c r="A85" s="43"/>
      <c r="B85" s="92" t="s">
        <v>117</v>
      </c>
      <c r="C85" s="24" t="s">
        <v>13</v>
      </c>
      <c r="D85" s="24" t="s">
        <v>25</v>
      </c>
      <c r="E85" s="24" t="s">
        <v>17</v>
      </c>
      <c r="F85" s="25" t="s">
        <v>18</v>
      </c>
      <c r="G85" s="24" t="s">
        <v>12</v>
      </c>
      <c r="H85" s="24">
        <v>3</v>
      </c>
      <c r="I85" s="24">
        <v>7</v>
      </c>
      <c r="J85" s="23" t="s">
        <v>141</v>
      </c>
      <c r="K85" s="23" t="s">
        <v>179</v>
      </c>
      <c r="L85" s="28">
        <v>43223505</v>
      </c>
      <c r="M85" s="23" t="s">
        <v>179</v>
      </c>
      <c r="N85" s="93" t="e">
        <f>(Tabla3[[#This Row],[Inversión real 2017]]-Tabla3[[#This Row],[Inversión real 2016]])/Tabla3[[#This Row],[Inversión real 2016]]</f>
        <v>#VALUE!</v>
      </c>
      <c r="O85" s="93" t="e">
        <f>(Tabla3[[#This Row],[Inversión real 2017]]-Tabla3[[#This Row],[Inversión real 2018]])/Tabla3[[#This Row],[Inversión real 2018]]</f>
        <v>#VALUE!</v>
      </c>
      <c r="P85" s="50"/>
      <c r="Q85" s="50"/>
      <c r="R85" s="50"/>
      <c r="S85" s="50"/>
      <c r="T85" s="43"/>
    </row>
    <row r="86" spans="1:20">
      <c r="A86" s="43"/>
      <c r="B86" s="92" t="s">
        <v>65</v>
      </c>
      <c r="C86" s="24" t="s">
        <v>13</v>
      </c>
      <c r="D86" s="24" t="s">
        <v>21</v>
      </c>
      <c r="E86" s="24" t="s">
        <v>17</v>
      </c>
      <c r="F86" s="25" t="s">
        <v>18</v>
      </c>
      <c r="G86" s="24" t="s">
        <v>12</v>
      </c>
      <c r="H86" s="24">
        <v>7</v>
      </c>
      <c r="I86" s="24">
        <v>10</v>
      </c>
      <c r="J86" s="23" t="s">
        <v>141</v>
      </c>
      <c r="K86" s="23" t="s">
        <v>179</v>
      </c>
      <c r="L86" s="28">
        <v>14141858</v>
      </c>
      <c r="M86" s="28">
        <v>87162317</v>
      </c>
      <c r="N86" s="93">
        <f>(Tabla3[[#This Row],[Inversión real 2017]]-Tabla3[[#This Row],[Inversión real 2016]])/Tabla3[[#This Row],[Inversión real 2016]]</f>
        <v>-0.83775261504349408</v>
      </c>
      <c r="O86" s="93" t="e">
        <f>(Tabla3[[#This Row],[Inversión real 2017]]-Tabla3[[#This Row],[Inversión real 2018]])/Tabla3[[#This Row],[Inversión real 2018]]</f>
        <v>#VALUE!</v>
      </c>
      <c r="P86" s="50"/>
      <c r="Q86" s="50"/>
      <c r="R86" s="50"/>
      <c r="S86" s="50"/>
      <c r="T86" s="43"/>
    </row>
    <row r="87" spans="1:20">
      <c r="A87" s="43"/>
      <c r="B87" s="92" t="s">
        <v>112</v>
      </c>
      <c r="C87" s="24" t="s">
        <v>13</v>
      </c>
      <c r="D87" s="24" t="s">
        <v>21</v>
      </c>
      <c r="E87" s="24" t="s">
        <v>17</v>
      </c>
      <c r="F87" s="25" t="s">
        <v>18</v>
      </c>
      <c r="G87" s="24" t="s">
        <v>12</v>
      </c>
      <c r="H87" s="24">
        <v>3</v>
      </c>
      <c r="I87" s="24">
        <v>7</v>
      </c>
      <c r="J87" s="23" t="s">
        <v>141</v>
      </c>
      <c r="K87" s="23" t="s">
        <v>179</v>
      </c>
      <c r="L87" s="28">
        <v>29525162</v>
      </c>
      <c r="M87" s="23" t="s">
        <v>179</v>
      </c>
      <c r="N87" s="93" t="e">
        <f>(Tabla3[[#This Row],[Inversión real 2017]]-Tabla3[[#This Row],[Inversión real 2016]])/Tabla3[[#This Row],[Inversión real 2016]]</f>
        <v>#VALUE!</v>
      </c>
      <c r="O87" s="93" t="e">
        <f>(Tabla3[[#This Row],[Inversión real 2017]]-Tabla3[[#This Row],[Inversión real 2018]])/Tabla3[[#This Row],[Inversión real 2018]]</f>
        <v>#VALUE!</v>
      </c>
      <c r="P87" s="50"/>
      <c r="Q87" s="50"/>
      <c r="R87" s="50"/>
      <c r="S87" s="50"/>
      <c r="T87" s="43"/>
    </row>
    <row r="88" spans="1:20">
      <c r="A88" s="43"/>
      <c r="B88" s="92" t="s">
        <v>135</v>
      </c>
      <c r="C88" s="24" t="s">
        <v>13</v>
      </c>
      <c r="D88" s="24" t="s">
        <v>21</v>
      </c>
      <c r="E88" s="24" t="s">
        <v>17</v>
      </c>
      <c r="F88" s="25" t="s">
        <v>23</v>
      </c>
      <c r="G88" s="24" t="s">
        <v>30</v>
      </c>
      <c r="H88" s="24">
        <v>7</v>
      </c>
      <c r="I88" s="24">
        <v>4</v>
      </c>
      <c r="J88" s="23" t="s">
        <v>141</v>
      </c>
      <c r="K88" s="23" t="s">
        <v>179</v>
      </c>
      <c r="L88" s="28">
        <v>29366791</v>
      </c>
      <c r="M88" s="28">
        <v>89805774</v>
      </c>
      <c r="N88" s="93">
        <f>(Tabla3[[#This Row],[Inversión real 2017]]-Tabla3[[#This Row],[Inversión real 2016]])/Tabla3[[#This Row],[Inversión real 2016]]</f>
        <v>-0.67299662714337272</v>
      </c>
      <c r="O88" s="93" t="e">
        <f>(Tabla3[[#This Row],[Inversión real 2017]]-Tabla3[[#This Row],[Inversión real 2018]])/Tabla3[[#This Row],[Inversión real 2018]]</f>
        <v>#VALUE!</v>
      </c>
      <c r="P88" s="50"/>
      <c r="Q88" s="50"/>
      <c r="R88" s="50"/>
      <c r="S88" s="50"/>
      <c r="T88" s="43"/>
    </row>
    <row r="89" spans="1:20">
      <c r="A89" s="43"/>
      <c r="B89" s="92" t="s">
        <v>40</v>
      </c>
      <c r="C89" s="24" t="s">
        <v>13</v>
      </c>
      <c r="D89" s="24" t="s">
        <v>21</v>
      </c>
      <c r="E89" s="24" t="s">
        <v>17</v>
      </c>
      <c r="F89" s="25" t="s">
        <v>18</v>
      </c>
      <c r="G89" s="24" t="s">
        <v>30</v>
      </c>
      <c r="H89" s="24">
        <v>9</v>
      </c>
      <c r="I89" s="24">
        <v>5</v>
      </c>
      <c r="J89" s="23" t="s">
        <v>141</v>
      </c>
      <c r="K89" s="23" t="s">
        <v>179</v>
      </c>
      <c r="L89" s="28">
        <v>73195518</v>
      </c>
      <c r="M89" s="28">
        <v>10695678</v>
      </c>
      <c r="N89" s="93">
        <f>(Tabla3[[#This Row],[Inversión real 2017]]-Tabla3[[#This Row],[Inversión real 2016]])/Tabla3[[#This Row],[Inversión real 2016]]</f>
        <v>5.8434668657751292</v>
      </c>
      <c r="O89" s="93" t="e">
        <f>(Tabla3[[#This Row],[Inversión real 2017]]-Tabla3[[#This Row],[Inversión real 2018]])/Tabla3[[#This Row],[Inversión real 2018]]</f>
        <v>#VALUE!</v>
      </c>
      <c r="P89" s="50"/>
      <c r="Q89" s="50"/>
      <c r="R89" s="50"/>
      <c r="S89" s="50"/>
      <c r="T89" s="43"/>
    </row>
    <row r="90" spans="1:20">
      <c r="A90" s="43"/>
      <c r="B90" s="92" t="s">
        <v>19</v>
      </c>
      <c r="C90" s="24" t="s">
        <v>13</v>
      </c>
      <c r="D90" s="24" t="s">
        <v>21</v>
      </c>
      <c r="E90" s="24" t="s">
        <v>17</v>
      </c>
      <c r="F90" s="25" t="s">
        <v>18</v>
      </c>
      <c r="G90" s="24" t="s">
        <v>12</v>
      </c>
      <c r="H90" s="24">
        <v>3</v>
      </c>
      <c r="I90" s="24">
        <v>6</v>
      </c>
      <c r="J90" s="23" t="s">
        <v>141</v>
      </c>
      <c r="K90" s="23" t="s">
        <v>179</v>
      </c>
      <c r="L90" s="28">
        <v>1432950</v>
      </c>
      <c r="M90" s="28">
        <v>29672451</v>
      </c>
      <c r="N90" s="93">
        <f>(Tabla3[[#This Row],[Inversión real 2017]]-Tabla3[[#This Row],[Inversión real 2016]])/Tabla3[[#This Row],[Inversión real 2016]]</f>
        <v>-0.95170773051407176</v>
      </c>
      <c r="O90" s="93" t="e">
        <f>(Tabla3[[#This Row],[Inversión real 2017]]-Tabla3[[#This Row],[Inversión real 2018]])/Tabla3[[#This Row],[Inversión real 2018]]</f>
        <v>#VALUE!</v>
      </c>
      <c r="P90" s="50"/>
      <c r="Q90" s="50"/>
      <c r="R90" s="50"/>
      <c r="S90" s="50"/>
      <c r="T90" s="43"/>
    </row>
    <row r="91" spans="1:20">
      <c r="A91" s="43"/>
      <c r="B91" s="92" t="s">
        <v>70</v>
      </c>
      <c r="C91" s="24" t="s">
        <v>13</v>
      </c>
      <c r="D91" s="24" t="s">
        <v>21</v>
      </c>
      <c r="E91" s="24" t="s">
        <v>10</v>
      </c>
      <c r="F91" s="24" t="s">
        <v>11</v>
      </c>
      <c r="G91" s="24" t="s">
        <v>30</v>
      </c>
      <c r="H91" s="24">
        <v>8</v>
      </c>
      <c r="I91" s="24">
        <v>7</v>
      </c>
      <c r="J91" s="28">
        <v>1000000</v>
      </c>
      <c r="K91" s="28">
        <v>77159264</v>
      </c>
      <c r="L91" s="23" t="s">
        <v>179</v>
      </c>
      <c r="M91" s="28">
        <v>97234303</v>
      </c>
      <c r="N91" s="93" t="e">
        <f>(Tabla3[[#This Row],[Inversión real 2017]]-Tabla3[[#This Row],[Inversión real 2016]])/Tabla3[[#This Row],[Inversión real 2016]]</f>
        <v>#VALUE!</v>
      </c>
      <c r="O91" s="93" t="e">
        <f>(Tabla3[[#This Row],[Inversión real 2017]]-Tabla3[[#This Row],[Inversión real 2018]])/Tabla3[[#This Row],[Inversión real 2018]]</f>
        <v>#VALUE!</v>
      </c>
      <c r="P91" s="50"/>
      <c r="Q91" s="50"/>
      <c r="R91" s="50"/>
      <c r="S91" s="50"/>
      <c r="T91" s="43"/>
    </row>
    <row r="92" spans="1:20">
      <c r="A92" s="43"/>
      <c r="B92" s="92" t="s">
        <v>104</v>
      </c>
      <c r="C92" s="25" t="s">
        <v>28</v>
      </c>
      <c r="D92" s="24" t="s">
        <v>21</v>
      </c>
      <c r="E92" s="24" t="s">
        <v>10</v>
      </c>
      <c r="F92" s="24" t="s">
        <v>11</v>
      </c>
      <c r="G92" s="24" t="s">
        <v>12</v>
      </c>
      <c r="H92" s="24">
        <v>7</v>
      </c>
      <c r="I92" s="24">
        <v>10</v>
      </c>
      <c r="J92" s="28">
        <v>100000000</v>
      </c>
      <c r="K92" s="28">
        <v>12451199</v>
      </c>
      <c r="L92" s="28">
        <v>74231711</v>
      </c>
      <c r="M92" s="28">
        <v>42951226</v>
      </c>
      <c r="N92" s="93">
        <f>(Tabla3[[#This Row],[Inversión real 2017]]-Tabla3[[#This Row],[Inversión real 2016]])/Tabla3[[#This Row],[Inversión real 2016]]</f>
        <v>0.72827921140132301</v>
      </c>
      <c r="O92" s="93">
        <f>(Tabla3[[#This Row],[Inversión real 2017]]-Tabla3[[#This Row],[Inversión real 2018]])/Tabla3[[#This Row],[Inversión real 2018]]</f>
        <v>4.9618122720550852</v>
      </c>
      <c r="P92" s="50"/>
      <c r="Q92" s="50"/>
      <c r="R92" s="50"/>
      <c r="S92" s="50"/>
      <c r="T92" s="43"/>
    </row>
    <row r="93" spans="1:20">
      <c r="A93" s="43"/>
      <c r="B93" s="92" t="s">
        <v>128</v>
      </c>
      <c r="C93" s="24" t="s">
        <v>13</v>
      </c>
      <c r="D93" s="24" t="s">
        <v>9</v>
      </c>
      <c r="E93" s="24" t="s">
        <v>10</v>
      </c>
      <c r="F93" s="24" t="s">
        <v>11</v>
      </c>
      <c r="G93" s="24" t="s">
        <v>30</v>
      </c>
      <c r="H93" s="24">
        <v>3</v>
      </c>
      <c r="I93" s="24">
        <v>9</v>
      </c>
      <c r="J93" s="28">
        <v>90000000</v>
      </c>
      <c r="K93" s="28">
        <v>13287929</v>
      </c>
      <c r="L93" s="28">
        <v>27090183</v>
      </c>
      <c r="M93" s="28">
        <v>79518711</v>
      </c>
      <c r="N93" s="93">
        <f>(Tabla3[[#This Row],[Inversión real 2017]]-Tabla3[[#This Row],[Inversión real 2016]])/Tabla3[[#This Row],[Inversión real 2016]]</f>
        <v>-0.65932316231836308</v>
      </c>
      <c r="O93" s="93">
        <f>(Tabla3[[#This Row],[Inversión real 2017]]-Tabla3[[#This Row],[Inversión real 2018]])/Tabla3[[#This Row],[Inversión real 2018]]</f>
        <v>1.0387061821296606</v>
      </c>
      <c r="P93" s="50"/>
      <c r="Q93" s="50"/>
      <c r="R93" s="50"/>
      <c r="S93" s="50"/>
      <c r="T93" s="43"/>
    </row>
    <row r="94" spans="1:20">
      <c r="A94" s="43"/>
      <c r="B94" s="92" t="s">
        <v>53</v>
      </c>
      <c r="C94" s="25" t="s">
        <v>28</v>
      </c>
      <c r="D94" s="24" t="s">
        <v>54</v>
      </c>
      <c r="E94" s="24" t="s">
        <v>55</v>
      </c>
      <c r="F94" s="24" t="s">
        <v>56</v>
      </c>
      <c r="G94" s="24" t="s">
        <v>12</v>
      </c>
      <c r="H94" s="24">
        <v>6</v>
      </c>
      <c r="I94" s="24">
        <v>5</v>
      </c>
      <c r="J94" s="23" t="s">
        <v>141</v>
      </c>
      <c r="K94" s="23" t="s">
        <v>179</v>
      </c>
      <c r="L94" s="28">
        <v>20898506</v>
      </c>
      <c r="M94" s="28">
        <v>24525645</v>
      </c>
      <c r="N94" s="93">
        <f>(Tabla3[[#This Row],[Inversión real 2017]]-Tabla3[[#This Row],[Inversión real 2016]])/Tabla3[[#This Row],[Inversión real 2016]]</f>
        <v>-0.14789168643678893</v>
      </c>
      <c r="O94" s="93" t="e">
        <f>(Tabla3[[#This Row],[Inversión real 2017]]-Tabla3[[#This Row],[Inversión real 2018]])/Tabla3[[#This Row],[Inversión real 2018]]</f>
        <v>#VALUE!</v>
      </c>
      <c r="P94" s="50"/>
      <c r="Q94" s="50"/>
      <c r="R94" s="50"/>
      <c r="S94" s="50"/>
      <c r="T94" s="43"/>
    </row>
    <row r="95" spans="1:20">
      <c r="A95" s="43"/>
      <c r="B95" s="92" t="s">
        <v>51</v>
      </c>
      <c r="C95" s="24" t="s">
        <v>13</v>
      </c>
      <c r="D95" s="24" t="s">
        <v>21</v>
      </c>
      <c r="E95" s="24" t="s">
        <v>10</v>
      </c>
      <c r="F95" s="24" t="s">
        <v>11</v>
      </c>
      <c r="G95" s="24" t="s">
        <v>12</v>
      </c>
      <c r="H95" s="24">
        <v>8</v>
      </c>
      <c r="I95" s="24">
        <v>7</v>
      </c>
      <c r="J95" s="28">
        <v>5000000</v>
      </c>
      <c r="K95" s="28">
        <v>37959268</v>
      </c>
      <c r="L95" s="28">
        <v>69132389</v>
      </c>
      <c r="M95" s="28">
        <v>99564796</v>
      </c>
      <c r="N95" s="93">
        <f>(Tabla3[[#This Row],[Inversión real 2017]]-Tabla3[[#This Row],[Inversión real 2016]])/Tabla3[[#This Row],[Inversión real 2016]]</f>
        <v>-0.30565428969492392</v>
      </c>
      <c r="O95" s="93">
        <f>(Tabla3[[#This Row],[Inversión real 2017]]-Tabla3[[#This Row],[Inversión real 2018]])/Tabla3[[#This Row],[Inversión real 2018]]</f>
        <v>0.821225556825806</v>
      </c>
      <c r="P95" s="50"/>
      <c r="Q95" s="50"/>
      <c r="R95" s="50"/>
      <c r="S95" s="50"/>
      <c r="T95" s="43"/>
    </row>
    <row r="96" spans="1:20">
      <c r="A96" s="43"/>
      <c r="B96" s="92" t="s">
        <v>63</v>
      </c>
      <c r="C96" s="24" t="s">
        <v>13</v>
      </c>
      <c r="D96" s="24" t="s">
        <v>21</v>
      </c>
      <c r="E96" s="24" t="s">
        <v>17</v>
      </c>
      <c r="F96" s="25" t="s">
        <v>18</v>
      </c>
      <c r="G96" s="24" t="s">
        <v>30</v>
      </c>
      <c r="H96" s="24">
        <v>3</v>
      </c>
      <c r="I96" s="24">
        <v>6</v>
      </c>
      <c r="J96" s="23" t="s">
        <v>141</v>
      </c>
      <c r="K96" s="23" t="s">
        <v>179</v>
      </c>
      <c r="L96" s="28">
        <v>26450622</v>
      </c>
      <c r="M96" s="28">
        <v>4227264</v>
      </c>
      <c r="N96" s="93">
        <f>(Tabla3[[#This Row],[Inversión real 2017]]-Tabla3[[#This Row],[Inversión real 2016]])/Tabla3[[#This Row],[Inversión real 2016]]</f>
        <v>5.2571493050824367</v>
      </c>
      <c r="O96" s="93" t="e">
        <f>(Tabla3[[#This Row],[Inversión real 2017]]-Tabla3[[#This Row],[Inversión real 2018]])/Tabla3[[#This Row],[Inversión real 2018]]</f>
        <v>#VALUE!</v>
      </c>
      <c r="P96" s="50"/>
      <c r="Q96" s="50"/>
      <c r="R96" s="50"/>
      <c r="S96" s="50"/>
      <c r="T96" s="43"/>
    </row>
    <row r="97" spans="1:20">
      <c r="A97" s="43"/>
      <c r="B97" s="92" t="s">
        <v>76</v>
      </c>
      <c r="C97" s="25" t="s">
        <v>77</v>
      </c>
      <c r="D97" s="24" t="s">
        <v>21</v>
      </c>
      <c r="E97" s="24" t="s">
        <v>17</v>
      </c>
      <c r="F97" s="25" t="s">
        <v>18</v>
      </c>
      <c r="G97" s="24" t="s">
        <v>30</v>
      </c>
      <c r="H97" s="24">
        <v>6</v>
      </c>
      <c r="I97" s="24">
        <v>5</v>
      </c>
      <c r="J97" s="23" t="s">
        <v>141</v>
      </c>
      <c r="K97" s="23" t="s">
        <v>179</v>
      </c>
      <c r="L97" s="23" t="s">
        <v>179</v>
      </c>
      <c r="M97" s="28">
        <v>54376640</v>
      </c>
      <c r="N97" s="93" t="e">
        <f>(Tabla3[[#This Row],[Inversión real 2017]]-Tabla3[[#This Row],[Inversión real 2016]])/Tabla3[[#This Row],[Inversión real 2016]]</f>
        <v>#VALUE!</v>
      </c>
      <c r="O97" s="93" t="e">
        <f>(Tabla3[[#This Row],[Inversión real 2017]]-Tabla3[[#This Row],[Inversión real 2018]])/Tabla3[[#This Row],[Inversión real 2018]]</f>
        <v>#VALUE!</v>
      </c>
      <c r="P97" s="50"/>
      <c r="Q97" s="50"/>
      <c r="R97" s="50"/>
      <c r="S97" s="50"/>
      <c r="T97" s="43"/>
    </row>
    <row r="98" spans="1:20">
      <c r="A98" s="43"/>
      <c r="B98" s="92" t="s">
        <v>134</v>
      </c>
      <c r="C98" s="24" t="s">
        <v>13</v>
      </c>
      <c r="D98" s="24" t="s">
        <v>21</v>
      </c>
      <c r="E98" s="24" t="s">
        <v>10</v>
      </c>
      <c r="F98" s="24" t="s">
        <v>27</v>
      </c>
      <c r="G98" s="24" t="s">
        <v>12</v>
      </c>
      <c r="H98" s="24">
        <v>7</v>
      </c>
      <c r="I98" s="24">
        <v>9</v>
      </c>
      <c r="J98" s="28">
        <v>90000000</v>
      </c>
      <c r="K98" s="28">
        <v>29991873</v>
      </c>
      <c r="L98" s="28">
        <v>39252741</v>
      </c>
      <c r="M98" s="28">
        <v>15542722</v>
      </c>
      <c r="N98" s="93">
        <f>(Tabla3[[#This Row],[Inversión real 2017]]-Tabla3[[#This Row],[Inversión real 2016]])/Tabla3[[#This Row],[Inversión real 2016]]</f>
        <v>1.5254740450224871</v>
      </c>
      <c r="O98" s="93">
        <f>(Tabla3[[#This Row],[Inversión real 2017]]-Tabla3[[#This Row],[Inversión real 2018]])/Tabla3[[#This Row],[Inversión real 2018]]</f>
        <v>0.30877924829836401</v>
      </c>
      <c r="P98" s="50"/>
      <c r="Q98" s="50"/>
      <c r="R98" s="50"/>
      <c r="S98" s="50"/>
      <c r="T98" s="43"/>
    </row>
    <row r="99" spans="1:20">
      <c r="A99" s="43"/>
      <c r="B99" s="92" t="s">
        <v>52</v>
      </c>
      <c r="C99" s="24" t="s">
        <v>13</v>
      </c>
      <c r="D99" s="24" t="s">
        <v>21</v>
      </c>
      <c r="E99" s="24" t="s">
        <v>10</v>
      </c>
      <c r="F99" s="24" t="s">
        <v>27</v>
      </c>
      <c r="G99" s="24" t="s">
        <v>12</v>
      </c>
      <c r="H99" s="24">
        <v>6</v>
      </c>
      <c r="I99" s="24">
        <v>10</v>
      </c>
      <c r="J99" s="28">
        <v>10000000</v>
      </c>
      <c r="K99" s="28">
        <v>7303129</v>
      </c>
      <c r="L99" s="28">
        <v>3765621</v>
      </c>
      <c r="M99" s="28">
        <v>18125151</v>
      </c>
      <c r="N99" s="93">
        <f>(Tabla3[[#This Row],[Inversión real 2017]]-Tabla3[[#This Row],[Inversión real 2016]])/Tabla3[[#This Row],[Inversión real 2016]]</f>
        <v>-0.79224333082797493</v>
      </c>
      <c r="O99" s="93">
        <f>(Tabla3[[#This Row],[Inversión real 2017]]-Tabla3[[#This Row],[Inversión real 2018]])/Tabla3[[#This Row],[Inversión real 2018]]</f>
        <v>-0.48438251604209648</v>
      </c>
      <c r="P99" s="50"/>
      <c r="Q99" s="50"/>
      <c r="R99" s="50"/>
      <c r="S99" s="50"/>
      <c r="T99" s="43"/>
    </row>
    <row r="100" spans="1:20">
      <c r="A100" s="43"/>
      <c r="B100" s="92" t="s">
        <v>69</v>
      </c>
      <c r="C100" s="25" t="s">
        <v>32</v>
      </c>
      <c r="D100" s="24" t="s">
        <v>21</v>
      </c>
      <c r="E100" s="24" t="s">
        <v>10</v>
      </c>
      <c r="F100" s="24" t="s">
        <v>27</v>
      </c>
      <c r="G100" s="24" t="s">
        <v>12</v>
      </c>
      <c r="H100" s="24">
        <v>3</v>
      </c>
      <c r="I100" s="24">
        <v>9</v>
      </c>
      <c r="J100" s="28">
        <v>30000000</v>
      </c>
      <c r="K100" s="28">
        <v>44457754</v>
      </c>
      <c r="L100" s="23" t="s">
        <v>179</v>
      </c>
      <c r="M100" s="28">
        <v>62249765</v>
      </c>
      <c r="N100" s="93" t="e">
        <f>(Tabla3[[#This Row],[Inversión real 2017]]-Tabla3[[#This Row],[Inversión real 2016]])/Tabla3[[#This Row],[Inversión real 2016]]</f>
        <v>#VALUE!</v>
      </c>
      <c r="O100" s="93" t="e">
        <f>(Tabla3[[#This Row],[Inversión real 2017]]-Tabla3[[#This Row],[Inversión real 2018]])/Tabla3[[#This Row],[Inversión real 2018]]</f>
        <v>#VALUE!</v>
      </c>
      <c r="P100" s="50"/>
      <c r="Q100" s="50"/>
      <c r="R100" s="50"/>
      <c r="S100" s="50"/>
      <c r="T100" s="43"/>
    </row>
    <row r="101" spans="1:20">
      <c r="A101" s="43"/>
      <c r="B101" s="92" t="s">
        <v>83</v>
      </c>
      <c r="C101" s="24" t="s">
        <v>13</v>
      </c>
      <c r="D101" s="24" t="s">
        <v>21</v>
      </c>
      <c r="E101" s="24" t="s">
        <v>10</v>
      </c>
      <c r="F101" s="24" t="s">
        <v>11</v>
      </c>
      <c r="G101" s="24" t="s">
        <v>12</v>
      </c>
      <c r="H101" s="24">
        <v>4</v>
      </c>
      <c r="I101" s="24">
        <v>10</v>
      </c>
      <c r="J101" s="28">
        <v>10000000</v>
      </c>
      <c r="K101" s="28">
        <v>54467236</v>
      </c>
      <c r="L101" s="23" t="s">
        <v>179</v>
      </c>
      <c r="M101" s="28">
        <v>1234692</v>
      </c>
      <c r="N101" s="93" t="e">
        <f>(Tabla3[[#This Row],[Inversión real 2017]]-Tabla3[[#This Row],[Inversión real 2016]])/Tabla3[[#This Row],[Inversión real 2016]]</f>
        <v>#VALUE!</v>
      </c>
      <c r="O101" s="93" t="e">
        <f>(Tabla3[[#This Row],[Inversión real 2017]]-Tabla3[[#This Row],[Inversión real 2018]])/Tabla3[[#This Row],[Inversión real 2018]]</f>
        <v>#VALUE!</v>
      </c>
      <c r="P101" s="50"/>
      <c r="Q101" s="50"/>
      <c r="R101" s="50"/>
      <c r="S101" s="50"/>
      <c r="T101" s="43"/>
    </row>
    <row r="102" spans="1:20">
      <c r="A102" s="43"/>
      <c r="B102" s="92" t="s">
        <v>75</v>
      </c>
      <c r="C102" s="24" t="s">
        <v>13</v>
      </c>
      <c r="D102" s="24" t="s">
        <v>21</v>
      </c>
      <c r="E102" s="24" t="s">
        <v>10</v>
      </c>
      <c r="F102" s="24" t="s">
        <v>27</v>
      </c>
      <c r="G102" s="24" t="s">
        <v>12</v>
      </c>
      <c r="H102" s="24">
        <v>4</v>
      </c>
      <c r="I102" s="24">
        <v>10</v>
      </c>
      <c r="J102" s="28">
        <v>10000000</v>
      </c>
      <c r="K102" s="28">
        <v>17991607</v>
      </c>
      <c r="L102" s="23" t="s">
        <v>179</v>
      </c>
      <c r="M102" s="28">
        <v>174626</v>
      </c>
      <c r="N102" s="93" t="e">
        <f>(Tabla3[[#This Row],[Inversión real 2017]]-Tabla3[[#This Row],[Inversión real 2016]])/Tabla3[[#This Row],[Inversión real 2016]]</f>
        <v>#VALUE!</v>
      </c>
      <c r="O102" s="93" t="e">
        <f>(Tabla3[[#This Row],[Inversión real 2017]]-Tabla3[[#This Row],[Inversión real 2018]])/Tabla3[[#This Row],[Inversión real 2018]]</f>
        <v>#VALUE!</v>
      </c>
      <c r="P102" s="50"/>
      <c r="Q102" s="50"/>
      <c r="R102" s="50"/>
      <c r="S102" s="50"/>
      <c r="T102" s="43"/>
    </row>
    <row r="103" spans="1:20">
      <c r="A103" s="43"/>
      <c r="B103" s="92" t="s">
        <v>92</v>
      </c>
      <c r="C103" s="24" t="s">
        <v>13</v>
      </c>
      <c r="D103" s="24" t="s">
        <v>21</v>
      </c>
      <c r="E103" s="24" t="s">
        <v>17</v>
      </c>
      <c r="F103" s="25" t="s">
        <v>23</v>
      </c>
      <c r="G103" s="24" t="s">
        <v>12</v>
      </c>
      <c r="H103" s="24">
        <v>5</v>
      </c>
      <c r="I103" s="24">
        <v>10</v>
      </c>
      <c r="J103" s="23" t="s">
        <v>141</v>
      </c>
      <c r="K103" s="23" t="s">
        <v>179</v>
      </c>
      <c r="L103" s="28">
        <v>24965127</v>
      </c>
      <c r="M103" s="28">
        <v>41129782</v>
      </c>
      <c r="N103" s="93">
        <f>(Tabla3[[#This Row],[Inversión real 2017]]-Tabla3[[#This Row],[Inversión real 2016]])/Tabla3[[#This Row],[Inversión real 2016]]</f>
        <v>-0.39301582002063612</v>
      </c>
      <c r="O103" s="93" t="e">
        <f>(Tabla3[[#This Row],[Inversión real 2017]]-Tabla3[[#This Row],[Inversión real 2018]])/Tabla3[[#This Row],[Inversión real 2018]]</f>
        <v>#VALUE!</v>
      </c>
      <c r="P103" s="50"/>
      <c r="Q103" s="50"/>
      <c r="R103" s="50"/>
      <c r="S103" s="50"/>
      <c r="T103" s="43"/>
    </row>
  </sheetData>
  <mergeCells count="10">
    <mergeCell ref="Q1:S2"/>
    <mergeCell ref="Q12:S12"/>
    <mergeCell ref="Q19:S19"/>
    <mergeCell ref="Q20:Q21"/>
    <mergeCell ref="R20:S21"/>
    <mergeCell ref="Q22:Q23"/>
    <mergeCell ref="R22:S23"/>
    <mergeCell ref="Q27:R27"/>
    <mergeCell ref="Q33:R33"/>
    <mergeCell ref="U28:V28"/>
  </mergeCells>
  <phoneticPr fontId="14" type="noConversion"/>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24196-B437-47F8-8AAA-9555D48665B1}">
  <sheetPr codeName="Hoja5"/>
  <dimension ref="A1:R49"/>
  <sheetViews>
    <sheetView topLeftCell="A4" zoomScaleNormal="100" workbookViewId="0">
      <selection activeCell="D14" sqref="D14"/>
    </sheetView>
  </sheetViews>
  <sheetFormatPr baseColWidth="10" defaultRowHeight="15"/>
  <cols>
    <col min="2" max="2" width="15.5703125" bestFit="1" customWidth="1"/>
    <col min="3" max="3" width="21.42578125" bestFit="1" customWidth="1"/>
    <col min="4" max="4" width="28" customWidth="1"/>
    <col min="7" max="7" width="18.7109375" customWidth="1"/>
    <col min="8" max="8" width="74.85546875" bestFit="1" customWidth="1"/>
  </cols>
  <sheetData>
    <row r="1" spans="1:18">
      <c r="A1" s="43"/>
      <c r="B1" s="43"/>
      <c r="C1" s="43"/>
      <c r="D1" s="43"/>
      <c r="E1" s="43"/>
      <c r="F1" s="43"/>
      <c r="G1" s="43"/>
      <c r="H1" s="43"/>
      <c r="I1" s="43"/>
      <c r="J1" s="43"/>
      <c r="K1" s="43"/>
      <c r="L1" s="43"/>
      <c r="M1" s="43"/>
      <c r="N1" s="43"/>
      <c r="O1" s="43"/>
      <c r="P1" s="43"/>
      <c r="Q1" s="43"/>
      <c r="R1" s="43"/>
    </row>
    <row r="2" spans="1:18" ht="75" customHeight="1">
      <c r="A2" s="43"/>
      <c r="B2" s="279" t="s">
        <v>232</v>
      </c>
      <c r="C2" s="280"/>
      <c r="D2" s="114" t="s">
        <v>266</v>
      </c>
      <c r="E2" s="286" t="s">
        <v>232</v>
      </c>
      <c r="F2" s="287"/>
      <c r="G2" s="287"/>
      <c r="H2" s="43"/>
      <c r="I2" s="43"/>
      <c r="J2" s="43"/>
      <c r="K2" s="43"/>
      <c r="L2" s="43"/>
      <c r="M2" s="43"/>
      <c r="N2" s="43"/>
      <c r="O2" s="43"/>
      <c r="P2" s="43"/>
      <c r="Q2" s="43"/>
      <c r="R2" s="43"/>
    </row>
    <row r="3" spans="1:18">
      <c r="A3" s="43"/>
      <c r="B3" s="74" t="s">
        <v>216</v>
      </c>
      <c r="C3" s="74" t="s">
        <v>205</v>
      </c>
      <c r="D3" s="43"/>
      <c r="E3" s="74" t="s">
        <v>216</v>
      </c>
      <c r="F3" s="74" t="s">
        <v>233</v>
      </c>
      <c r="G3" s="74" t="s">
        <v>205</v>
      </c>
      <c r="H3" s="43"/>
      <c r="I3" s="43"/>
      <c r="J3" s="43"/>
      <c r="K3" s="43"/>
      <c r="L3" s="43"/>
      <c r="M3" s="43"/>
      <c r="N3" s="43"/>
      <c r="O3" s="43"/>
      <c r="P3" s="43"/>
      <c r="Q3" s="43"/>
      <c r="R3" s="43"/>
    </row>
    <row r="4" spans="1:18">
      <c r="A4" s="43"/>
      <c r="B4" s="24" t="s">
        <v>218</v>
      </c>
      <c r="C4" s="23">
        <v>5.8</v>
      </c>
      <c r="D4" s="43"/>
      <c r="E4" s="24" t="s">
        <v>218</v>
      </c>
      <c r="F4" s="96">
        <v>0.7</v>
      </c>
      <c r="G4" s="23">
        <v>5.8</v>
      </c>
      <c r="H4" s="43"/>
      <c r="I4" s="43"/>
      <c r="J4" s="43"/>
      <c r="K4" s="43"/>
      <c r="L4" s="43"/>
      <c r="M4" s="43"/>
      <c r="N4" s="43"/>
      <c r="O4" s="43"/>
      <c r="P4" s="43"/>
      <c r="Q4" s="43"/>
      <c r="R4" s="43"/>
    </row>
    <row r="5" spans="1:18">
      <c r="A5" s="43"/>
      <c r="B5" s="24" t="s">
        <v>219</v>
      </c>
      <c r="C5" s="23">
        <v>7.6</v>
      </c>
      <c r="D5" s="43" t="s">
        <v>267</v>
      </c>
      <c r="E5" s="24" t="s">
        <v>219</v>
      </c>
      <c r="F5" s="96">
        <v>0.3</v>
      </c>
      <c r="G5" s="23">
        <v>7.6</v>
      </c>
      <c r="H5" s="43"/>
      <c r="I5" s="43"/>
      <c r="J5" s="43"/>
      <c r="K5" s="43"/>
      <c r="L5" s="43"/>
      <c r="M5" s="43"/>
      <c r="N5" s="43"/>
      <c r="O5" s="43"/>
      <c r="P5" s="43"/>
      <c r="Q5" s="43"/>
      <c r="R5" s="43"/>
    </row>
    <row r="6" spans="1:18">
      <c r="A6" s="43"/>
      <c r="B6" s="79" t="s">
        <v>220</v>
      </c>
      <c r="C6" s="97">
        <f>(C4*70%)+(C5*30%)</f>
        <v>6.34</v>
      </c>
      <c r="D6" s="43">
        <f>AVERAGE(C4:C5)</f>
        <v>6.6999999999999993</v>
      </c>
      <c r="E6" s="288" t="s">
        <v>220</v>
      </c>
      <c r="F6" s="289"/>
      <c r="G6" s="97">
        <f>SUMPRODUCT(F4:F5,G4:G5)</f>
        <v>6.34</v>
      </c>
      <c r="H6" s="43" t="s">
        <v>269</v>
      </c>
      <c r="I6" s="43"/>
      <c r="J6" s="43"/>
      <c r="K6" s="43"/>
      <c r="L6" s="43"/>
      <c r="M6" s="43"/>
      <c r="N6" s="43"/>
      <c r="O6" s="43"/>
      <c r="P6" s="43"/>
      <c r="Q6" s="43"/>
      <c r="R6" s="43"/>
    </row>
    <row r="7" spans="1:18">
      <c r="A7" s="43"/>
      <c r="B7" s="43"/>
      <c r="C7" s="43" t="s">
        <v>268</v>
      </c>
      <c r="D7" s="43"/>
      <c r="E7" s="43"/>
      <c r="F7" s="43"/>
      <c r="G7" s="43"/>
      <c r="H7" s="43"/>
      <c r="I7" s="43"/>
      <c r="J7" s="43"/>
      <c r="K7" s="43"/>
      <c r="L7" s="43"/>
      <c r="M7" s="43"/>
      <c r="N7" s="43"/>
      <c r="O7" s="43"/>
      <c r="P7" s="43"/>
      <c r="Q7" s="43"/>
      <c r="R7" s="43"/>
    </row>
    <row r="8" spans="1:18">
      <c r="A8" s="43"/>
      <c r="B8" s="43"/>
      <c r="C8" s="43"/>
      <c r="D8" s="43"/>
      <c r="E8" s="43"/>
      <c r="F8" s="43"/>
      <c r="G8" s="43"/>
      <c r="H8" s="43"/>
      <c r="I8" s="43"/>
      <c r="J8" s="43"/>
      <c r="K8" s="43"/>
      <c r="L8" s="43"/>
      <c r="M8" s="43"/>
      <c r="N8" s="43"/>
      <c r="O8" s="43"/>
      <c r="P8" s="43"/>
      <c r="Q8" s="43"/>
      <c r="R8" s="43"/>
    </row>
    <row r="9" spans="1:18">
      <c r="A9" s="43"/>
      <c r="B9" s="43"/>
      <c r="C9" s="288" t="s">
        <v>234</v>
      </c>
      <c r="D9" s="290"/>
      <c r="E9" s="289"/>
      <c r="F9" s="43"/>
      <c r="G9" s="43"/>
      <c r="H9" s="43"/>
      <c r="I9" s="43"/>
      <c r="J9" s="43"/>
      <c r="K9" s="43"/>
      <c r="L9" s="43"/>
      <c r="M9" s="43"/>
      <c r="N9" s="43"/>
      <c r="O9" s="43"/>
      <c r="P9" s="43"/>
      <c r="Q9" s="43"/>
      <c r="R9" s="43"/>
    </row>
    <row r="10" spans="1:18">
      <c r="A10" s="43"/>
      <c r="B10" s="99" t="s">
        <v>235</v>
      </c>
      <c r="C10" s="99" t="s">
        <v>236</v>
      </c>
      <c r="D10" s="99" t="s">
        <v>237</v>
      </c>
      <c r="E10" s="99" t="s">
        <v>238</v>
      </c>
      <c r="F10" s="291" t="s">
        <v>239</v>
      </c>
      <c r="G10" s="43"/>
      <c r="H10" s="43"/>
      <c r="I10" s="43"/>
      <c r="J10" s="43"/>
      <c r="K10" s="43"/>
      <c r="L10" s="43"/>
      <c r="M10" s="43"/>
      <c r="N10" s="43"/>
      <c r="O10" s="43"/>
      <c r="P10" s="43"/>
      <c r="Q10" s="43"/>
      <c r="R10" s="43"/>
    </row>
    <row r="11" spans="1:18">
      <c r="A11" s="43"/>
      <c r="B11" s="100" t="s">
        <v>233</v>
      </c>
      <c r="C11" s="101">
        <v>0.2</v>
      </c>
      <c r="D11" s="101">
        <v>0.3</v>
      </c>
      <c r="E11" s="101">
        <v>0.5</v>
      </c>
      <c r="F11" s="292"/>
      <c r="G11" s="43" t="s">
        <v>270</v>
      </c>
      <c r="H11" s="43"/>
      <c r="I11" s="43"/>
      <c r="J11" s="43"/>
      <c r="K11" s="43"/>
      <c r="L11" s="43"/>
      <c r="M11" s="43"/>
      <c r="N11" s="43"/>
      <c r="O11" s="43"/>
      <c r="P11" s="43"/>
      <c r="Q11" s="43"/>
      <c r="R11" s="43"/>
    </row>
    <row r="12" spans="1:18">
      <c r="A12" s="43"/>
      <c r="B12" s="24" t="s">
        <v>240</v>
      </c>
      <c r="C12" s="24">
        <v>9</v>
      </c>
      <c r="D12" s="24">
        <v>6</v>
      </c>
      <c r="E12" s="24">
        <v>5</v>
      </c>
      <c r="F12" s="102">
        <f>SUMPRODUCT($C$11:$E$11,C12:E12)</f>
        <v>6.1</v>
      </c>
      <c r="G12" s="43"/>
      <c r="H12" s="43"/>
      <c r="I12" s="43"/>
      <c r="J12" s="43"/>
      <c r="K12" s="43"/>
      <c r="L12" s="43"/>
      <c r="M12" s="43"/>
      <c r="N12" s="43"/>
      <c r="O12" s="43"/>
      <c r="P12" s="43"/>
      <c r="Q12" s="43"/>
      <c r="R12" s="43"/>
    </row>
    <row r="13" spans="1:18">
      <c r="A13" s="43"/>
      <c r="B13" s="24" t="s">
        <v>241</v>
      </c>
      <c r="C13" s="24">
        <v>3</v>
      </c>
      <c r="D13" s="24">
        <v>4</v>
      </c>
      <c r="E13" s="24">
        <v>8</v>
      </c>
      <c r="F13" s="102">
        <f t="shared" ref="F13:F27" si="0">SUMPRODUCT($C$11:$E$11,C13:E13)</f>
        <v>5.8</v>
      </c>
      <c r="G13" s="43"/>
      <c r="H13" s="43"/>
      <c r="I13" s="43"/>
      <c r="J13" s="43"/>
      <c r="K13" s="43"/>
      <c r="L13" s="43"/>
      <c r="M13" s="43"/>
      <c r="N13" s="43"/>
      <c r="O13" s="43"/>
      <c r="P13" s="43"/>
      <c r="Q13" s="43"/>
      <c r="R13" s="43"/>
    </row>
    <row r="14" spans="1:18">
      <c r="A14" s="43"/>
      <c r="B14" s="24" t="s">
        <v>242</v>
      </c>
      <c r="C14" s="24">
        <v>4</v>
      </c>
      <c r="D14" s="24">
        <v>8</v>
      </c>
      <c r="E14" s="24">
        <v>7</v>
      </c>
      <c r="F14" s="102">
        <f t="shared" si="0"/>
        <v>6.7</v>
      </c>
      <c r="G14" s="43"/>
      <c r="H14" s="116" t="s">
        <v>243</v>
      </c>
      <c r="I14" s="43"/>
      <c r="J14" s="43"/>
      <c r="K14" s="43"/>
      <c r="L14" s="43"/>
      <c r="M14" s="43"/>
      <c r="N14" s="43"/>
      <c r="O14" s="43"/>
      <c r="P14" s="43"/>
      <c r="Q14" s="43"/>
      <c r="R14" s="43"/>
    </row>
    <row r="15" spans="1:18">
      <c r="A15" s="43"/>
      <c r="B15" s="24" t="s">
        <v>244</v>
      </c>
      <c r="C15" s="24">
        <v>7</v>
      </c>
      <c r="D15" s="24">
        <v>8</v>
      </c>
      <c r="E15" s="24">
        <v>9</v>
      </c>
      <c r="F15" s="102">
        <f t="shared" si="0"/>
        <v>8.3000000000000007</v>
      </c>
      <c r="G15" s="43"/>
      <c r="H15" s="43"/>
      <c r="I15" s="43"/>
      <c r="J15" s="43"/>
      <c r="K15" s="43"/>
      <c r="L15" s="43"/>
      <c r="M15" s="43"/>
      <c r="N15" s="43"/>
      <c r="O15" s="43"/>
      <c r="P15" s="43"/>
      <c r="Q15" s="43"/>
      <c r="R15" s="43"/>
    </row>
    <row r="16" spans="1:18">
      <c r="A16" s="43"/>
      <c r="B16" s="24" t="s">
        <v>245</v>
      </c>
      <c r="C16" s="24">
        <v>5</v>
      </c>
      <c r="D16" s="24">
        <v>4</v>
      </c>
      <c r="E16" s="24">
        <v>7</v>
      </c>
      <c r="F16" s="102">
        <f t="shared" si="0"/>
        <v>5.7</v>
      </c>
      <c r="G16" s="43"/>
      <c r="H16" s="43"/>
      <c r="I16" s="43"/>
      <c r="J16" s="43"/>
      <c r="K16" s="43"/>
      <c r="L16" s="43"/>
      <c r="M16" s="43"/>
      <c r="N16" s="43"/>
      <c r="O16" s="43"/>
      <c r="P16" s="43"/>
      <c r="Q16" s="43"/>
      <c r="R16" s="43"/>
    </row>
    <row r="17" spans="1:18">
      <c r="A17" s="43"/>
      <c r="B17" s="24" t="s">
        <v>246</v>
      </c>
      <c r="C17" s="24">
        <v>10</v>
      </c>
      <c r="D17" s="24">
        <v>9</v>
      </c>
      <c r="E17" s="24">
        <v>8</v>
      </c>
      <c r="F17" s="102">
        <f t="shared" si="0"/>
        <v>8.6999999999999993</v>
      </c>
      <c r="G17" s="43"/>
      <c r="H17" s="43"/>
      <c r="I17" s="43"/>
      <c r="J17" s="43"/>
      <c r="K17" s="43"/>
      <c r="L17" s="43"/>
      <c r="M17" s="43"/>
      <c r="N17" s="43"/>
      <c r="O17" s="43"/>
      <c r="P17" s="43"/>
      <c r="Q17" s="43"/>
      <c r="R17" s="43"/>
    </row>
    <row r="18" spans="1:18" ht="15.75" thickBot="1">
      <c r="A18" s="43"/>
      <c r="B18" s="104" t="s">
        <v>247</v>
      </c>
      <c r="C18" s="104">
        <v>3</v>
      </c>
      <c r="D18" s="104">
        <v>6</v>
      </c>
      <c r="E18" s="104">
        <v>6</v>
      </c>
      <c r="F18" s="102">
        <f t="shared" si="0"/>
        <v>5.4</v>
      </c>
      <c r="G18" s="43"/>
      <c r="H18" s="43"/>
      <c r="I18" s="43"/>
      <c r="J18" s="43"/>
      <c r="K18" s="43"/>
      <c r="L18" s="43"/>
      <c r="M18" s="43"/>
      <c r="N18" s="43"/>
      <c r="O18" s="43"/>
      <c r="P18" s="43"/>
      <c r="Q18" s="43"/>
      <c r="R18" s="43"/>
    </row>
    <row r="19" spans="1:18">
      <c r="A19" s="43"/>
      <c r="B19" s="105" t="s">
        <v>248</v>
      </c>
      <c r="C19" s="105">
        <v>4</v>
      </c>
      <c r="D19" s="105">
        <v>4</v>
      </c>
      <c r="E19" s="105">
        <v>9</v>
      </c>
      <c r="F19" s="102">
        <f t="shared" si="0"/>
        <v>6.5</v>
      </c>
      <c r="G19" s="106" t="s">
        <v>249</v>
      </c>
      <c r="H19" s="24" t="s">
        <v>251</v>
      </c>
      <c r="I19" s="43"/>
      <c r="J19" s="43"/>
      <c r="K19" s="43"/>
      <c r="L19" s="43"/>
      <c r="M19" s="43"/>
      <c r="N19" s="43"/>
      <c r="O19" s="43"/>
      <c r="P19" s="43"/>
      <c r="Q19" s="43"/>
      <c r="R19" s="43"/>
    </row>
    <row r="20" spans="1:18">
      <c r="A20" s="43"/>
      <c r="B20" s="24" t="s">
        <v>244</v>
      </c>
      <c r="C20" s="24">
        <v>4</v>
      </c>
      <c r="D20" s="24">
        <v>3</v>
      </c>
      <c r="E20" s="24">
        <v>6</v>
      </c>
      <c r="F20" s="102">
        <f t="shared" si="0"/>
        <v>4.7</v>
      </c>
      <c r="G20" s="107" t="s">
        <v>250</v>
      </c>
      <c r="H20" s="109" t="s">
        <v>252</v>
      </c>
      <c r="I20" s="43"/>
      <c r="J20" s="43"/>
      <c r="K20" s="43"/>
      <c r="L20" s="43"/>
      <c r="M20" s="43"/>
      <c r="N20" s="43"/>
      <c r="O20" s="43"/>
      <c r="P20" s="43"/>
      <c r="Q20" s="43"/>
      <c r="R20" s="43"/>
    </row>
    <row r="21" spans="1:18">
      <c r="A21" s="43"/>
      <c r="B21" s="24" t="s">
        <v>253</v>
      </c>
      <c r="C21" s="24">
        <v>5</v>
      </c>
      <c r="D21" s="24">
        <v>4</v>
      </c>
      <c r="E21" s="24">
        <v>7</v>
      </c>
      <c r="F21" s="102">
        <f t="shared" si="0"/>
        <v>5.7</v>
      </c>
      <c r="G21" s="107"/>
      <c r="H21" s="109" t="s">
        <v>254</v>
      </c>
      <c r="I21" s="43">
        <f>AVERAGE(F12:F27)</f>
        <v>6.2062500000000007</v>
      </c>
      <c r="J21" s="43"/>
      <c r="K21" s="43"/>
      <c r="L21" s="43"/>
      <c r="M21" s="43"/>
      <c r="N21" s="43"/>
      <c r="O21" s="43"/>
      <c r="P21" s="43"/>
      <c r="Q21" s="43"/>
      <c r="R21" s="43"/>
    </row>
    <row r="22" spans="1:18">
      <c r="A22" s="43"/>
      <c r="B22" s="24" t="s">
        <v>255</v>
      </c>
      <c r="C22" s="24">
        <v>6</v>
      </c>
      <c r="D22" s="24">
        <v>5</v>
      </c>
      <c r="E22" s="24">
        <v>8</v>
      </c>
      <c r="F22" s="102">
        <f t="shared" si="0"/>
        <v>6.7</v>
      </c>
      <c r="G22" s="107"/>
      <c r="H22" s="43"/>
      <c r="I22" s="43"/>
      <c r="J22" s="43"/>
      <c r="K22" s="43"/>
      <c r="L22" s="43"/>
      <c r="M22" s="43"/>
      <c r="N22" s="43"/>
      <c r="O22" s="43"/>
      <c r="P22" s="43"/>
      <c r="Q22" s="43"/>
      <c r="R22" s="43"/>
    </row>
    <row r="23" spans="1:18">
      <c r="A23" s="43"/>
      <c r="B23" s="24" t="s">
        <v>256</v>
      </c>
      <c r="C23" s="24">
        <v>4</v>
      </c>
      <c r="D23" s="24">
        <v>3</v>
      </c>
      <c r="E23" s="24">
        <v>6</v>
      </c>
      <c r="F23" s="102">
        <f t="shared" si="0"/>
        <v>4.7</v>
      </c>
      <c r="G23" s="107"/>
      <c r="H23" s="43"/>
      <c r="I23" s="43"/>
      <c r="J23" s="43"/>
      <c r="K23" s="43"/>
      <c r="L23" s="43"/>
      <c r="M23" s="43"/>
      <c r="N23" s="43"/>
      <c r="O23" s="43"/>
      <c r="P23" s="43"/>
      <c r="Q23" s="43"/>
      <c r="R23" s="43"/>
    </row>
    <row r="24" spans="1:18">
      <c r="A24" s="43"/>
      <c r="B24" s="24" t="s">
        <v>257</v>
      </c>
      <c r="C24" s="24">
        <v>5</v>
      </c>
      <c r="D24" s="24">
        <v>4</v>
      </c>
      <c r="E24" s="24">
        <v>7</v>
      </c>
      <c r="F24" s="102">
        <f t="shared" si="0"/>
        <v>5.7</v>
      </c>
      <c r="G24" s="107"/>
      <c r="H24" s="43"/>
      <c r="I24" s="43"/>
      <c r="J24" s="43"/>
      <c r="K24" s="43"/>
      <c r="L24" s="43"/>
      <c r="M24" s="43"/>
      <c r="N24" s="43"/>
      <c r="O24" s="43"/>
      <c r="P24" s="43"/>
      <c r="Q24" s="43"/>
      <c r="R24" s="43"/>
    </row>
    <row r="25" spans="1:18">
      <c r="A25" s="43"/>
      <c r="B25" s="24" t="s">
        <v>258</v>
      </c>
      <c r="C25" s="24">
        <v>6</v>
      </c>
      <c r="D25" s="24">
        <v>5</v>
      </c>
      <c r="E25" s="24">
        <v>8</v>
      </c>
      <c r="F25" s="102">
        <f t="shared" si="0"/>
        <v>6.7</v>
      </c>
      <c r="G25" s="107"/>
      <c r="H25" s="43"/>
      <c r="I25" s="43"/>
      <c r="J25" s="43"/>
      <c r="K25" s="43"/>
      <c r="L25" s="43"/>
      <c r="M25" s="43"/>
      <c r="N25" s="43"/>
      <c r="O25" s="43"/>
      <c r="P25" s="43"/>
      <c r="Q25" s="43"/>
      <c r="R25" s="43"/>
    </row>
    <row r="26" spans="1:18">
      <c r="A26" s="43"/>
      <c r="B26" s="24" t="s">
        <v>259</v>
      </c>
      <c r="C26" s="24">
        <v>3</v>
      </c>
      <c r="D26" s="24">
        <v>6</v>
      </c>
      <c r="E26" s="24">
        <v>6</v>
      </c>
      <c r="F26" s="102">
        <f t="shared" si="0"/>
        <v>5.4</v>
      </c>
      <c r="G26" s="107"/>
      <c r="H26" s="43"/>
      <c r="I26" s="43"/>
      <c r="J26" s="43"/>
      <c r="K26" s="43"/>
      <c r="L26" s="43"/>
      <c r="M26" s="43"/>
      <c r="N26" s="43"/>
      <c r="O26" s="43"/>
      <c r="P26" s="43"/>
      <c r="Q26" s="43"/>
      <c r="R26" s="43"/>
    </row>
    <row r="27" spans="1:18">
      <c r="A27" s="43"/>
      <c r="B27" s="24" t="s">
        <v>260</v>
      </c>
      <c r="C27" s="24">
        <v>4</v>
      </c>
      <c r="D27" s="24">
        <v>4</v>
      </c>
      <c r="E27" s="24">
        <v>9</v>
      </c>
      <c r="F27" s="102">
        <f t="shared" si="0"/>
        <v>6.5</v>
      </c>
      <c r="G27" s="108"/>
      <c r="H27" s="43"/>
      <c r="I27" s="43"/>
      <c r="J27" s="43"/>
      <c r="K27" s="43"/>
      <c r="L27" s="43"/>
      <c r="M27" s="43"/>
      <c r="N27" s="43"/>
      <c r="O27" s="43"/>
      <c r="P27" s="43"/>
      <c r="Q27" s="43"/>
      <c r="R27" s="43"/>
    </row>
    <row r="28" spans="1:18">
      <c r="A28" s="43"/>
      <c r="B28" s="43"/>
      <c r="C28" s="43"/>
      <c r="D28" s="43"/>
      <c r="E28" s="43"/>
      <c r="F28" s="43"/>
      <c r="G28" s="43"/>
      <c r="H28" s="43"/>
      <c r="I28" s="43"/>
      <c r="J28" s="43"/>
      <c r="K28" s="43"/>
      <c r="L28" s="43"/>
      <c r="M28" s="43"/>
      <c r="N28" s="43"/>
      <c r="O28" s="43"/>
      <c r="P28" s="43"/>
      <c r="Q28" s="43"/>
      <c r="R28" s="43"/>
    </row>
    <row r="29" spans="1:18">
      <c r="A29" s="43"/>
      <c r="B29" s="43" t="s">
        <v>274</v>
      </c>
      <c r="C29" s="43">
        <f>COUNTA(B12:B27)</f>
        <v>16</v>
      </c>
      <c r="D29" s="43"/>
      <c r="E29" s="43"/>
      <c r="F29" s="43"/>
      <c r="G29" s="43"/>
      <c r="H29" s="43"/>
      <c r="I29" s="43"/>
      <c r="J29" s="43"/>
      <c r="K29" s="43"/>
      <c r="L29" s="43"/>
      <c r="M29" s="43"/>
      <c r="N29" s="43"/>
      <c r="O29" s="43"/>
      <c r="P29" s="43"/>
      <c r="Q29" s="43"/>
      <c r="R29" s="43"/>
    </row>
    <row r="30" spans="1:18">
      <c r="A30" s="43"/>
      <c r="B30" s="43"/>
      <c r="C30" s="43"/>
      <c r="D30" s="43"/>
      <c r="E30" s="43"/>
      <c r="F30" s="43"/>
      <c r="G30" s="43"/>
      <c r="H30" s="43"/>
      <c r="I30" s="43"/>
      <c r="J30" s="293" t="s">
        <v>261</v>
      </c>
      <c r="K30" s="294"/>
      <c r="L30" s="295"/>
      <c r="M30" s="43"/>
      <c r="N30" s="43"/>
      <c r="O30" s="43"/>
      <c r="P30" s="43"/>
      <c r="Q30" s="43"/>
      <c r="R30" s="43"/>
    </row>
    <row r="31" spans="1:18">
      <c r="A31" s="43"/>
      <c r="B31" s="43"/>
      <c r="C31" s="43"/>
      <c r="D31" s="43"/>
      <c r="E31" s="43"/>
      <c r="F31" s="43"/>
      <c r="G31" s="43"/>
      <c r="H31" s="43"/>
      <c r="I31" s="43"/>
      <c r="J31" s="24">
        <v>1</v>
      </c>
      <c r="K31" s="24">
        <v>2</v>
      </c>
      <c r="L31" s="24">
        <v>3</v>
      </c>
      <c r="M31" s="43"/>
      <c r="N31" s="43"/>
      <c r="O31" s="43"/>
      <c r="P31" s="43"/>
      <c r="Q31" s="43"/>
      <c r="R31" s="43"/>
    </row>
    <row r="32" spans="1:18">
      <c r="A32" s="43"/>
      <c r="B32" s="43"/>
      <c r="C32" s="43"/>
      <c r="D32" s="43"/>
      <c r="E32" s="43"/>
      <c r="F32" s="43"/>
      <c r="G32" s="43"/>
      <c r="H32" s="43"/>
      <c r="I32" s="43"/>
      <c r="J32" s="24">
        <v>4</v>
      </c>
      <c r="K32" s="24">
        <v>5</v>
      </c>
      <c r="L32" s="24">
        <v>6</v>
      </c>
      <c r="M32" s="43"/>
      <c r="N32" s="43"/>
      <c r="O32" s="43"/>
      <c r="P32" s="43"/>
      <c r="Q32" s="43"/>
      <c r="R32" s="43"/>
    </row>
    <row r="33" spans="1:18">
      <c r="A33" s="43"/>
      <c r="B33" s="43"/>
      <c r="C33" s="43"/>
      <c r="D33" s="43"/>
      <c r="E33" s="43"/>
      <c r="F33" s="43"/>
      <c r="G33" s="43"/>
      <c r="H33" s="43"/>
      <c r="I33" s="43"/>
      <c r="J33" s="24">
        <v>7</v>
      </c>
      <c r="K33" s="24">
        <v>8</v>
      </c>
      <c r="L33" s="24">
        <v>9</v>
      </c>
      <c r="M33" s="43"/>
      <c r="N33" s="43"/>
      <c r="O33" s="43"/>
      <c r="P33" s="43"/>
      <c r="Q33" s="43"/>
      <c r="R33" s="43"/>
    </row>
    <row r="34" spans="1:18">
      <c r="A34" s="43"/>
      <c r="B34" s="43"/>
      <c r="C34" s="43"/>
      <c r="D34" s="43"/>
      <c r="E34" s="43"/>
      <c r="F34" s="43"/>
      <c r="G34" s="43"/>
      <c r="H34" s="43"/>
      <c r="I34" s="43"/>
      <c r="J34" s="43"/>
      <c r="K34" s="43"/>
      <c r="L34" s="43"/>
      <c r="M34" s="43"/>
      <c r="N34" s="43"/>
      <c r="O34" s="43"/>
      <c r="P34" s="43"/>
      <c r="Q34" s="43"/>
      <c r="R34" s="43"/>
    </row>
    <row r="35" spans="1:18">
      <c r="A35" s="43"/>
      <c r="B35" s="43"/>
      <c r="C35" s="43"/>
      <c r="D35" s="43"/>
      <c r="E35" s="43"/>
      <c r="F35" s="43"/>
      <c r="G35" s="43"/>
      <c r="H35" s="43"/>
      <c r="I35" s="43"/>
      <c r="J35" s="102">
        <f>SUM(J31:J33)</f>
        <v>12</v>
      </c>
      <c r="K35" s="102">
        <f t="shared" ref="K35:L35" si="1">SUM(K31:K33)</f>
        <v>15</v>
      </c>
      <c r="L35" s="102">
        <f t="shared" si="1"/>
        <v>18</v>
      </c>
      <c r="M35" s="283" t="s">
        <v>271</v>
      </c>
      <c r="N35" s="43"/>
      <c r="O35" s="102">
        <f>SUM($J31:$J33)</f>
        <v>12</v>
      </c>
      <c r="P35" s="102">
        <f t="shared" ref="P35:Q35" si="2">SUM($J31:$J33)</f>
        <v>12</v>
      </c>
      <c r="Q35" s="102">
        <f t="shared" si="2"/>
        <v>12</v>
      </c>
      <c r="R35" s="111" t="s">
        <v>262</v>
      </c>
    </row>
    <row r="36" spans="1:18">
      <c r="A36" s="43"/>
      <c r="B36" s="43"/>
      <c r="C36" s="43"/>
      <c r="D36" s="43"/>
      <c r="E36" s="43"/>
      <c r="F36" s="43"/>
      <c r="G36" s="43"/>
      <c r="H36" s="43"/>
      <c r="I36" s="43"/>
      <c r="J36" s="102">
        <f t="shared" ref="J36:L36" si="3">SUM(J32:J34)</f>
        <v>11</v>
      </c>
      <c r="K36" s="102">
        <f t="shared" si="3"/>
        <v>13</v>
      </c>
      <c r="L36" s="102">
        <f t="shared" si="3"/>
        <v>15</v>
      </c>
      <c r="M36" s="284"/>
      <c r="N36" s="43"/>
      <c r="O36" s="102">
        <f t="shared" ref="O36:Q39" si="4">SUM($J32:$J34)</f>
        <v>11</v>
      </c>
      <c r="P36" s="102">
        <f t="shared" si="4"/>
        <v>11</v>
      </c>
      <c r="Q36" s="102">
        <f t="shared" si="4"/>
        <v>11</v>
      </c>
      <c r="R36" s="112" t="s">
        <v>263</v>
      </c>
    </row>
    <row r="37" spans="1:18" ht="30">
      <c r="A37" s="43"/>
      <c r="B37" s="43"/>
      <c r="C37" s="43"/>
      <c r="D37" s="43"/>
      <c r="E37" s="43"/>
      <c r="F37" s="43"/>
      <c r="G37" s="43"/>
      <c r="H37" s="43"/>
      <c r="I37" s="43"/>
      <c r="J37" s="102">
        <f t="shared" ref="J37:L37" si="5">SUM(J33:J35)</f>
        <v>19</v>
      </c>
      <c r="K37" s="102">
        <f t="shared" si="5"/>
        <v>23</v>
      </c>
      <c r="L37" s="102">
        <f t="shared" si="5"/>
        <v>27</v>
      </c>
      <c r="M37" s="284"/>
      <c r="N37" s="43"/>
      <c r="O37" s="102">
        <f t="shared" si="4"/>
        <v>19</v>
      </c>
      <c r="P37" s="102">
        <f t="shared" si="4"/>
        <v>19</v>
      </c>
      <c r="Q37" s="102">
        <f t="shared" si="4"/>
        <v>19</v>
      </c>
      <c r="R37" s="115" t="s">
        <v>273</v>
      </c>
    </row>
    <row r="38" spans="1:18">
      <c r="A38" s="43"/>
      <c r="B38" s="43"/>
      <c r="C38" s="43"/>
      <c r="D38" s="43"/>
      <c r="E38" s="43"/>
      <c r="F38" s="43"/>
      <c r="G38" s="43"/>
      <c r="H38" s="43"/>
      <c r="I38" s="43"/>
      <c r="J38" s="102">
        <f t="shared" ref="J38:L38" si="6">SUM(J34:J36)</f>
        <v>23</v>
      </c>
      <c r="K38" s="102">
        <f t="shared" si="6"/>
        <v>28</v>
      </c>
      <c r="L38" s="102">
        <f t="shared" si="6"/>
        <v>33</v>
      </c>
      <c r="M38" s="284"/>
      <c r="N38" s="43"/>
      <c r="O38" s="102">
        <f t="shared" si="4"/>
        <v>23</v>
      </c>
      <c r="P38" s="102">
        <f t="shared" si="4"/>
        <v>23</v>
      </c>
      <c r="Q38" s="102">
        <f t="shared" si="4"/>
        <v>23</v>
      </c>
      <c r="R38" s="112"/>
    </row>
    <row r="39" spans="1:18">
      <c r="A39" s="43"/>
      <c r="B39" s="43"/>
      <c r="C39" s="43"/>
      <c r="D39" s="43"/>
      <c r="E39" s="43"/>
      <c r="F39" s="43"/>
      <c r="G39" s="43"/>
      <c r="H39" s="43"/>
      <c r="I39" s="43"/>
      <c r="J39" s="102">
        <f t="shared" ref="J39:L39" si="7">SUM(J35:J37)</f>
        <v>42</v>
      </c>
      <c r="K39" s="102">
        <f t="shared" si="7"/>
        <v>51</v>
      </c>
      <c r="L39" s="102">
        <f t="shared" si="7"/>
        <v>60</v>
      </c>
      <c r="M39" s="285"/>
      <c r="N39" s="43"/>
      <c r="O39" s="102">
        <f t="shared" si="4"/>
        <v>42</v>
      </c>
      <c r="P39" s="102">
        <f t="shared" si="4"/>
        <v>42</v>
      </c>
      <c r="Q39" s="102">
        <f t="shared" si="4"/>
        <v>42</v>
      </c>
      <c r="R39" s="113"/>
    </row>
    <row r="40" spans="1:18">
      <c r="A40" s="43"/>
      <c r="B40" s="43"/>
      <c r="C40" s="43"/>
      <c r="D40" s="43"/>
      <c r="E40" s="43"/>
      <c r="F40" s="43"/>
      <c r="G40" s="43"/>
      <c r="H40" s="43"/>
      <c r="I40" s="43"/>
      <c r="J40" s="43"/>
      <c r="K40" s="43"/>
      <c r="L40" s="43"/>
      <c r="M40" s="43"/>
      <c r="N40" s="43"/>
      <c r="O40" s="43"/>
      <c r="P40" s="43"/>
      <c r="Q40" s="43"/>
      <c r="R40" s="43"/>
    </row>
    <row r="41" spans="1:18">
      <c r="A41" s="43"/>
      <c r="B41" s="43"/>
      <c r="C41" s="43"/>
      <c r="D41" s="43"/>
      <c r="E41" s="43"/>
      <c r="F41" s="43"/>
      <c r="G41" s="43"/>
      <c r="H41" s="43"/>
      <c r="I41" s="43"/>
      <c r="J41" s="43"/>
      <c r="K41" s="43"/>
      <c r="L41" s="43"/>
      <c r="M41" s="43"/>
      <c r="N41" s="43"/>
      <c r="O41" s="43"/>
      <c r="P41" s="43"/>
      <c r="Q41" s="43"/>
      <c r="R41" s="43"/>
    </row>
    <row r="42" spans="1:18">
      <c r="A42" s="43"/>
      <c r="B42" s="43"/>
      <c r="C42" s="43"/>
      <c r="D42" s="43"/>
      <c r="E42" s="43"/>
      <c r="F42" s="43"/>
      <c r="G42" s="43"/>
      <c r="H42" s="43"/>
      <c r="I42" s="43"/>
      <c r="J42" s="102">
        <f>SUM($J$31:$J$33)</f>
        <v>12</v>
      </c>
      <c r="K42" s="102">
        <f t="shared" ref="K42:L46" si="8">SUM($J$31:$J$33)</f>
        <v>12</v>
      </c>
      <c r="L42" s="102">
        <f t="shared" si="8"/>
        <v>12</v>
      </c>
      <c r="M42" s="283" t="s">
        <v>272</v>
      </c>
      <c r="N42" s="43"/>
      <c r="O42" s="102">
        <f>SUM(J$31:J$33)</f>
        <v>12</v>
      </c>
      <c r="P42" s="102">
        <f t="shared" ref="P42:Q42" si="9">SUM(K$31:K$33)</f>
        <v>15</v>
      </c>
      <c r="Q42" s="102">
        <f t="shared" si="9"/>
        <v>18</v>
      </c>
      <c r="R42" s="283" t="s">
        <v>264</v>
      </c>
    </row>
    <row r="43" spans="1:18">
      <c r="A43" s="43"/>
      <c r="B43" s="43"/>
      <c r="C43" s="43"/>
      <c r="D43" s="43"/>
      <c r="E43" s="43"/>
      <c r="F43" s="43"/>
      <c r="G43" s="43"/>
      <c r="H43" s="43"/>
      <c r="I43" s="43"/>
      <c r="J43" s="102">
        <f t="shared" ref="J43:J46" si="10">SUM($J$31:$J$33)</f>
        <v>12</v>
      </c>
      <c r="K43" s="102">
        <f t="shared" si="8"/>
        <v>12</v>
      </c>
      <c r="L43" s="102">
        <f t="shared" si="8"/>
        <v>12</v>
      </c>
      <c r="M43" s="284"/>
      <c r="N43" s="43"/>
      <c r="O43" s="102">
        <f t="shared" ref="O43:O46" si="11">SUM(J$31:J$33)</f>
        <v>12</v>
      </c>
      <c r="P43" s="102">
        <f t="shared" ref="P43:P46" si="12">SUM(K$31:K$33)</f>
        <v>15</v>
      </c>
      <c r="Q43" s="102">
        <f t="shared" ref="Q43:Q46" si="13">SUM(L$31:L$33)</f>
        <v>18</v>
      </c>
      <c r="R43" s="284"/>
    </row>
    <row r="44" spans="1:18">
      <c r="A44" s="43"/>
      <c r="B44" s="43"/>
      <c r="C44" s="43"/>
      <c r="D44" s="43"/>
      <c r="E44" s="43"/>
      <c r="F44" s="43"/>
      <c r="G44" s="43"/>
      <c r="H44" s="43"/>
      <c r="I44" s="43"/>
      <c r="J44" s="102">
        <f t="shared" si="10"/>
        <v>12</v>
      </c>
      <c r="K44" s="102">
        <f t="shared" si="8"/>
        <v>12</v>
      </c>
      <c r="L44" s="102">
        <f t="shared" si="8"/>
        <v>12</v>
      </c>
      <c r="M44" s="284"/>
      <c r="N44" s="43"/>
      <c r="O44" s="102">
        <f t="shared" si="11"/>
        <v>12</v>
      </c>
      <c r="P44" s="102">
        <f t="shared" si="12"/>
        <v>15</v>
      </c>
      <c r="Q44" s="102">
        <f t="shared" si="13"/>
        <v>18</v>
      </c>
      <c r="R44" s="284"/>
    </row>
    <row r="45" spans="1:18">
      <c r="A45" s="43"/>
      <c r="B45" s="43"/>
      <c r="C45" s="43"/>
      <c r="D45" s="43"/>
      <c r="E45" s="43"/>
      <c r="F45" s="43"/>
      <c r="G45" s="43"/>
      <c r="H45" s="43"/>
      <c r="I45" s="43"/>
      <c r="J45" s="102">
        <f t="shared" si="10"/>
        <v>12</v>
      </c>
      <c r="K45" s="102">
        <f t="shared" si="8"/>
        <v>12</v>
      </c>
      <c r="L45" s="102">
        <f t="shared" si="8"/>
        <v>12</v>
      </c>
      <c r="M45" s="284"/>
      <c r="N45" s="43"/>
      <c r="O45" s="102">
        <f t="shared" si="11"/>
        <v>12</v>
      </c>
      <c r="P45" s="102">
        <f t="shared" si="12"/>
        <v>15</v>
      </c>
      <c r="Q45" s="102">
        <f t="shared" si="13"/>
        <v>18</v>
      </c>
      <c r="R45" s="284"/>
    </row>
    <row r="46" spans="1:18">
      <c r="A46" s="43"/>
      <c r="B46" s="43"/>
      <c r="C46" s="43"/>
      <c r="D46" s="43"/>
      <c r="E46" s="43"/>
      <c r="F46" s="43"/>
      <c r="G46" s="43"/>
      <c r="H46" s="43"/>
      <c r="I46" s="43"/>
      <c r="J46" s="102">
        <f t="shared" si="10"/>
        <v>12</v>
      </c>
      <c r="K46" s="102">
        <f t="shared" si="8"/>
        <v>12</v>
      </c>
      <c r="L46" s="102">
        <f t="shared" si="8"/>
        <v>12</v>
      </c>
      <c r="M46" s="285"/>
      <c r="N46" s="43"/>
      <c r="O46" s="102">
        <f t="shared" si="11"/>
        <v>12</v>
      </c>
      <c r="P46" s="102">
        <f t="shared" si="12"/>
        <v>15</v>
      </c>
      <c r="Q46" s="102">
        <f t="shared" si="13"/>
        <v>18</v>
      </c>
      <c r="R46" s="285"/>
    </row>
    <row r="47" spans="1:18">
      <c r="A47" s="43"/>
      <c r="B47" s="43"/>
      <c r="C47" s="43"/>
      <c r="D47" s="43"/>
      <c r="E47" s="43"/>
      <c r="F47" s="43"/>
      <c r="G47" s="43"/>
      <c r="H47" s="43"/>
      <c r="I47" s="43"/>
      <c r="J47" s="43"/>
      <c r="K47" s="43"/>
      <c r="L47" s="43"/>
      <c r="M47" s="43"/>
      <c r="N47" s="43"/>
      <c r="O47" s="43"/>
      <c r="P47" s="43"/>
      <c r="Q47" s="43"/>
      <c r="R47" s="43"/>
    </row>
    <row r="48" spans="1:18">
      <c r="A48" s="43"/>
      <c r="B48" s="43"/>
      <c r="C48" s="43"/>
      <c r="D48" s="43"/>
      <c r="E48" s="43"/>
      <c r="F48" s="43"/>
      <c r="G48" s="43"/>
      <c r="H48" s="43"/>
      <c r="I48" s="43"/>
      <c r="J48" s="43"/>
      <c r="K48" s="43"/>
      <c r="L48" s="43"/>
      <c r="M48" s="43"/>
      <c r="N48" s="43"/>
      <c r="O48" s="43"/>
      <c r="P48" s="43"/>
      <c r="Q48" s="43"/>
      <c r="R48" s="43"/>
    </row>
    <row r="49" spans="1:18">
      <c r="A49" s="43"/>
      <c r="B49" s="43"/>
      <c r="C49" s="43"/>
      <c r="D49" s="43"/>
      <c r="E49" s="43"/>
      <c r="F49" s="43"/>
      <c r="G49" s="43"/>
      <c r="H49" s="43"/>
      <c r="I49" s="43"/>
      <c r="J49" s="103" t="s">
        <v>265</v>
      </c>
      <c r="K49" s="43"/>
      <c r="L49" s="43"/>
      <c r="M49" s="43"/>
      <c r="N49" s="43"/>
      <c r="O49" s="43"/>
      <c r="P49" s="43"/>
      <c r="Q49" s="43"/>
      <c r="R49" s="43"/>
    </row>
  </sheetData>
  <mergeCells count="9">
    <mergeCell ref="M35:M39"/>
    <mergeCell ref="M42:M46"/>
    <mergeCell ref="R42:R46"/>
    <mergeCell ref="B2:C2"/>
    <mergeCell ref="E2:G2"/>
    <mergeCell ref="E6:F6"/>
    <mergeCell ref="C9:E9"/>
    <mergeCell ref="F10:F11"/>
    <mergeCell ref="J30:L30"/>
  </mergeCells>
  <hyperlinks>
    <hyperlink ref="J49" location="SUMAPRODUCTO!A1" display="Volver arriba con hipervínculo" xr:uid="{0FF519E7-444A-47E4-8DC1-6619075BD623}"/>
    <hyperlink ref="H14" location="SUMAPRODUCTO!J50" display="¿Cómo fijar datos adecuadamente?" xr:uid="{FEA3B142-BCA6-4D0A-8C34-E08928921121}"/>
  </hyperlink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C676B-4F3C-4A61-8CC3-66F045AD9950}">
  <sheetPr codeName="Hoja6"/>
  <dimension ref="A1:CW114"/>
  <sheetViews>
    <sheetView topLeftCell="A97" zoomScaleNormal="100" workbookViewId="0">
      <selection activeCell="B105" sqref="B105:K105"/>
    </sheetView>
  </sheetViews>
  <sheetFormatPr baseColWidth="10" defaultRowHeight="15"/>
  <cols>
    <col min="11" max="11" width="25" customWidth="1"/>
    <col min="17" max="17" width="24.85546875" bestFit="1" customWidth="1"/>
    <col min="20" max="20" width="19.140625" bestFit="1" customWidth="1"/>
  </cols>
  <sheetData>
    <row r="1" spans="1:17" ht="15.75" thickBot="1">
      <c r="A1" s="117"/>
      <c r="B1" s="117"/>
      <c r="C1" s="117"/>
      <c r="D1" s="117"/>
      <c r="E1" s="117"/>
      <c r="F1" s="117"/>
      <c r="G1" s="117"/>
      <c r="H1" s="117"/>
      <c r="I1" s="117"/>
      <c r="J1" s="117"/>
      <c r="K1" s="117"/>
      <c r="L1" s="117"/>
      <c r="M1" s="117"/>
      <c r="N1" s="117"/>
      <c r="O1" s="117"/>
      <c r="P1" s="117"/>
    </row>
    <row r="2" spans="1:17" ht="24" thickBot="1">
      <c r="A2" s="118"/>
      <c r="B2" s="118"/>
      <c r="C2" s="118"/>
      <c r="D2" s="118"/>
      <c r="E2" s="118"/>
      <c r="F2" s="118"/>
      <c r="G2" s="118"/>
      <c r="H2" s="118"/>
      <c r="I2" s="118"/>
      <c r="J2" s="117"/>
      <c r="K2" s="120" t="s">
        <v>275</v>
      </c>
      <c r="L2" s="118"/>
      <c r="M2" s="118"/>
      <c r="N2" s="118"/>
      <c r="O2" s="118"/>
      <c r="P2" s="118"/>
    </row>
    <row r="3" spans="1:17" ht="60.75" thickBot="1">
      <c r="A3" s="121" t="s">
        <v>0</v>
      </c>
      <c r="B3" s="122" t="s">
        <v>7</v>
      </c>
      <c r="C3" s="122" t="s">
        <v>3</v>
      </c>
      <c r="D3" s="122" t="s">
        <v>4</v>
      </c>
      <c r="E3" s="122" t="s">
        <v>5</v>
      </c>
      <c r="F3" s="122" t="s">
        <v>6</v>
      </c>
      <c r="G3" s="122" t="s">
        <v>276</v>
      </c>
      <c r="H3" s="122" t="s">
        <v>277</v>
      </c>
      <c r="I3" s="122" t="s">
        <v>278</v>
      </c>
      <c r="J3" s="123"/>
      <c r="K3" s="296" t="s">
        <v>279</v>
      </c>
      <c r="L3" s="297"/>
      <c r="M3" s="297"/>
      <c r="N3" s="297"/>
      <c r="O3" s="297"/>
      <c r="P3" s="298"/>
    </row>
    <row r="4" spans="1:17" ht="30.75" thickBot="1">
      <c r="A4" s="124" t="s">
        <v>57</v>
      </c>
      <c r="B4" s="125" t="s">
        <v>13</v>
      </c>
      <c r="C4" s="125" t="s">
        <v>54</v>
      </c>
      <c r="D4" s="125" t="s">
        <v>55</v>
      </c>
      <c r="E4" s="125" t="s">
        <v>56</v>
      </c>
      <c r="F4" s="125" t="s">
        <v>12</v>
      </c>
      <c r="G4" s="126">
        <v>3</v>
      </c>
      <c r="H4" s="126">
        <v>8</v>
      </c>
      <c r="I4" s="125">
        <f>AVERAGE($G4:$H4)</f>
        <v>5.5</v>
      </c>
      <c r="J4" s="123"/>
      <c r="K4" s="299" t="s">
        <v>280</v>
      </c>
      <c r="L4" s="300"/>
      <c r="M4" s="300"/>
      <c r="N4" s="300"/>
      <c r="O4" s="300"/>
      <c r="P4" s="301"/>
      <c r="Q4" s="130">
        <f>COUNTA(A4:A103)</f>
        <v>100</v>
      </c>
    </row>
    <row r="5" spans="1:17" ht="30.75" thickBot="1">
      <c r="A5" s="124" t="s">
        <v>98</v>
      </c>
      <c r="B5" s="125" t="s">
        <v>13</v>
      </c>
      <c r="C5" s="125" t="s">
        <v>21</v>
      </c>
      <c r="D5" s="125" t="s">
        <v>10</v>
      </c>
      <c r="E5" s="125" t="s">
        <v>11</v>
      </c>
      <c r="F5" s="125" t="s">
        <v>30</v>
      </c>
      <c r="G5" s="126">
        <v>8</v>
      </c>
      <c r="H5" s="126">
        <v>7</v>
      </c>
      <c r="I5" s="125">
        <f t="shared" ref="I5:I68" si="0">AVERAGE($G5:$H5)</f>
        <v>7.5</v>
      </c>
      <c r="J5" s="123"/>
      <c r="K5" s="119" t="s">
        <v>281</v>
      </c>
      <c r="L5" s="118"/>
      <c r="M5" s="118"/>
      <c r="N5" s="118"/>
      <c r="O5" s="118"/>
      <c r="P5" s="125"/>
    </row>
    <row r="6" spans="1:17" ht="30.75" thickBot="1">
      <c r="A6" s="124" t="s">
        <v>118</v>
      </c>
      <c r="B6" s="125" t="s">
        <v>13</v>
      </c>
      <c r="C6" s="125" t="s">
        <v>9</v>
      </c>
      <c r="D6" s="125" t="s">
        <v>17</v>
      </c>
      <c r="E6" s="125" t="s">
        <v>23</v>
      </c>
      <c r="F6" s="125" t="s">
        <v>12</v>
      </c>
      <c r="G6" s="126">
        <v>5</v>
      </c>
      <c r="H6" s="126">
        <v>10</v>
      </c>
      <c r="I6" s="125">
        <f t="shared" si="0"/>
        <v>7.5</v>
      </c>
      <c r="J6" s="117"/>
      <c r="K6" s="63" t="s">
        <v>284</v>
      </c>
      <c r="L6" s="95">
        <v>0.2</v>
      </c>
      <c r="M6" s="95">
        <v>0.8</v>
      </c>
      <c r="N6" s="130" t="s">
        <v>267</v>
      </c>
      <c r="O6" s="117"/>
      <c r="P6" s="63" t="s">
        <v>284</v>
      </c>
    </row>
    <row r="7" spans="1:17" ht="30.75" thickBot="1">
      <c r="A7" s="124" t="s">
        <v>60</v>
      </c>
      <c r="B7" s="125" t="s">
        <v>13</v>
      </c>
      <c r="C7" s="125" t="s">
        <v>21</v>
      </c>
      <c r="D7" s="125" t="s">
        <v>10</v>
      </c>
      <c r="E7" s="125" t="s">
        <v>27</v>
      </c>
      <c r="F7" s="125" t="s">
        <v>12</v>
      </c>
      <c r="G7" s="126">
        <v>4</v>
      </c>
      <c r="H7" s="126">
        <v>8</v>
      </c>
      <c r="I7" s="125">
        <f t="shared" si="0"/>
        <v>6</v>
      </c>
      <c r="J7" s="117"/>
      <c r="K7" s="63">
        <f>SUMPRODUCT(L6:M6,L7:M7)</f>
        <v>7.21</v>
      </c>
      <c r="L7">
        <f>AVERAGE(G4:G103)</f>
        <v>5.81</v>
      </c>
      <c r="M7">
        <f>AVERAGE(H4:H103)</f>
        <v>7.56</v>
      </c>
      <c r="N7" s="130">
        <f>AVERAGE(L7:M7)</f>
        <v>6.6849999999999996</v>
      </c>
      <c r="O7" s="117"/>
      <c r="P7" s="63" t="s">
        <v>284</v>
      </c>
    </row>
    <row r="8" spans="1:17" ht="30.75" thickBot="1">
      <c r="A8" s="124" t="s">
        <v>8</v>
      </c>
      <c r="B8" s="125" t="s">
        <v>13</v>
      </c>
      <c r="C8" s="125" t="s">
        <v>9</v>
      </c>
      <c r="D8" s="125" t="s">
        <v>10</v>
      </c>
      <c r="E8" s="125" t="s">
        <v>11</v>
      </c>
      <c r="F8" s="125" t="s">
        <v>12</v>
      </c>
      <c r="G8" s="126">
        <v>4</v>
      </c>
      <c r="H8" s="126">
        <v>9</v>
      </c>
      <c r="I8" s="125">
        <f t="shared" si="0"/>
        <v>6.5</v>
      </c>
      <c r="J8" s="117"/>
      <c r="K8" s="117"/>
      <c r="L8" s="117"/>
      <c r="M8" s="117"/>
      <c r="N8" s="117"/>
      <c r="O8" s="117"/>
      <c r="P8" s="117"/>
    </row>
    <row r="9" spans="1:17" ht="30.75" thickBot="1">
      <c r="A9" s="124" t="s">
        <v>125</v>
      </c>
      <c r="B9" s="125" t="s">
        <v>13</v>
      </c>
      <c r="C9" s="125" t="s">
        <v>21</v>
      </c>
      <c r="D9" s="125" t="s">
        <v>10</v>
      </c>
      <c r="E9" s="125" t="s">
        <v>27</v>
      </c>
      <c r="F9" s="125" t="s">
        <v>12</v>
      </c>
      <c r="G9" s="126">
        <v>9</v>
      </c>
      <c r="H9" s="126">
        <v>7</v>
      </c>
      <c r="I9" s="125">
        <f t="shared" si="0"/>
        <v>8</v>
      </c>
      <c r="J9" s="117"/>
      <c r="K9" s="120" t="s">
        <v>282</v>
      </c>
      <c r="L9" s="118"/>
      <c r="M9" s="118"/>
      <c r="N9" s="118"/>
      <c r="O9" s="118"/>
      <c r="P9" s="118"/>
    </row>
    <row r="10" spans="1:17" ht="30.75" thickBot="1">
      <c r="A10" s="124" t="s">
        <v>74</v>
      </c>
      <c r="B10" s="125" t="s">
        <v>13</v>
      </c>
      <c r="C10" s="125" t="s">
        <v>21</v>
      </c>
      <c r="D10" s="125" t="s">
        <v>17</v>
      </c>
      <c r="E10" s="125" t="s">
        <v>23</v>
      </c>
      <c r="F10" s="125" t="s">
        <v>12</v>
      </c>
      <c r="G10" s="126">
        <v>5</v>
      </c>
      <c r="H10" s="126">
        <v>9</v>
      </c>
      <c r="I10" s="125">
        <f t="shared" si="0"/>
        <v>7</v>
      </c>
      <c r="J10" s="123"/>
      <c r="K10" s="131" t="s">
        <v>283</v>
      </c>
      <c r="L10" s="118"/>
      <c r="M10" s="118"/>
      <c r="N10" s="118"/>
      <c r="O10" s="118"/>
      <c r="P10" s="118"/>
    </row>
    <row r="11" spans="1:17" ht="30.75" thickBot="1">
      <c r="A11" s="124" t="s">
        <v>29</v>
      </c>
      <c r="B11" s="125" t="s">
        <v>13</v>
      </c>
      <c r="C11" s="125" t="s">
        <v>21</v>
      </c>
      <c r="D11" s="125" t="s">
        <v>10</v>
      </c>
      <c r="E11" s="125" t="s">
        <v>11</v>
      </c>
      <c r="F11" s="125" t="s">
        <v>30</v>
      </c>
      <c r="G11" s="126">
        <v>8</v>
      </c>
      <c r="H11" s="126">
        <v>10</v>
      </c>
      <c r="I11" s="125">
        <f t="shared" si="0"/>
        <v>9</v>
      </c>
      <c r="J11" s="117"/>
      <c r="K11" s="117"/>
      <c r="L11" s="117"/>
      <c r="M11" s="117"/>
      <c r="N11" s="117"/>
      <c r="O11" s="117"/>
      <c r="P11" s="117"/>
    </row>
    <row r="12" spans="1:17" ht="30.75" thickBot="1">
      <c r="A12" s="124" t="s">
        <v>107</v>
      </c>
      <c r="B12" s="127" t="s">
        <v>13</v>
      </c>
      <c r="C12" s="127" t="s">
        <v>15</v>
      </c>
      <c r="D12" s="127" t="s">
        <v>17</v>
      </c>
      <c r="E12" s="127" t="s">
        <v>23</v>
      </c>
      <c r="F12" s="127" t="s">
        <v>30</v>
      </c>
      <c r="G12" s="126">
        <v>8</v>
      </c>
      <c r="H12" s="126">
        <v>3</v>
      </c>
      <c r="I12" s="125">
        <f t="shared" si="0"/>
        <v>5.5</v>
      </c>
      <c r="J12" s="117"/>
      <c r="K12" s="117"/>
      <c r="L12" s="117"/>
      <c r="M12" s="117"/>
      <c r="N12" s="117"/>
      <c r="O12" s="117"/>
      <c r="P12" s="117"/>
    </row>
    <row r="13" spans="1:17" ht="30.75" thickBot="1">
      <c r="A13" s="124" t="s">
        <v>108</v>
      </c>
      <c r="B13" s="125" t="s">
        <v>13</v>
      </c>
      <c r="C13" s="125" t="s">
        <v>25</v>
      </c>
      <c r="D13" s="125" t="s">
        <v>10</v>
      </c>
      <c r="E13" s="125" t="s">
        <v>27</v>
      </c>
      <c r="F13" s="125" t="s">
        <v>12</v>
      </c>
      <c r="G13" s="126">
        <v>5</v>
      </c>
      <c r="H13" s="126">
        <v>9</v>
      </c>
      <c r="I13" s="125">
        <f t="shared" si="0"/>
        <v>7</v>
      </c>
      <c r="J13" s="117"/>
      <c r="K13" s="117"/>
      <c r="L13" s="117"/>
      <c r="M13" s="117"/>
      <c r="N13" s="117"/>
      <c r="O13" s="117"/>
      <c r="P13" s="117"/>
    </row>
    <row r="14" spans="1:17" ht="30.75" thickBot="1">
      <c r="A14" s="124" t="s">
        <v>129</v>
      </c>
      <c r="B14" s="125" t="s">
        <v>130</v>
      </c>
      <c r="C14" s="125" t="s">
        <v>21</v>
      </c>
      <c r="D14" s="125" t="s">
        <v>10</v>
      </c>
      <c r="E14" s="125" t="s">
        <v>27</v>
      </c>
      <c r="F14" s="125" t="s">
        <v>12</v>
      </c>
      <c r="G14" s="126">
        <v>4</v>
      </c>
      <c r="H14" s="126">
        <v>5</v>
      </c>
      <c r="I14" s="125">
        <f t="shared" si="0"/>
        <v>4.5</v>
      </c>
      <c r="J14" s="117"/>
      <c r="K14" s="117"/>
      <c r="L14" s="117"/>
      <c r="M14" s="117"/>
      <c r="N14" s="117"/>
      <c r="O14" s="117"/>
      <c r="P14" s="117"/>
    </row>
    <row r="15" spans="1:17" ht="30.75" thickBot="1">
      <c r="A15" s="124" t="s">
        <v>93</v>
      </c>
      <c r="B15" s="125" t="s">
        <v>13</v>
      </c>
      <c r="C15" s="125" t="s">
        <v>21</v>
      </c>
      <c r="D15" s="125" t="s">
        <v>10</v>
      </c>
      <c r="E15" s="125" t="s">
        <v>27</v>
      </c>
      <c r="F15" s="125" t="s">
        <v>12</v>
      </c>
      <c r="G15" s="126">
        <v>3</v>
      </c>
      <c r="H15" s="126">
        <v>8</v>
      </c>
      <c r="I15" s="125">
        <f t="shared" si="0"/>
        <v>5.5</v>
      </c>
      <c r="J15" s="117"/>
      <c r="K15" s="117"/>
      <c r="L15" s="117"/>
      <c r="M15" s="117"/>
      <c r="N15" s="117"/>
      <c r="O15" s="117"/>
      <c r="P15" s="117"/>
    </row>
    <row r="16" spans="1:17" ht="30.75" thickBot="1">
      <c r="A16" s="124" t="s">
        <v>16</v>
      </c>
      <c r="B16" s="125" t="s">
        <v>13</v>
      </c>
      <c r="C16" s="125" t="s">
        <v>9</v>
      </c>
      <c r="D16" s="125" t="s">
        <v>17</v>
      </c>
      <c r="E16" s="125" t="s">
        <v>18</v>
      </c>
      <c r="F16" s="125" t="s">
        <v>12</v>
      </c>
      <c r="G16" s="126">
        <v>7</v>
      </c>
      <c r="H16" s="126">
        <v>9</v>
      </c>
      <c r="I16" s="125">
        <f t="shared" si="0"/>
        <v>8</v>
      </c>
      <c r="J16" s="117"/>
      <c r="K16" s="117"/>
      <c r="L16" s="117"/>
      <c r="M16" s="117"/>
      <c r="N16" s="117"/>
      <c r="O16" s="117"/>
      <c r="P16" s="117"/>
    </row>
    <row r="17" spans="1:16" ht="30.75" thickBot="1">
      <c r="A17" s="124" t="s">
        <v>34</v>
      </c>
      <c r="B17" s="125" t="s">
        <v>13</v>
      </c>
      <c r="C17" s="125" t="s">
        <v>21</v>
      </c>
      <c r="D17" s="125" t="s">
        <v>17</v>
      </c>
      <c r="E17" s="125" t="s">
        <v>18</v>
      </c>
      <c r="F17" s="125" t="s">
        <v>30</v>
      </c>
      <c r="G17" s="126">
        <v>4</v>
      </c>
      <c r="H17" s="126">
        <v>8</v>
      </c>
      <c r="I17" s="125">
        <f t="shared" si="0"/>
        <v>6</v>
      </c>
      <c r="J17" s="117"/>
      <c r="K17" s="117"/>
      <c r="L17" s="117"/>
      <c r="M17" s="117"/>
      <c r="N17" s="117"/>
      <c r="O17" s="117"/>
      <c r="P17" s="117"/>
    </row>
    <row r="18" spans="1:16" ht="30.75" thickBot="1">
      <c r="A18" s="124" t="s">
        <v>45</v>
      </c>
      <c r="B18" s="125" t="s">
        <v>13</v>
      </c>
      <c r="C18" s="125" t="s">
        <v>25</v>
      </c>
      <c r="D18" s="125" t="s">
        <v>10</v>
      </c>
      <c r="E18" s="125" t="s">
        <v>11</v>
      </c>
      <c r="F18" s="125" t="s">
        <v>12</v>
      </c>
      <c r="G18" s="126">
        <v>9</v>
      </c>
      <c r="H18" s="126">
        <v>10</v>
      </c>
      <c r="I18" s="125">
        <f t="shared" si="0"/>
        <v>9.5</v>
      </c>
      <c r="J18" s="117"/>
      <c r="K18" s="117"/>
      <c r="L18" s="117"/>
      <c r="M18" s="117"/>
      <c r="N18" s="117"/>
      <c r="O18" s="117"/>
      <c r="P18" s="117"/>
    </row>
    <row r="19" spans="1:16" ht="30.75" thickBot="1">
      <c r="A19" s="124" t="s">
        <v>64</v>
      </c>
      <c r="B19" s="125" t="s">
        <v>13</v>
      </c>
      <c r="C19" s="125" t="s">
        <v>54</v>
      </c>
      <c r="D19" s="125" t="s">
        <v>55</v>
      </c>
      <c r="E19" s="125" t="s">
        <v>56</v>
      </c>
      <c r="F19" s="125" t="s">
        <v>12</v>
      </c>
      <c r="G19" s="126">
        <v>4</v>
      </c>
      <c r="H19" s="126">
        <v>6</v>
      </c>
      <c r="I19" s="125">
        <f t="shared" si="0"/>
        <v>5</v>
      </c>
      <c r="J19" s="117"/>
      <c r="K19" s="117"/>
      <c r="L19" s="117"/>
      <c r="M19" s="117"/>
      <c r="N19" s="117"/>
      <c r="O19" s="117"/>
      <c r="P19" s="117"/>
    </row>
    <row r="20" spans="1:16" ht="30.75" thickBot="1">
      <c r="A20" s="124" t="s">
        <v>90</v>
      </c>
      <c r="B20" s="125" t="s">
        <v>13</v>
      </c>
      <c r="C20" s="125" t="s">
        <v>21</v>
      </c>
      <c r="D20" s="125" t="s">
        <v>10</v>
      </c>
      <c r="E20" s="125" t="s">
        <v>11</v>
      </c>
      <c r="F20" s="125" t="s">
        <v>12</v>
      </c>
      <c r="G20" s="126">
        <v>5</v>
      </c>
      <c r="H20" s="126">
        <v>7</v>
      </c>
      <c r="I20" s="125">
        <f t="shared" si="0"/>
        <v>6</v>
      </c>
      <c r="J20" s="117"/>
      <c r="K20" s="117"/>
      <c r="L20" s="117"/>
      <c r="M20" s="117"/>
      <c r="N20" s="117"/>
      <c r="O20" s="117"/>
      <c r="P20" s="117"/>
    </row>
    <row r="21" spans="1:16" ht="30.75" thickBot="1">
      <c r="A21" s="124" t="s">
        <v>105</v>
      </c>
      <c r="B21" s="125" t="s">
        <v>13</v>
      </c>
      <c r="C21" s="125" t="s">
        <v>54</v>
      </c>
      <c r="D21" s="125" t="s">
        <v>55</v>
      </c>
      <c r="E21" s="125" t="s">
        <v>56</v>
      </c>
      <c r="F21" s="125" t="s">
        <v>12</v>
      </c>
      <c r="G21" s="126">
        <v>6</v>
      </c>
      <c r="H21" s="126">
        <v>7</v>
      </c>
      <c r="I21" s="125">
        <f t="shared" si="0"/>
        <v>6.5</v>
      </c>
      <c r="J21" s="117"/>
      <c r="K21" s="117"/>
      <c r="L21" s="117"/>
      <c r="M21" s="117"/>
      <c r="N21" s="117"/>
      <c r="O21" s="117"/>
      <c r="P21" s="117"/>
    </row>
    <row r="22" spans="1:16" ht="30.75" thickBot="1">
      <c r="A22" s="124" t="s">
        <v>68</v>
      </c>
      <c r="B22" s="125" t="s">
        <v>32</v>
      </c>
      <c r="C22" s="125" t="s">
        <v>25</v>
      </c>
      <c r="D22" s="125" t="s">
        <v>17</v>
      </c>
      <c r="E22" s="125" t="s">
        <v>18</v>
      </c>
      <c r="F22" s="125" t="s">
        <v>30</v>
      </c>
      <c r="G22" s="126">
        <v>9</v>
      </c>
      <c r="H22" s="126">
        <v>8</v>
      </c>
      <c r="I22" s="125">
        <f t="shared" si="0"/>
        <v>8.5</v>
      </c>
      <c r="J22" s="117"/>
      <c r="K22" s="117"/>
      <c r="L22" s="117"/>
      <c r="M22" s="117"/>
      <c r="N22" s="117"/>
      <c r="O22" s="117"/>
      <c r="P22" s="117"/>
    </row>
    <row r="23" spans="1:16" ht="30.75" thickBot="1">
      <c r="A23" s="124" t="s">
        <v>126</v>
      </c>
      <c r="B23" s="125" t="s">
        <v>13</v>
      </c>
      <c r="C23" s="125" t="s">
        <v>21</v>
      </c>
      <c r="D23" s="125" t="s">
        <v>10</v>
      </c>
      <c r="E23" s="125" t="s">
        <v>27</v>
      </c>
      <c r="F23" s="125" t="s">
        <v>12</v>
      </c>
      <c r="G23" s="126">
        <v>5</v>
      </c>
      <c r="H23" s="126">
        <v>6</v>
      </c>
      <c r="I23" s="125">
        <f t="shared" si="0"/>
        <v>5.5</v>
      </c>
      <c r="J23" s="117"/>
      <c r="K23" s="117"/>
      <c r="L23" s="117"/>
      <c r="M23" s="117"/>
      <c r="N23" s="117"/>
      <c r="O23" s="117"/>
      <c r="P23" s="117"/>
    </row>
    <row r="24" spans="1:16" ht="30.75" thickBot="1">
      <c r="A24" s="124" t="s">
        <v>62</v>
      </c>
      <c r="B24" s="125" t="s">
        <v>13</v>
      </c>
      <c r="C24" s="125" t="s">
        <v>21</v>
      </c>
      <c r="D24" s="125" t="s">
        <v>10</v>
      </c>
      <c r="E24" s="125" t="s">
        <v>27</v>
      </c>
      <c r="F24" s="125" t="s">
        <v>12</v>
      </c>
      <c r="G24" s="126">
        <v>6</v>
      </c>
      <c r="H24" s="126">
        <v>7</v>
      </c>
      <c r="I24" s="125">
        <f t="shared" si="0"/>
        <v>6.5</v>
      </c>
      <c r="J24" s="117"/>
      <c r="K24" s="117"/>
      <c r="L24" s="117"/>
      <c r="M24" s="117"/>
      <c r="N24" s="117"/>
      <c r="O24" s="117"/>
      <c r="P24" s="117"/>
    </row>
    <row r="25" spans="1:16" ht="30.75" thickBot="1">
      <c r="A25" s="124" t="s">
        <v>97</v>
      </c>
      <c r="B25" s="125" t="s">
        <v>13</v>
      </c>
      <c r="C25" s="125" t="s">
        <v>15</v>
      </c>
      <c r="D25" s="125" t="s">
        <v>10</v>
      </c>
      <c r="E25" s="125" t="s">
        <v>11</v>
      </c>
      <c r="F25" s="125" t="s">
        <v>30</v>
      </c>
      <c r="G25" s="126">
        <v>6</v>
      </c>
      <c r="H25" s="126">
        <v>10</v>
      </c>
      <c r="I25" s="125">
        <f t="shared" si="0"/>
        <v>8</v>
      </c>
      <c r="J25" s="117"/>
      <c r="K25" s="117"/>
      <c r="L25" s="117"/>
      <c r="M25" s="117"/>
      <c r="N25" s="117"/>
      <c r="O25" s="117"/>
      <c r="P25" s="117"/>
    </row>
    <row r="26" spans="1:16" ht="30.75" thickBot="1">
      <c r="A26" s="124" t="s">
        <v>101</v>
      </c>
      <c r="B26" s="125" t="s">
        <v>102</v>
      </c>
      <c r="C26" s="125" t="s">
        <v>25</v>
      </c>
      <c r="D26" s="125" t="s">
        <v>17</v>
      </c>
      <c r="E26" s="125" t="s">
        <v>23</v>
      </c>
      <c r="F26" s="125" t="s">
        <v>12</v>
      </c>
      <c r="G26" s="126">
        <v>8</v>
      </c>
      <c r="H26" s="126">
        <v>5</v>
      </c>
      <c r="I26" s="125">
        <f t="shared" si="0"/>
        <v>6.5</v>
      </c>
      <c r="J26" s="117"/>
      <c r="K26" s="117"/>
      <c r="L26" s="117"/>
      <c r="M26" s="117"/>
      <c r="N26" s="117"/>
      <c r="O26" s="117"/>
      <c r="P26" s="117"/>
    </row>
    <row r="27" spans="1:16" ht="30.75" thickBot="1">
      <c r="A27" s="124" t="s">
        <v>103</v>
      </c>
      <c r="B27" s="125" t="s">
        <v>13</v>
      </c>
      <c r="C27" s="125" t="s">
        <v>15</v>
      </c>
      <c r="D27" s="125" t="s">
        <v>10</v>
      </c>
      <c r="E27" s="125" t="s">
        <v>11</v>
      </c>
      <c r="F27" s="125" t="s">
        <v>12</v>
      </c>
      <c r="G27" s="126">
        <v>7</v>
      </c>
      <c r="H27" s="126">
        <v>10</v>
      </c>
      <c r="I27" s="125">
        <f t="shared" si="0"/>
        <v>8.5</v>
      </c>
      <c r="J27" s="117"/>
      <c r="K27" s="117"/>
      <c r="L27" s="117"/>
      <c r="M27" s="117"/>
      <c r="N27" s="117"/>
      <c r="O27" s="117"/>
      <c r="P27" s="117"/>
    </row>
    <row r="28" spans="1:16" ht="30.75" thickBot="1">
      <c r="A28" s="124" t="s">
        <v>35</v>
      </c>
      <c r="B28" s="125" t="s">
        <v>13</v>
      </c>
      <c r="C28" s="125" t="s">
        <v>21</v>
      </c>
      <c r="D28" s="125" t="s">
        <v>10</v>
      </c>
      <c r="E28" s="125" t="s">
        <v>11</v>
      </c>
      <c r="F28" s="125" t="s">
        <v>12</v>
      </c>
      <c r="G28" s="126">
        <v>9</v>
      </c>
      <c r="H28" s="126">
        <v>10</v>
      </c>
      <c r="I28" s="125">
        <f t="shared" si="0"/>
        <v>9.5</v>
      </c>
      <c r="J28" s="117"/>
      <c r="K28" s="117"/>
      <c r="L28" s="117"/>
      <c r="M28" s="117"/>
      <c r="N28" s="117"/>
      <c r="O28" s="117"/>
      <c r="P28" s="117"/>
    </row>
    <row r="29" spans="1:16" ht="30.75" thickBot="1">
      <c r="A29" s="124" t="s">
        <v>61</v>
      </c>
      <c r="B29" s="125" t="s">
        <v>13</v>
      </c>
      <c r="C29" s="125" t="s">
        <v>25</v>
      </c>
      <c r="D29" s="125" t="s">
        <v>10</v>
      </c>
      <c r="E29" s="125" t="s">
        <v>11</v>
      </c>
      <c r="F29" s="125" t="s">
        <v>12</v>
      </c>
      <c r="G29" s="126">
        <v>3</v>
      </c>
      <c r="H29" s="126">
        <v>9</v>
      </c>
      <c r="I29" s="125">
        <f t="shared" si="0"/>
        <v>6</v>
      </c>
      <c r="J29" s="117"/>
      <c r="K29" s="117"/>
      <c r="L29" s="117"/>
      <c r="M29" s="117"/>
      <c r="N29" s="117"/>
      <c r="O29" s="117"/>
      <c r="P29" s="117"/>
    </row>
    <row r="30" spans="1:16" ht="30.75" thickBot="1">
      <c r="A30" s="124" t="s">
        <v>124</v>
      </c>
      <c r="B30" s="125" t="s">
        <v>13</v>
      </c>
      <c r="C30" s="125" t="s">
        <v>21</v>
      </c>
      <c r="D30" s="125" t="s">
        <v>17</v>
      </c>
      <c r="E30" s="125" t="s">
        <v>23</v>
      </c>
      <c r="F30" s="125" t="s">
        <v>12</v>
      </c>
      <c r="G30" s="126">
        <v>6</v>
      </c>
      <c r="H30" s="126">
        <v>2</v>
      </c>
      <c r="I30" s="125">
        <f t="shared" si="0"/>
        <v>4</v>
      </c>
      <c r="J30" s="117"/>
      <c r="K30" s="117"/>
      <c r="L30" s="117"/>
      <c r="M30" s="117"/>
      <c r="N30" s="117"/>
      <c r="O30" s="117"/>
      <c r="P30" s="117"/>
    </row>
    <row r="31" spans="1:16" ht="30.75" thickBot="1">
      <c r="A31" s="124" t="s">
        <v>33</v>
      </c>
      <c r="B31" s="125" t="s">
        <v>13</v>
      </c>
      <c r="C31" s="125" t="s">
        <v>25</v>
      </c>
      <c r="D31" s="125" t="s">
        <v>17</v>
      </c>
      <c r="E31" s="125" t="s">
        <v>23</v>
      </c>
      <c r="F31" s="125" t="s">
        <v>12</v>
      </c>
      <c r="G31" s="126">
        <v>9</v>
      </c>
      <c r="H31" s="126">
        <v>9</v>
      </c>
      <c r="I31" s="125">
        <f t="shared" si="0"/>
        <v>9</v>
      </c>
      <c r="J31" s="117"/>
      <c r="K31" s="117"/>
      <c r="L31" s="117"/>
      <c r="M31" s="117"/>
      <c r="N31" s="117"/>
      <c r="O31" s="117"/>
      <c r="P31" s="117"/>
    </row>
    <row r="32" spans="1:16" ht="30.75" thickBot="1">
      <c r="A32" s="124" t="s">
        <v>85</v>
      </c>
      <c r="B32" s="125" t="s">
        <v>13</v>
      </c>
      <c r="C32" s="125" t="s">
        <v>21</v>
      </c>
      <c r="D32" s="125" t="s">
        <v>10</v>
      </c>
      <c r="E32" s="125" t="s">
        <v>27</v>
      </c>
      <c r="F32" s="125" t="s">
        <v>12</v>
      </c>
      <c r="G32" s="126">
        <v>8</v>
      </c>
      <c r="H32" s="126">
        <v>7</v>
      </c>
      <c r="I32" s="125">
        <f t="shared" si="0"/>
        <v>7.5</v>
      </c>
      <c r="J32" s="117"/>
      <c r="K32" s="117"/>
      <c r="L32" s="117"/>
      <c r="M32" s="117"/>
      <c r="N32" s="117"/>
      <c r="O32" s="117"/>
      <c r="P32" s="117"/>
    </row>
    <row r="33" spans="1:16" ht="30.75" thickBot="1">
      <c r="A33" s="124" t="s">
        <v>110</v>
      </c>
      <c r="B33" s="127" t="s">
        <v>13</v>
      </c>
      <c r="C33" s="127" t="s">
        <v>25</v>
      </c>
      <c r="D33" s="127" t="s">
        <v>10</v>
      </c>
      <c r="E33" s="127" t="s">
        <v>11</v>
      </c>
      <c r="F33" s="127" t="s">
        <v>30</v>
      </c>
      <c r="G33" s="126">
        <v>8</v>
      </c>
      <c r="H33" s="128">
        <v>8</v>
      </c>
      <c r="I33" s="125">
        <f t="shared" si="0"/>
        <v>8</v>
      </c>
      <c r="J33" s="117"/>
      <c r="K33" s="117"/>
      <c r="L33" s="117"/>
      <c r="M33" s="117"/>
      <c r="N33" s="117"/>
      <c r="O33" s="117"/>
      <c r="P33" s="117"/>
    </row>
    <row r="34" spans="1:16" ht="30.75" thickBot="1">
      <c r="A34" s="124" t="s">
        <v>132</v>
      </c>
      <c r="B34" s="125" t="s">
        <v>13</v>
      </c>
      <c r="C34" s="125" t="s">
        <v>15</v>
      </c>
      <c r="D34" s="125" t="s">
        <v>17</v>
      </c>
      <c r="E34" s="125" t="s">
        <v>23</v>
      </c>
      <c r="F34" s="125" t="s">
        <v>12</v>
      </c>
      <c r="G34" s="126">
        <v>6</v>
      </c>
      <c r="H34" s="126">
        <v>8</v>
      </c>
      <c r="I34" s="125">
        <f t="shared" si="0"/>
        <v>7</v>
      </c>
      <c r="J34" s="117"/>
      <c r="K34" s="117"/>
      <c r="L34" s="117"/>
      <c r="M34" s="117"/>
      <c r="N34" s="117"/>
      <c r="O34" s="117"/>
      <c r="P34" s="117"/>
    </row>
    <row r="35" spans="1:16" ht="30.75" thickBot="1">
      <c r="A35" s="124" t="s">
        <v>91</v>
      </c>
      <c r="B35" s="125" t="s">
        <v>32</v>
      </c>
      <c r="C35" s="125" t="s">
        <v>25</v>
      </c>
      <c r="D35" s="125" t="s">
        <v>17</v>
      </c>
      <c r="E35" s="125" t="s">
        <v>18</v>
      </c>
      <c r="F35" s="125" t="s">
        <v>30</v>
      </c>
      <c r="G35" s="126">
        <v>3</v>
      </c>
      <c r="H35" s="126">
        <v>5</v>
      </c>
      <c r="I35" s="125">
        <f t="shared" si="0"/>
        <v>4</v>
      </c>
      <c r="J35" s="117"/>
      <c r="K35" s="117"/>
      <c r="L35" s="117"/>
      <c r="M35" s="117"/>
      <c r="N35" s="117"/>
      <c r="O35" s="117"/>
      <c r="P35" s="117"/>
    </row>
    <row r="36" spans="1:16" ht="30.75" thickBot="1">
      <c r="A36" s="124" t="s">
        <v>109</v>
      </c>
      <c r="B36" s="125" t="s">
        <v>13</v>
      </c>
      <c r="C36" s="125" t="s">
        <v>21</v>
      </c>
      <c r="D36" s="125" t="s">
        <v>10</v>
      </c>
      <c r="E36" s="125" t="s">
        <v>11</v>
      </c>
      <c r="F36" s="125" t="s">
        <v>12</v>
      </c>
      <c r="G36" s="126">
        <v>6</v>
      </c>
      <c r="H36" s="126">
        <v>7</v>
      </c>
      <c r="I36" s="125">
        <f t="shared" si="0"/>
        <v>6.5</v>
      </c>
      <c r="J36" s="117"/>
      <c r="K36" s="117"/>
      <c r="L36" s="117"/>
      <c r="M36" s="117"/>
      <c r="N36" s="117"/>
      <c r="O36" s="117"/>
      <c r="P36" s="117"/>
    </row>
    <row r="37" spans="1:16" ht="30.75" thickBot="1">
      <c r="A37" s="124" t="s">
        <v>127</v>
      </c>
      <c r="B37" s="125" t="s">
        <v>13</v>
      </c>
      <c r="C37" s="125" t="s">
        <v>25</v>
      </c>
      <c r="D37" s="125" t="s">
        <v>10</v>
      </c>
      <c r="E37" s="125" t="s">
        <v>27</v>
      </c>
      <c r="F37" s="125" t="s">
        <v>12</v>
      </c>
      <c r="G37" s="126">
        <v>6</v>
      </c>
      <c r="H37" s="126">
        <v>10</v>
      </c>
      <c r="I37" s="125">
        <f t="shared" si="0"/>
        <v>8</v>
      </c>
      <c r="J37" s="117"/>
      <c r="K37" s="117"/>
      <c r="L37" s="117"/>
      <c r="M37" s="117"/>
      <c r="N37" s="117"/>
      <c r="O37" s="117"/>
      <c r="P37" s="117"/>
    </row>
    <row r="38" spans="1:16" ht="30.75" thickBot="1">
      <c r="A38" s="124" t="s">
        <v>48</v>
      </c>
      <c r="B38" s="125" t="s">
        <v>13</v>
      </c>
      <c r="C38" s="125" t="s">
        <v>9</v>
      </c>
      <c r="D38" s="125" t="s">
        <v>10</v>
      </c>
      <c r="E38" s="125" t="s">
        <v>27</v>
      </c>
      <c r="F38" s="125" t="s">
        <v>12</v>
      </c>
      <c r="G38" s="126">
        <v>8</v>
      </c>
      <c r="H38" s="126">
        <v>5</v>
      </c>
      <c r="I38" s="125">
        <f t="shared" si="0"/>
        <v>6.5</v>
      </c>
      <c r="J38" s="117"/>
      <c r="K38" s="117"/>
      <c r="L38" s="117"/>
      <c r="M38" s="117"/>
      <c r="N38" s="117"/>
      <c r="O38" s="117"/>
      <c r="P38" s="117"/>
    </row>
    <row r="39" spans="1:16" ht="30.75" thickBot="1">
      <c r="A39" s="124" t="s">
        <v>79</v>
      </c>
      <c r="B39" s="125" t="s">
        <v>13</v>
      </c>
      <c r="C39" s="125" t="s">
        <v>21</v>
      </c>
      <c r="D39" s="125" t="s">
        <v>55</v>
      </c>
      <c r="E39" s="125" t="s">
        <v>80</v>
      </c>
      <c r="F39" s="125" t="s">
        <v>12</v>
      </c>
      <c r="G39" s="126">
        <v>5</v>
      </c>
      <c r="H39" s="126">
        <v>7</v>
      </c>
      <c r="I39" s="125">
        <f t="shared" si="0"/>
        <v>6</v>
      </c>
      <c r="J39" s="117"/>
      <c r="K39" s="117"/>
      <c r="L39" s="117"/>
      <c r="M39" s="117"/>
      <c r="N39" s="117"/>
      <c r="O39" s="117"/>
      <c r="P39" s="117"/>
    </row>
    <row r="40" spans="1:16" ht="30.75" thickBot="1">
      <c r="A40" s="124" t="s">
        <v>113</v>
      </c>
      <c r="B40" s="125" t="s">
        <v>13</v>
      </c>
      <c r="C40" s="125" t="s">
        <v>21</v>
      </c>
      <c r="D40" s="125" t="s">
        <v>10</v>
      </c>
      <c r="E40" s="125" t="s">
        <v>11</v>
      </c>
      <c r="F40" s="125" t="s">
        <v>12</v>
      </c>
      <c r="G40" s="126">
        <v>9</v>
      </c>
      <c r="H40" s="126">
        <v>7</v>
      </c>
      <c r="I40" s="125">
        <f t="shared" si="0"/>
        <v>8</v>
      </c>
      <c r="J40" s="117"/>
      <c r="K40" s="117"/>
      <c r="L40" s="117"/>
      <c r="M40" s="117"/>
      <c r="N40" s="117"/>
      <c r="O40" s="117"/>
      <c r="P40" s="117"/>
    </row>
    <row r="41" spans="1:16" ht="30.75" thickBot="1">
      <c r="A41" s="124" t="s">
        <v>36</v>
      </c>
      <c r="B41" s="125" t="s">
        <v>13</v>
      </c>
      <c r="C41" s="125" t="s">
        <v>9</v>
      </c>
      <c r="D41" s="125" t="s">
        <v>10</v>
      </c>
      <c r="E41" s="125" t="s">
        <v>27</v>
      </c>
      <c r="F41" s="125" t="s">
        <v>12</v>
      </c>
      <c r="G41" s="126">
        <v>4</v>
      </c>
      <c r="H41" s="126">
        <v>7</v>
      </c>
      <c r="I41" s="125">
        <f t="shared" si="0"/>
        <v>5.5</v>
      </c>
      <c r="J41" s="117"/>
      <c r="K41" s="117"/>
      <c r="L41" s="117"/>
      <c r="M41" s="117"/>
      <c r="N41" s="117"/>
      <c r="O41" s="117"/>
      <c r="P41" s="117"/>
    </row>
    <row r="42" spans="1:16" ht="30.75" thickBot="1">
      <c r="A42" s="124" t="s">
        <v>44</v>
      </c>
      <c r="B42" s="125" t="s">
        <v>13</v>
      </c>
      <c r="C42" s="125" t="s">
        <v>25</v>
      </c>
      <c r="D42" s="125" t="s">
        <v>17</v>
      </c>
      <c r="E42" s="125" t="s">
        <v>18</v>
      </c>
      <c r="F42" s="125" t="s">
        <v>12</v>
      </c>
      <c r="G42" s="126">
        <v>4</v>
      </c>
      <c r="H42" s="126">
        <v>9</v>
      </c>
      <c r="I42" s="125">
        <f t="shared" si="0"/>
        <v>6.5</v>
      </c>
      <c r="J42" s="117"/>
      <c r="K42" s="117"/>
      <c r="L42" s="117"/>
      <c r="M42" s="117"/>
      <c r="N42" s="117"/>
      <c r="O42" s="117"/>
      <c r="P42" s="117"/>
    </row>
    <row r="43" spans="1:16" ht="30.75" thickBot="1">
      <c r="A43" s="124" t="s">
        <v>100</v>
      </c>
      <c r="B43" s="125" t="s">
        <v>13</v>
      </c>
      <c r="C43" s="125" t="s">
        <v>21</v>
      </c>
      <c r="D43" s="125" t="s">
        <v>10</v>
      </c>
      <c r="E43" s="125" t="s">
        <v>27</v>
      </c>
      <c r="F43" s="125" t="s">
        <v>12</v>
      </c>
      <c r="G43" s="126">
        <v>9</v>
      </c>
      <c r="H43" s="126">
        <v>5</v>
      </c>
      <c r="I43" s="125">
        <f t="shared" si="0"/>
        <v>7</v>
      </c>
      <c r="J43" s="117"/>
      <c r="K43" s="117"/>
      <c r="L43" s="117"/>
      <c r="M43" s="117"/>
      <c r="N43" s="117"/>
      <c r="O43" s="117"/>
      <c r="P43" s="117"/>
    </row>
    <row r="44" spans="1:16" ht="30.75" thickBot="1">
      <c r="A44" s="124" t="s">
        <v>42</v>
      </c>
      <c r="B44" s="125" t="s">
        <v>13</v>
      </c>
      <c r="C44" s="125" t="s">
        <v>21</v>
      </c>
      <c r="D44" s="125" t="s">
        <v>10</v>
      </c>
      <c r="E44" s="125" t="s">
        <v>27</v>
      </c>
      <c r="F44" s="125" t="s">
        <v>30</v>
      </c>
      <c r="G44" s="126">
        <v>6</v>
      </c>
      <c r="H44" s="126">
        <v>10</v>
      </c>
      <c r="I44" s="125">
        <f t="shared" si="0"/>
        <v>8</v>
      </c>
      <c r="J44" s="117"/>
      <c r="K44" s="117"/>
      <c r="L44" s="117"/>
      <c r="M44" s="117"/>
      <c r="N44" s="117"/>
      <c r="O44" s="117"/>
      <c r="P44" s="117"/>
    </row>
    <row r="45" spans="1:16" ht="30.75" thickBot="1">
      <c r="A45" s="124" t="s">
        <v>39</v>
      </c>
      <c r="B45" s="125" t="s">
        <v>13</v>
      </c>
      <c r="C45" s="125" t="s">
        <v>21</v>
      </c>
      <c r="D45" s="125" t="s">
        <v>10</v>
      </c>
      <c r="E45" s="125" t="s">
        <v>27</v>
      </c>
      <c r="F45" s="125" t="s">
        <v>30</v>
      </c>
      <c r="G45" s="126">
        <v>8</v>
      </c>
      <c r="H45" s="126">
        <v>8</v>
      </c>
      <c r="I45" s="125">
        <f t="shared" si="0"/>
        <v>8</v>
      </c>
      <c r="J45" s="117"/>
      <c r="K45" s="117"/>
      <c r="L45" s="117"/>
      <c r="M45" s="117"/>
      <c r="N45" s="117"/>
      <c r="O45" s="117"/>
      <c r="P45" s="117"/>
    </row>
    <row r="46" spans="1:16" ht="30.75" thickBot="1">
      <c r="A46" s="124" t="s">
        <v>120</v>
      </c>
      <c r="B46" s="125" t="s">
        <v>13</v>
      </c>
      <c r="C46" s="125" t="s">
        <v>25</v>
      </c>
      <c r="D46" s="125" t="s">
        <v>10</v>
      </c>
      <c r="E46" s="125" t="s">
        <v>27</v>
      </c>
      <c r="F46" s="125" t="s">
        <v>30</v>
      </c>
      <c r="G46" s="126">
        <v>6</v>
      </c>
      <c r="H46" s="126">
        <v>10</v>
      </c>
      <c r="I46" s="125">
        <f t="shared" si="0"/>
        <v>8</v>
      </c>
      <c r="J46" s="117"/>
      <c r="K46" s="117"/>
      <c r="L46" s="117"/>
      <c r="M46" s="117"/>
      <c r="N46" s="117"/>
      <c r="O46" s="117"/>
      <c r="P46" s="117"/>
    </row>
    <row r="47" spans="1:16" ht="30.75" thickBot="1">
      <c r="A47" s="124" t="s">
        <v>43</v>
      </c>
      <c r="B47" s="125" t="s">
        <v>13</v>
      </c>
      <c r="C47" s="125" t="s">
        <v>21</v>
      </c>
      <c r="D47" s="125" t="s">
        <v>10</v>
      </c>
      <c r="E47" s="125" t="s">
        <v>27</v>
      </c>
      <c r="F47" s="125" t="s">
        <v>30</v>
      </c>
      <c r="G47" s="126">
        <v>7</v>
      </c>
      <c r="H47" s="126">
        <v>5</v>
      </c>
      <c r="I47" s="125">
        <f t="shared" si="0"/>
        <v>6</v>
      </c>
      <c r="J47" s="117"/>
      <c r="K47" s="117"/>
      <c r="L47" s="117"/>
      <c r="M47" s="117"/>
      <c r="N47" s="117"/>
      <c r="O47" s="117"/>
      <c r="P47" s="117"/>
    </row>
    <row r="48" spans="1:16" ht="30.75" thickBot="1">
      <c r="A48" s="124" t="s">
        <v>106</v>
      </c>
      <c r="B48" s="125" t="s">
        <v>13</v>
      </c>
      <c r="C48" s="125" t="s">
        <v>21</v>
      </c>
      <c r="D48" s="125" t="s">
        <v>10</v>
      </c>
      <c r="E48" s="125" t="s">
        <v>27</v>
      </c>
      <c r="F48" s="125" t="s">
        <v>12</v>
      </c>
      <c r="G48" s="126">
        <v>5</v>
      </c>
      <c r="H48" s="126">
        <v>7</v>
      </c>
      <c r="I48" s="125">
        <f t="shared" si="0"/>
        <v>6</v>
      </c>
      <c r="J48" s="117"/>
      <c r="K48" s="117"/>
      <c r="L48" s="117"/>
      <c r="M48" s="117"/>
      <c r="N48" s="117"/>
      <c r="O48" s="117"/>
      <c r="P48" s="117"/>
    </row>
    <row r="49" spans="1:16" ht="30.75" thickBot="1">
      <c r="A49" s="124" t="s">
        <v>122</v>
      </c>
      <c r="B49" s="125" t="s">
        <v>13</v>
      </c>
      <c r="C49" s="125" t="s">
        <v>25</v>
      </c>
      <c r="D49" s="125" t="s">
        <v>10</v>
      </c>
      <c r="E49" s="125" t="s">
        <v>27</v>
      </c>
      <c r="F49" s="125" t="s">
        <v>12</v>
      </c>
      <c r="G49" s="126">
        <v>3</v>
      </c>
      <c r="H49" s="126">
        <v>8</v>
      </c>
      <c r="I49" s="125">
        <f t="shared" si="0"/>
        <v>5.5</v>
      </c>
      <c r="J49" s="117"/>
      <c r="K49" s="117"/>
      <c r="L49" s="117"/>
      <c r="M49" s="117"/>
      <c r="N49" s="117"/>
      <c r="O49" s="117"/>
      <c r="P49" s="117"/>
    </row>
    <row r="50" spans="1:16" ht="30.75" thickBot="1">
      <c r="A50" s="124" t="s">
        <v>121</v>
      </c>
      <c r="B50" s="125" t="s">
        <v>13</v>
      </c>
      <c r="C50" s="125" t="s">
        <v>25</v>
      </c>
      <c r="D50" s="125" t="s">
        <v>17</v>
      </c>
      <c r="E50" s="125" t="s">
        <v>23</v>
      </c>
      <c r="F50" s="125" t="s">
        <v>12</v>
      </c>
      <c r="G50" s="126">
        <v>7</v>
      </c>
      <c r="H50" s="126">
        <v>9</v>
      </c>
      <c r="I50" s="125">
        <f t="shared" si="0"/>
        <v>8</v>
      </c>
      <c r="J50" s="117"/>
      <c r="K50" s="117"/>
      <c r="L50" s="117"/>
      <c r="M50" s="117"/>
      <c r="N50" s="117"/>
      <c r="O50" s="117"/>
      <c r="P50" s="117"/>
    </row>
    <row r="51" spans="1:16" ht="30.75" thickBot="1">
      <c r="A51" s="124" t="s">
        <v>78</v>
      </c>
      <c r="B51" s="125" t="s">
        <v>32</v>
      </c>
      <c r="C51" s="125" t="s">
        <v>21</v>
      </c>
      <c r="D51" s="125" t="s">
        <v>10</v>
      </c>
      <c r="E51" s="125" t="s">
        <v>27</v>
      </c>
      <c r="F51" s="125" t="s">
        <v>30</v>
      </c>
      <c r="G51" s="126">
        <v>5</v>
      </c>
      <c r="H51" s="126">
        <v>6</v>
      </c>
      <c r="I51" s="125">
        <f t="shared" si="0"/>
        <v>5.5</v>
      </c>
      <c r="J51" s="117"/>
      <c r="K51" s="117"/>
      <c r="L51" s="117"/>
      <c r="M51" s="117"/>
      <c r="N51" s="117"/>
      <c r="O51" s="117"/>
      <c r="P51" s="117"/>
    </row>
    <row r="52" spans="1:16" ht="30.75" thickBot="1">
      <c r="A52" s="124" t="s">
        <v>82</v>
      </c>
      <c r="B52" s="125" t="s">
        <v>13</v>
      </c>
      <c r="C52" s="125" t="s">
        <v>9</v>
      </c>
      <c r="D52" s="125" t="s">
        <v>10</v>
      </c>
      <c r="E52" s="125" t="s">
        <v>11</v>
      </c>
      <c r="F52" s="125" t="s">
        <v>30</v>
      </c>
      <c r="G52" s="126">
        <v>9</v>
      </c>
      <c r="H52" s="126">
        <v>9</v>
      </c>
      <c r="I52" s="125">
        <f t="shared" si="0"/>
        <v>9</v>
      </c>
      <c r="J52" s="117"/>
      <c r="K52" s="117"/>
      <c r="L52" s="117"/>
      <c r="M52" s="117"/>
      <c r="N52" s="117"/>
      <c r="O52" s="117"/>
      <c r="P52" s="117"/>
    </row>
    <row r="53" spans="1:16" ht="30.75" thickBot="1">
      <c r="A53" s="124" t="s">
        <v>95</v>
      </c>
      <c r="B53" s="125" t="s">
        <v>96</v>
      </c>
      <c r="C53" s="125" t="s">
        <v>21</v>
      </c>
      <c r="D53" s="125" t="s">
        <v>10</v>
      </c>
      <c r="E53" s="125" t="s">
        <v>11</v>
      </c>
      <c r="F53" s="125" t="s">
        <v>12</v>
      </c>
      <c r="G53" s="126">
        <v>6</v>
      </c>
      <c r="H53" s="126">
        <v>8</v>
      </c>
      <c r="I53" s="125">
        <f t="shared" si="0"/>
        <v>7</v>
      </c>
      <c r="J53" s="117"/>
      <c r="K53" s="117"/>
      <c r="L53" s="117"/>
      <c r="M53" s="117"/>
      <c r="N53" s="117"/>
      <c r="O53" s="117"/>
      <c r="P53" s="117"/>
    </row>
    <row r="54" spans="1:16" ht="30.75" thickBot="1">
      <c r="A54" s="124" t="s">
        <v>31</v>
      </c>
      <c r="B54" s="125" t="s">
        <v>32</v>
      </c>
      <c r="C54" s="125" t="s">
        <v>21</v>
      </c>
      <c r="D54" s="125" t="s">
        <v>17</v>
      </c>
      <c r="E54" s="125" t="s">
        <v>23</v>
      </c>
      <c r="F54" s="125" t="s">
        <v>30</v>
      </c>
      <c r="G54" s="126">
        <v>7</v>
      </c>
      <c r="H54" s="126">
        <v>5</v>
      </c>
      <c r="I54" s="125">
        <f t="shared" si="0"/>
        <v>6</v>
      </c>
      <c r="J54" s="117"/>
      <c r="K54" s="117"/>
      <c r="L54" s="117"/>
      <c r="M54" s="117"/>
      <c r="N54" s="117"/>
      <c r="O54" s="117"/>
      <c r="P54" s="117"/>
    </row>
    <row r="55" spans="1:16" ht="30.75" thickBot="1">
      <c r="A55" s="124" t="s">
        <v>111</v>
      </c>
      <c r="B55" s="125" t="s">
        <v>72</v>
      </c>
      <c r="C55" s="125" t="s">
        <v>21</v>
      </c>
      <c r="D55" s="125" t="s">
        <v>10</v>
      </c>
      <c r="E55" s="125" t="s">
        <v>11</v>
      </c>
      <c r="F55" s="125" t="s">
        <v>12</v>
      </c>
      <c r="G55" s="126">
        <v>5</v>
      </c>
      <c r="H55" s="126">
        <v>6</v>
      </c>
      <c r="I55" s="125">
        <f t="shared" si="0"/>
        <v>5.5</v>
      </c>
      <c r="J55" s="117"/>
      <c r="K55" s="117"/>
      <c r="L55" s="117"/>
      <c r="M55" s="117"/>
      <c r="N55" s="117"/>
      <c r="O55" s="117"/>
      <c r="P55" s="117"/>
    </row>
    <row r="56" spans="1:16" ht="30.75" thickBot="1">
      <c r="A56" s="124" t="s">
        <v>81</v>
      </c>
      <c r="B56" s="125" t="s">
        <v>13</v>
      </c>
      <c r="C56" s="125" t="s">
        <v>21</v>
      </c>
      <c r="D56" s="125" t="s">
        <v>10</v>
      </c>
      <c r="E56" s="125" t="s">
        <v>27</v>
      </c>
      <c r="F56" s="125" t="s">
        <v>12</v>
      </c>
      <c r="G56" s="126">
        <v>4</v>
      </c>
      <c r="H56" s="126">
        <v>6</v>
      </c>
      <c r="I56" s="125">
        <f t="shared" si="0"/>
        <v>5</v>
      </c>
      <c r="J56" s="117"/>
      <c r="K56" s="117"/>
      <c r="L56" s="117"/>
      <c r="M56" s="117"/>
      <c r="N56" s="117"/>
      <c r="O56" s="117"/>
      <c r="P56" s="117"/>
    </row>
    <row r="57" spans="1:16" ht="30.75" thickBot="1">
      <c r="A57" s="124" t="s">
        <v>50</v>
      </c>
      <c r="B57" s="125" t="s">
        <v>13</v>
      </c>
      <c r="C57" s="125" t="s">
        <v>25</v>
      </c>
      <c r="D57" s="125" t="s">
        <v>10</v>
      </c>
      <c r="E57" s="125" t="s">
        <v>27</v>
      </c>
      <c r="F57" s="125" t="s">
        <v>12</v>
      </c>
      <c r="G57" s="126">
        <v>7</v>
      </c>
      <c r="H57" s="126">
        <v>5</v>
      </c>
      <c r="I57" s="125">
        <f t="shared" si="0"/>
        <v>6</v>
      </c>
      <c r="J57" s="117"/>
      <c r="K57" s="117"/>
      <c r="L57" s="117"/>
      <c r="M57" s="117"/>
      <c r="N57" s="117"/>
      <c r="O57" s="117"/>
      <c r="P57" s="117"/>
    </row>
    <row r="58" spans="1:16" ht="30.75" thickBot="1">
      <c r="A58" s="124" t="s">
        <v>123</v>
      </c>
      <c r="B58" s="125" t="s">
        <v>13</v>
      </c>
      <c r="C58" s="125" t="s">
        <v>21</v>
      </c>
      <c r="D58" s="125" t="s">
        <v>17</v>
      </c>
      <c r="E58" s="125" t="s">
        <v>18</v>
      </c>
      <c r="F58" s="125" t="s">
        <v>30</v>
      </c>
      <c r="G58" s="126">
        <v>3</v>
      </c>
      <c r="H58" s="126">
        <v>9</v>
      </c>
      <c r="I58" s="125">
        <f t="shared" si="0"/>
        <v>6</v>
      </c>
      <c r="J58" s="117"/>
      <c r="K58" s="117"/>
      <c r="L58" s="117"/>
      <c r="M58" s="117"/>
      <c r="N58" s="117"/>
      <c r="O58" s="117"/>
      <c r="P58" s="117"/>
    </row>
    <row r="59" spans="1:16" ht="30.75" thickBot="1">
      <c r="A59" s="124" t="s">
        <v>26</v>
      </c>
      <c r="B59" s="125" t="s">
        <v>28</v>
      </c>
      <c r="C59" s="125" t="s">
        <v>25</v>
      </c>
      <c r="D59" s="125" t="s">
        <v>10</v>
      </c>
      <c r="E59" s="125" t="s">
        <v>27</v>
      </c>
      <c r="F59" s="125" t="s">
        <v>12</v>
      </c>
      <c r="G59" s="126">
        <v>3</v>
      </c>
      <c r="H59" s="126">
        <v>6</v>
      </c>
      <c r="I59" s="125">
        <f t="shared" si="0"/>
        <v>4.5</v>
      </c>
      <c r="J59" s="117"/>
      <c r="K59" s="117"/>
      <c r="L59" s="117"/>
      <c r="M59" s="117"/>
      <c r="N59" s="117"/>
      <c r="O59" s="117"/>
      <c r="P59" s="117"/>
    </row>
    <row r="60" spans="1:16" ht="30.75" thickBot="1">
      <c r="A60" s="124" t="s">
        <v>41</v>
      </c>
      <c r="B60" s="125" t="s">
        <v>13</v>
      </c>
      <c r="C60" s="125" t="s">
        <v>21</v>
      </c>
      <c r="D60" s="125" t="s">
        <v>10</v>
      </c>
      <c r="E60" s="125" t="s">
        <v>11</v>
      </c>
      <c r="F60" s="125" t="s">
        <v>12</v>
      </c>
      <c r="G60" s="126">
        <v>7</v>
      </c>
      <c r="H60" s="126">
        <v>10</v>
      </c>
      <c r="I60" s="125">
        <f t="shared" si="0"/>
        <v>8.5</v>
      </c>
      <c r="J60" s="117"/>
      <c r="K60" s="117"/>
      <c r="L60" s="117"/>
      <c r="M60" s="117"/>
      <c r="N60" s="117"/>
      <c r="O60" s="117"/>
      <c r="P60" s="117"/>
    </row>
    <row r="61" spans="1:16" ht="30.75" thickBot="1">
      <c r="A61" s="124" t="s">
        <v>73</v>
      </c>
      <c r="B61" s="125" t="s">
        <v>13</v>
      </c>
      <c r="C61" s="125" t="s">
        <v>21</v>
      </c>
      <c r="D61" s="125" t="s">
        <v>17</v>
      </c>
      <c r="E61" s="125" t="s">
        <v>18</v>
      </c>
      <c r="F61" s="125" t="s">
        <v>12</v>
      </c>
      <c r="G61" s="126">
        <v>5</v>
      </c>
      <c r="H61" s="126">
        <v>9</v>
      </c>
      <c r="I61" s="125">
        <f t="shared" si="0"/>
        <v>7</v>
      </c>
      <c r="J61" s="117"/>
      <c r="K61" s="117"/>
      <c r="L61" s="117"/>
      <c r="M61" s="117"/>
      <c r="N61" s="117"/>
      <c r="O61" s="117"/>
      <c r="P61" s="117"/>
    </row>
    <row r="62" spans="1:16" ht="30.75" thickBot="1">
      <c r="A62" s="124" t="s">
        <v>88</v>
      </c>
      <c r="B62" s="125" t="s">
        <v>89</v>
      </c>
      <c r="C62" s="125" t="s">
        <v>21</v>
      </c>
      <c r="D62" s="125" t="s">
        <v>10</v>
      </c>
      <c r="E62" s="125" t="s">
        <v>11</v>
      </c>
      <c r="F62" s="125" t="s">
        <v>12</v>
      </c>
      <c r="G62" s="126">
        <v>9</v>
      </c>
      <c r="H62" s="126">
        <v>5</v>
      </c>
      <c r="I62" s="125">
        <f t="shared" si="0"/>
        <v>7</v>
      </c>
      <c r="J62" s="117"/>
      <c r="K62" s="117"/>
      <c r="L62" s="117"/>
      <c r="M62" s="117"/>
      <c r="N62" s="117"/>
      <c r="O62" s="117"/>
      <c r="P62" s="117"/>
    </row>
    <row r="63" spans="1:16" ht="30.75" thickBot="1">
      <c r="A63" s="124" t="s">
        <v>133</v>
      </c>
      <c r="B63" s="125" t="s">
        <v>13</v>
      </c>
      <c r="C63" s="125" t="s">
        <v>54</v>
      </c>
      <c r="D63" s="125" t="s">
        <v>55</v>
      </c>
      <c r="E63" s="125" t="s">
        <v>56</v>
      </c>
      <c r="F63" s="125" t="s">
        <v>12</v>
      </c>
      <c r="G63" s="126">
        <v>4</v>
      </c>
      <c r="H63" s="126">
        <v>8</v>
      </c>
      <c r="I63" s="125">
        <f t="shared" si="0"/>
        <v>6</v>
      </c>
      <c r="J63" s="117"/>
      <c r="K63" s="117"/>
      <c r="L63" s="117"/>
      <c r="M63" s="117"/>
      <c r="N63" s="117"/>
      <c r="O63" s="117"/>
      <c r="P63" s="117"/>
    </row>
    <row r="64" spans="1:16" ht="30.75" thickBot="1">
      <c r="A64" s="124" t="s">
        <v>67</v>
      </c>
      <c r="B64" s="125" t="s">
        <v>13</v>
      </c>
      <c r="C64" s="125" t="s">
        <v>25</v>
      </c>
      <c r="D64" s="125" t="s">
        <v>10</v>
      </c>
      <c r="E64" s="125" t="s">
        <v>11</v>
      </c>
      <c r="F64" s="125" t="s">
        <v>12</v>
      </c>
      <c r="G64" s="126">
        <v>5</v>
      </c>
      <c r="H64" s="126">
        <v>10</v>
      </c>
      <c r="I64" s="125">
        <f t="shared" si="0"/>
        <v>7.5</v>
      </c>
      <c r="J64" s="117"/>
      <c r="K64" s="117"/>
      <c r="L64" s="117"/>
      <c r="M64" s="117"/>
      <c r="N64" s="117"/>
      <c r="O64" s="117"/>
      <c r="P64" s="117"/>
    </row>
    <row r="65" spans="1:16" ht="30.75" thickBot="1">
      <c r="A65" s="124" t="s">
        <v>84</v>
      </c>
      <c r="B65" s="125" t="s">
        <v>13</v>
      </c>
      <c r="C65" s="125" t="s">
        <v>21</v>
      </c>
      <c r="D65" s="125" t="s">
        <v>10</v>
      </c>
      <c r="E65" s="125" t="s">
        <v>27</v>
      </c>
      <c r="F65" s="125" t="s">
        <v>12</v>
      </c>
      <c r="G65" s="126">
        <v>3</v>
      </c>
      <c r="H65" s="126">
        <v>10</v>
      </c>
      <c r="I65" s="125">
        <f t="shared" si="0"/>
        <v>6.5</v>
      </c>
      <c r="J65" s="117"/>
      <c r="K65" s="117"/>
      <c r="L65" s="117"/>
      <c r="M65" s="117"/>
      <c r="N65" s="117"/>
      <c r="O65" s="117"/>
      <c r="P65" s="117"/>
    </row>
    <row r="66" spans="1:16" ht="30.75" thickBot="1">
      <c r="A66" s="124" t="s">
        <v>38</v>
      </c>
      <c r="B66" s="125" t="s">
        <v>13</v>
      </c>
      <c r="C66" s="125" t="s">
        <v>25</v>
      </c>
      <c r="D66" s="125" t="s">
        <v>10</v>
      </c>
      <c r="E66" s="125" t="s">
        <v>11</v>
      </c>
      <c r="F66" s="125" t="s">
        <v>12</v>
      </c>
      <c r="G66" s="126">
        <v>3</v>
      </c>
      <c r="H66" s="126">
        <v>10</v>
      </c>
      <c r="I66" s="125">
        <f t="shared" si="0"/>
        <v>6.5</v>
      </c>
      <c r="J66" s="117"/>
      <c r="K66" s="117"/>
      <c r="L66" s="117"/>
      <c r="M66" s="117"/>
      <c r="N66" s="117"/>
      <c r="O66" s="117"/>
      <c r="P66" s="117"/>
    </row>
    <row r="67" spans="1:16" ht="30.75" thickBot="1">
      <c r="A67" s="124" t="s">
        <v>24</v>
      </c>
      <c r="B67" s="125" t="s">
        <v>13</v>
      </c>
      <c r="C67" s="125" t="s">
        <v>25</v>
      </c>
      <c r="D67" s="125" t="s">
        <v>17</v>
      </c>
      <c r="E67" s="125" t="s">
        <v>23</v>
      </c>
      <c r="F67" s="125" t="s">
        <v>12</v>
      </c>
      <c r="G67" s="126">
        <v>5</v>
      </c>
      <c r="H67" s="126">
        <v>5</v>
      </c>
      <c r="I67" s="125">
        <f t="shared" si="0"/>
        <v>5</v>
      </c>
      <c r="J67" s="117"/>
      <c r="K67" s="117"/>
      <c r="L67" s="117"/>
      <c r="M67" s="117"/>
      <c r="N67" s="117"/>
      <c r="O67" s="117"/>
      <c r="P67" s="117"/>
    </row>
    <row r="68" spans="1:16" ht="30.75" thickBot="1">
      <c r="A68" s="124" t="s">
        <v>37</v>
      </c>
      <c r="B68" s="125" t="s">
        <v>13</v>
      </c>
      <c r="C68" s="125" t="s">
        <v>21</v>
      </c>
      <c r="D68" s="125" t="s">
        <v>10</v>
      </c>
      <c r="E68" s="125" t="s">
        <v>11</v>
      </c>
      <c r="F68" s="125" t="s">
        <v>30</v>
      </c>
      <c r="G68" s="126">
        <v>7</v>
      </c>
      <c r="H68" s="126">
        <v>7</v>
      </c>
      <c r="I68" s="125">
        <f t="shared" si="0"/>
        <v>7</v>
      </c>
      <c r="J68" s="117"/>
      <c r="K68" s="117"/>
      <c r="L68" s="117"/>
      <c r="M68" s="117"/>
      <c r="N68" s="117"/>
      <c r="O68" s="117"/>
      <c r="P68" s="117"/>
    </row>
    <row r="69" spans="1:16" ht="30.75" thickBot="1">
      <c r="A69" s="124" t="s">
        <v>49</v>
      </c>
      <c r="B69" s="125" t="s">
        <v>13</v>
      </c>
      <c r="C69" s="125" t="s">
        <v>21</v>
      </c>
      <c r="D69" s="125" t="s">
        <v>10</v>
      </c>
      <c r="E69" s="125" t="s">
        <v>11</v>
      </c>
      <c r="F69" s="125" t="s">
        <v>12</v>
      </c>
      <c r="G69" s="126">
        <v>7</v>
      </c>
      <c r="H69" s="126">
        <v>5</v>
      </c>
      <c r="I69" s="125">
        <f t="shared" ref="I69:I103" si="1">AVERAGE($G69:$H69)</f>
        <v>6</v>
      </c>
      <c r="J69" s="117"/>
      <c r="K69" s="117"/>
      <c r="L69" s="117"/>
      <c r="M69" s="117"/>
      <c r="N69" s="117"/>
      <c r="O69" s="117"/>
      <c r="P69" s="117"/>
    </row>
    <row r="70" spans="1:16" ht="30.75" thickBot="1">
      <c r="A70" s="124" t="s">
        <v>119</v>
      </c>
      <c r="B70" s="125" t="s">
        <v>13</v>
      </c>
      <c r="C70" s="125" t="s">
        <v>15</v>
      </c>
      <c r="D70" s="125" t="s">
        <v>17</v>
      </c>
      <c r="E70" s="125" t="s">
        <v>18</v>
      </c>
      <c r="F70" s="125" t="s">
        <v>12</v>
      </c>
      <c r="G70" s="126">
        <v>5</v>
      </c>
      <c r="H70" s="126">
        <v>4</v>
      </c>
      <c r="I70" s="125">
        <f t="shared" si="1"/>
        <v>4.5</v>
      </c>
      <c r="J70" s="117"/>
      <c r="K70" s="117"/>
      <c r="L70" s="117"/>
      <c r="M70" s="117"/>
      <c r="N70" s="117"/>
      <c r="O70" s="117"/>
      <c r="P70" s="117"/>
    </row>
    <row r="71" spans="1:16" ht="30.75" thickBot="1">
      <c r="A71" s="124" t="s">
        <v>86</v>
      </c>
      <c r="B71" s="125" t="s">
        <v>87</v>
      </c>
      <c r="C71" s="125" t="s">
        <v>21</v>
      </c>
      <c r="D71" s="125" t="s">
        <v>55</v>
      </c>
      <c r="E71" s="125" t="s">
        <v>80</v>
      </c>
      <c r="F71" s="125" t="s">
        <v>12</v>
      </c>
      <c r="G71" s="126">
        <v>7</v>
      </c>
      <c r="H71" s="126">
        <v>7</v>
      </c>
      <c r="I71" s="125">
        <f t="shared" si="1"/>
        <v>7</v>
      </c>
      <c r="J71" s="117"/>
      <c r="K71" s="117"/>
      <c r="L71" s="117"/>
      <c r="M71" s="117"/>
      <c r="N71" s="117"/>
      <c r="O71" s="117"/>
      <c r="P71" s="117"/>
    </row>
    <row r="72" spans="1:16" ht="30.75" thickBot="1">
      <c r="A72" s="124" t="s">
        <v>47</v>
      </c>
      <c r="B72" s="125" t="s">
        <v>32</v>
      </c>
      <c r="C72" s="125" t="s">
        <v>25</v>
      </c>
      <c r="D72" s="125" t="s">
        <v>10</v>
      </c>
      <c r="E72" s="125" t="s">
        <v>27</v>
      </c>
      <c r="F72" s="125" t="s">
        <v>30</v>
      </c>
      <c r="G72" s="126">
        <v>8</v>
      </c>
      <c r="H72" s="126">
        <v>9</v>
      </c>
      <c r="I72" s="125">
        <f t="shared" si="1"/>
        <v>8.5</v>
      </c>
      <c r="J72" s="117"/>
      <c r="K72" s="117"/>
      <c r="L72" s="117"/>
      <c r="M72" s="117"/>
      <c r="N72" s="117"/>
      <c r="O72" s="117"/>
      <c r="P72" s="117"/>
    </row>
    <row r="73" spans="1:16" ht="30.75" thickBot="1">
      <c r="A73" s="124" t="s">
        <v>59</v>
      </c>
      <c r="B73" s="125" t="s">
        <v>13</v>
      </c>
      <c r="C73" s="125" t="s">
        <v>15</v>
      </c>
      <c r="D73" s="125" t="s">
        <v>17</v>
      </c>
      <c r="E73" s="125" t="s">
        <v>18</v>
      </c>
      <c r="F73" s="125" t="s">
        <v>12</v>
      </c>
      <c r="G73" s="126">
        <v>3</v>
      </c>
      <c r="H73" s="126">
        <v>5</v>
      </c>
      <c r="I73" s="125">
        <f t="shared" si="1"/>
        <v>4</v>
      </c>
      <c r="J73" s="117"/>
      <c r="K73" s="117"/>
      <c r="L73" s="117"/>
      <c r="M73" s="117"/>
      <c r="N73" s="117"/>
      <c r="O73" s="117"/>
      <c r="P73" s="117"/>
    </row>
    <row r="74" spans="1:16" ht="30.75" thickBot="1">
      <c r="A74" s="124" t="s">
        <v>94</v>
      </c>
      <c r="B74" s="125" t="s">
        <v>13</v>
      </c>
      <c r="C74" s="125" t="s">
        <v>15</v>
      </c>
      <c r="D74" s="125" t="s">
        <v>10</v>
      </c>
      <c r="E74" s="125" t="s">
        <v>27</v>
      </c>
      <c r="F74" s="125" t="s">
        <v>30</v>
      </c>
      <c r="G74" s="126">
        <v>8</v>
      </c>
      <c r="H74" s="126">
        <v>10</v>
      </c>
      <c r="I74" s="125">
        <f t="shared" si="1"/>
        <v>9</v>
      </c>
      <c r="J74" s="117"/>
      <c r="K74" s="117"/>
      <c r="L74" s="117"/>
      <c r="M74" s="117"/>
      <c r="N74" s="117"/>
      <c r="O74" s="117"/>
      <c r="P74" s="117"/>
    </row>
    <row r="75" spans="1:16" ht="30.75" thickBot="1">
      <c r="A75" s="124" t="s">
        <v>46</v>
      </c>
      <c r="B75" s="125" t="s">
        <v>13</v>
      </c>
      <c r="C75" s="125" t="s">
        <v>21</v>
      </c>
      <c r="D75" s="125" t="s">
        <v>17</v>
      </c>
      <c r="E75" s="125" t="s">
        <v>23</v>
      </c>
      <c r="F75" s="125" t="s">
        <v>12</v>
      </c>
      <c r="G75" s="126">
        <v>5</v>
      </c>
      <c r="H75" s="126">
        <v>7</v>
      </c>
      <c r="I75" s="125">
        <f t="shared" si="1"/>
        <v>6</v>
      </c>
      <c r="J75" s="117"/>
      <c r="K75" s="117"/>
      <c r="L75" s="117"/>
      <c r="M75" s="117"/>
      <c r="N75" s="117"/>
      <c r="O75" s="117"/>
      <c r="P75" s="117"/>
    </row>
    <row r="76" spans="1:16" ht="30.75" thickBot="1">
      <c r="A76" s="124" t="s">
        <v>116</v>
      </c>
      <c r="B76" s="125" t="s">
        <v>13</v>
      </c>
      <c r="C76" s="125" t="s">
        <v>21</v>
      </c>
      <c r="D76" s="125" t="s">
        <v>10</v>
      </c>
      <c r="E76" s="125" t="s">
        <v>27</v>
      </c>
      <c r="F76" s="125" t="s">
        <v>30</v>
      </c>
      <c r="G76" s="126">
        <v>6</v>
      </c>
      <c r="H76" s="126">
        <v>6</v>
      </c>
      <c r="I76" s="125">
        <f t="shared" si="1"/>
        <v>6</v>
      </c>
      <c r="J76" s="117"/>
      <c r="K76" s="117"/>
      <c r="L76" s="117"/>
      <c r="M76" s="117"/>
      <c r="N76" s="117"/>
      <c r="O76" s="117"/>
      <c r="P76" s="117"/>
    </row>
    <row r="77" spans="1:16" ht="30.75" thickBot="1">
      <c r="A77" s="124" t="s">
        <v>14</v>
      </c>
      <c r="B77" s="125" t="s">
        <v>13</v>
      </c>
      <c r="C77" s="125" t="s">
        <v>15</v>
      </c>
      <c r="D77" s="125" t="s">
        <v>10</v>
      </c>
      <c r="E77" s="125" t="s">
        <v>11</v>
      </c>
      <c r="F77" s="125" t="s">
        <v>12</v>
      </c>
      <c r="G77" s="126">
        <v>3</v>
      </c>
      <c r="H77" s="126">
        <v>6</v>
      </c>
      <c r="I77" s="125">
        <f t="shared" si="1"/>
        <v>4.5</v>
      </c>
      <c r="J77" s="117"/>
      <c r="K77" s="117"/>
      <c r="L77" s="117"/>
      <c r="M77" s="117"/>
      <c r="N77" s="117"/>
      <c r="O77" s="117"/>
      <c r="P77" s="117"/>
    </row>
    <row r="78" spans="1:16" ht="30.75" thickBot="1">
      <c r="A78" s="124" t="s">
        <v>22</v>
      </c>
      <c r="B78" s="125" t="s">
        <v>13</v>
      </c>
      <c r="C78" s="125" t="s">
        <v>9</v>
      </c>
      <c r="D78" s="125" t="s">
        <v>17</v>
      </c>
      <c r="E78" s="125" t="s">
        <v>23</v>
      </c>
      <c r="F78" s="125" t="s">
        <v>12</v>
      </c>
      <c r="G78" s="126">
        <v>8</v>
      </c>
      <c r="H78" s="126">
        <v>10</v>
      </c>
      <c r="I78" s="125">
        <f t="shared" si="1"/>
        <v>9</v>
      </c>
      <c r="J78" s="117"/>
      <c r="K78" s="117"/>
      <c r="L78" s="117"/>
      <c r="M78" s="117"/>
      <c r="N78" s="117"/>
      <c r="O78" s="117"/>
      <c r="P78" s="117"/>
    </row>
    <row r="79" spans="1:16" ht="30.75" thickBot="1">
      <c r="A79" s="124" t="s">
        <v>71</v>
      </c>
      <c r="B79" s="125" t="s">
        <v>72</v>
      </c>
      <c r="C79" s="125" t="s">
        <v>21</v>
      </c>
      <c r="D79" s="125" t="s">
        <v>17</v>
      </c>
      <c r="E79" s="125" t="s">
        <v>18</v>
      </c>
      <c r="F79" s="125" t="s">
        <v>12</v>
      </c>
      <c r="G79" s="126">
        <v>5</v>
      </c>
      <c r="H79" s="126">
        <v>7</v>
      </c>
      <c r="I79" s="125">
        <f t="shared" si="1"/>
        <v>6</v>
      </c>
      <c r="J79" s="117"/>
      <c r="K79" s="117"/>
      <c r="L79" s="117"/>
      <c r="M79" s="117"/>
      <c r="N79" s="117"/>
      <c r="O79" s="117"/>
      <c r="P79" s="117"/>
    </row>
    <row r="80" spans="1:16" ht="30.75" thickBot="1">
      <c r="A80" s="124" t="s">
        <v>131</v>
      </c>
      <c r="B80" s="125" t="s">
        <v>13</v>
      </c>
      <c r="C80" s="125" t="s">
        <v>21</v>
      </c>
      <c r="D80" s="125" t="s">
        <v>10</v>
      </c>
      <c r="E80" s="125" t="s">
        <v>11</v>
      </c>
      <c r="F80" s="125" t="s">
        <v>30</v>
      </c>
      <c r="G80" s="126">
        <v>8</v>
      </c>
      <c r="H80" s="126">
        <v>9</v>
      </c>
      <c r="I80" s="125">
        <f t="shared" si="1"/>
        <v>8.5</v>
      </c>
      <c r="J80" s="117"/>
      <c r="K80" s="117"/>
      <c r="L80" s="117"/>
      <c r="M80" s="117"/>
      <c r="N80" s="117"/>
      <c r="O80" s="117"/>
      <c r="P80" s="117"/>
    </row>
    <row r="81" spans="1:16" ht="30.75" thickBot="1">
      <c r="A81" s="124" t="s">
        <v>66</v>
      </c>
      <c r="B81" s="125" t="s">
        <v>13</v>
      </c>
      <c r="C81" s="125" t="s">
        <v>21</v>
      </c>
      <c r="D81" s="125" t="s">
        <v>17</v>
      </c>
      <c r="E81" s="125" t="s">
        <v>18</v>
      </c>
      <c r="F81" s="125" t="s">
        <v>30</v>
      </c>
      <c r="G81" s="126">
        <v>4</v>
      </c>
      <c r="H81" s="126">
        <v>5</v>
      </c>
      <c r="I81" s="125">
        <f t="shared" si="1"/>
        <v>4.5</v>
      </c>
      <c r="J81" s="117"/>
      <c r="K81" s="117"/>
      <c r="L81" s="117"/>
      <c r="M81" s="117"/>
      <c r="N81" s="117"/>
      <c r="O81" s="117"/>
      <c r="P81" s="117"/>
    </row>
    <row r="82" spans="1:16" ht="30.75" thickBot="1">
      <c r="A82" s="124" t="s">
        <v>99</v>
      </c>
      <c r="B82" s="125" t="s">
        <v>13</v>
      </c>
      <c r="C82" s="125" t="s">
        <v>25</v>
      </c>
      <c r="D82" s="125" t="s">
        <v>17</v>
      </c>
      <c r="E82" s="125" t="s">
        <v>18</v>
      </c>
      <c r="F82" s="125" t="s">
        <v>30</v>
      </c>
      <c r="G82" s="126">
        <v>9</v>
      </c>
      <c r="H82" s="126">
        <v>9</v>
      </c>
      <c r="I82" s="125">
        <f t="shared" si="1"/>
        <v>9</v>
      </c>
      <c r="J82" s="117"/>
      <c r="K82" s="117"/>
      <c r="L82" s="117"/>
      <c r="M82" s="117"/>
      <c r="N82" s="117"/>
      <c r="O82" s="117"/>
      <c r="P82" s="117"/>
    </row>
    <row r="83" spans="1:16" ht="45.75" thickBot="1">
      <c r="A83" s="124" t="s">
        <v>114</v>
      </c>
      <c r="B83" s="129" t="s">
        <v>115</v>
      </c>
      <c r="C83" s="125" t="s">
        <v>54</v>
      </c>
      <c r="D83" s="125" t="s">
        <v>55</v>
      </c>
      <c r="E83" s="125" t="s">
        <v>56</v>
      </c>
      <c r="F83" s="125" t="s">
        <v>12</v>
      </c>
      <c r="G83" s="126">
        <v>6</v>
      </c>
      <c r="H83" s="126">
        <v>10</v>
      </c>
      <c r="I83" s="125">
        <f t="shared" si="1"/>
        <v>8</v>
      </c>
      <c r="J83" s="117"/>
      <c r="K83" s="117"/>
      <c r="L83" s="117"/>
      <c r="M83" s="117"/>
      <c r="N83" s="117"/>
      <c r="O83" s="117"/>
      <c r="P83" s="117"/>
    </row>
    <row r="84" spans="1:16" ht="30.75" thickBot="1">
      <c r="A84" s="124" t="s">
        <v>58</v>
      </c>
      <c r="B84" s="125" t="s">
        <v>28</v>
      </c>
      <c r="C84" s="125" t="s">
        <v>21</v>
      </c>
      <c r="D84" s="125" t="s">
        <v>10</v>
      </c>
      <c r="E84" s="125" t="s">
        <v>11</v>
      </c>
      <c r="F84" s="125" t="s">
        <v>12</v>
      </c>
      <c r="G84" s="126">
        <v>3</v>
      </c>
      <c r="H84" s="126">
        <v>9</v>
      </c>
      <c r="I84" s="125">
        <f t="shared" si="1"/>
        <v>6</v>
      </c>
      <c r="J84" s="117"/>
      <c r="K84" s="117"/>
      <c r="L84" s="117"/>
      <c r="M84" s="117"/>
      <c r="N84" s="117"/>
      <c r="O84" s="117"/>
      <c r="P84" s="117"/>
    </row>
    <row r="85" spans="1:16" ht="30.75" thickBot="1">
      <c r="A85" s="124" t="s">
        <v>117</v>
      </c>
      <c r="B85" s="125" t="s">
        <v>13</v>
      </c>
      <c r="C85" s="125" t="s">
        <v>25</v>
      </c>
      <c r="D85" s="125" t="s">
        <v>17</v>
      </c>
      <c r="E85" s="125" t="s">
        <v>18</v>
      </c>
      <c r="F85" s="125" t="s">
        <v>12</v>
      </c>
      <c r="G85" s="126">
        <v>3</v>
      </c>
      <c r="H85" s="126">
        <v>7</v>
      </c>
      <c r="I85" s="125">
        <f t="shared" si="1"/>
        <v>5</v>
      </c>
      <c r="J85" s="117"/>
      <c r="K85" s="117"/>
      <c r="L85" s="117"/>
      <c r="M85" s="117"/>
      <c r="N85" s="117"/>
      <c r="O85" s="117"/>
      <c r="P85" s="117"/>
    </row>
    <row r="86" spans="1:16" ht="30.75" thickBot="1">
      <c r="A86" s="124" t="s">
        <v>65</v>
      </c>
      <c r="B86" s="125" t="s">
        <v>13</v>
      </c>
      <c r="C86" s="125" t="s">
        <v>21</v>
      </c>
      <c r="D86" s="125" t="s">
        <v>17</v>
      </c>
      <c r="E86" s="125" t="s">
        <v>18</v>
      </c>
      <c r="F86" s="125" t="s">
        <v>12</v>
      </c>
      <c r="G86" s="126">
        <v>7</v>
      </c>
      <c r="H86" s="126">
        <v>10</v>
      </c>
      <c r="I86" s="125">
        <f t="shared" si="1"/>
        <v>8.5</v>
      </c>
      <c r="J86" s="117"/>
      <c r="K86" s="117"/>
      <c r="L86" s="117"/>
      <c r="M86" s="117"/>
      <c r="N86" s="117"/>
      <c r="O86" s="117"/>
      <c r="P86" s="117"/>
    </row>
    <row r="87" spans="1:16" ht="30.75" thickBot="1">
      <c r="A87" s="124" t="s">
        <v>112</v>
      </c>
      <c r="B87" s="125" t="s">
        <v>13</v>
      </c>
      <c r="C87" s="125" t="s">
        <v>21</v>
      </c>
      <c r="D87" s="125" t="s">
        <v>17</v>
      </c>
      <c r="E87" s="125" t="s">
        <v>18</v>
      </c>
      <c r="F87" s="125" t="s">
        <v>12</v>
      </c>
      <c r="G87" s="126">
        <v>3</v>
      </c>
      <c r="H87" s="126">
        <v>7</v>
      </c>
      <c r="I87" s="125">
        <f t="shared" si="1"/>
        <v>5</v>
      </c>
      <c r="J87" s="117"/>
      <c r="K87" s="117"/>
      <c r="L87" s="117"/>
      <c r="M87" s="117"/>
      <c r="N87" s="117"/>
      <c r="O87" s="117"/>
      <c r="P87" s="117"/>
    </row>
    <row r="88" spans="1:16" ht="30.75" thickBot="1">
      <c r="A88" s="124" t="s">
        <v>135</v>
      </c>
      <c r="B88" s="125" t="s">
        <v>13</v>
      </c>
      <c r="C88" s="125" t="s">
        <v>21</v>
      </c>
      <c r="D88" s="125" t="s">
        <v>17</v>
      </c>
      <c r="E88" s="125" t="s">
        <v>23</v>
      </c>
      <c r="F88" s="125" t="s">
        <v>30</v>
      </c>
      <c r="G88" s="126">
        <v>7</v>
      </c>
      <c r="H88" s="126">
        <v>4</v>
      </c>
      <c r="I88" s="125">
        <f t="shared" si="1"/>
        <v>5.5</v>
      </c>
      <c r="J88" s="117"/>
      <c r="K88" s="117"/>
      <c r="L88" s="117"/>
      <c r="M88" s="117"/>
      <c r="N88" s="117"/>
      <c r="O88" s="117"/>
      <c r="P88" s="117"/>
    </row>
    <row r="89" spans="1:16" ht="30.75" thickBot="1">
      <c r="A89" s="124" t="s">
        <v>40</v>
      </c>
      <c r="B89" s="125" t="s">
        <v>13</v>
      </c>
      <c r="C89" s="125" t="s">
        <v>21</v>
      </c>
      <c r="D89" s="125" t="s">
        <v>17</v>
      </c>
      <c r="E89" s="125" t="s">
        <v>18</v>
      </c>
      <c r="F89" s="125" t="s">
        <v>30</v>
      </c>
      <c r="G89" s="126">
        <v>9</v>
      </c>
      <c r="H89" s="126">
        <v>5</v>
      </c>
      <c r="I89" s="125">
        <f t="shared" si="1"/>
        <v>7</v>
      </c>
      <c r="J89" s="117"/>
      <c r="K89" s="117"/>
      <c r="L89" s="117"/>
      <c r="M89" s="117"/>
      <c r="N89" s="117"/>
      <c r="O89" s="117"/>
      <c r="P89" s="117"/>
    </row>
    <row r="90" spans="1:16" ht="30.75" thickBot="1">
      <c r="A90" s="124" t="s">
        <v>19</v>
      </c>
      <c r="B90" s="125" t="s">
        <v>13</v>
      </c>
      <c r="C90" s="125" t="s">
        <v>21</v>
      </c>
      <c r="D90" s="125" t="s">
        <v>17</v>
      </c>
      <c r="E90" s="125" t="s">
        <v>18</v>
      </c>
      <c r="F90" s="125" t="s">
        <v>12</v>
      </c>
      <c r="G90" s="126">
        <v>3</v>
      </c>
      <c r="H90" s="126">
        <v>6</v>
      </c>
      <c r="I90" s="125">
        <f t="shared" si="1"/>
        <v>4.5</v>
      </c>
      <c r="J90" s="117"/>
      <c r="K90" s="117"/>
      <c r="L90" s="117"/>
      <c r="M90" s="117"/>
      <c r="N90" s="117"/>
      <c r="O90" s="117"/>
      <c r="P90" s="117"/>
    </row>
    <row r="91" spans="1:16" ht="30.75" thickBot="1">
      <c r="A91" s="124" t="s">
        <v>70</v>
      </c>
      <c r="B91" s="125" t="s">
        <v>13</v>
      </c>
      <c r="C91" s="125" t="s">
        <v>21</v>
      </c>
      <c r="D91" s="125" t="s">
        <v>10</v>
      </c>
      <c r="E91" s="125" t="s">
        <v>11</v>
      </c>
      <c r="F91" s="125" t="s">
        <v>30</v>
      </c>
      <c r="G91" s="126">
        <v>8</v>
      </c>
      <c r="H91" s="126">
        <v>7</v>
      </c>
      <c r="I91" s="125">
        <f t="shared" si="1"/>
        <v>7.5</v>
      </c>
      <c r="J91" s="117"/>
      <c r="K91" s="117"/>
      <c r="L91" s="117"/>
      <c r="M91" s="117"/>
      <c r="N91" s="117"/>
      <c r="O91" s="117"/>
      <c r="P91" s="117"/>
    </row>
    <row r="92" spans="1:16" ht="30.75" thickBot="1">
      <c r="A92" s="124" t="s">
        <v>104</v>
      </c>
      <c r="B92" s="125" t="s">
        <v>28</v>
      </c>
      <c r="C92" s="125" t="s">
        <v>21</v>
      </c>
      <c r="D92" s="125" t="s">
        <v>10</v>
      </c>
      <c r="E92" s="125" t="s">
        <v>11</v>
      </c>
      <c r="F92" s="125" t="s">
        <v>12</v>
      </c>
      <c r="G92" s="126">
        <v>7</v>
      </c>
      <c r="H92" s="126">
        <v>10</v>
      </c>
      <c r="I92" s="125">
        <f t="shared" si="1"/>
        <v>8.5</v>
      </c>
      <c r="J92" s="117"/>
      <c r="K92" s="117"/>
      <c r="L92" s="117"/>
      <c r="M92" s="117"/>
      <c r="N92" s="117"/>
      <c r="O92" s="117"/>
      <c r="P92" s="117"/>
    </row>
    <row r="93" spans="1:16" ht="30.75" thickBot="1">
      <c r="A93" s="124" t="s">
        <v>128</v>
      </c>
      <c r="B93" s="125" t="s">
        <v>13</v>
      </c>
      <c r="C93" s="125" t="s">
        <v>9</v>
      </c>
      <c r="D93" s="125" t="s">
        <v>10</v>
      </c>
      <c r="E93" s="125" t="s">
        <v>11</v>
      </c>
      <c r="F93" s="125" t="s">
        <v>30</v>
      </c>
      <c r="G93" s="126">
        <v>3</v>
      </c>
      <c r="H93" s="126">
        <v>9</v>
      </c>
      <c r="I93" s="125">
        <f t="shared" si="1"/>
        <v>6</v>
      </c>
      <c r="J93" s="117"/>
      <c r="K93" s="117"/>
      <c r="L93" s="117"/>
      <c r="M93" s="117"/>
      <c r="N93" s="117"/>
      <c r="O93" s="117"/>
      <c r="P93" s="117"/>
    </row>
    <row r="94" spans="1:16" ht="30.75" thickBot="1">
      <c r="A94" s="124" t="s">
        <v>53</v>
      </c>
      <c r="B94" s="125" t="s">
        <v>28</v>
      </c>
      <c r="C94" s="125" t="s">
        <v>54</v>
      </c>
      <c r="D94" s="125" t="s">
        <v>55</v>
      </c>
      <c r="E94" s="125" t="s">
        <v>56</v>
      </c>
      <c r="F94" s="125" t="s">
        <v>12</v>
      </c>
      <c r="G94" s="126">
        <v>6</v>
      </c>
      <c r="H94" s="126">
        <v>5</v>
      </c>
      <c r="I94" s="125">
        <f t="shared" si="1"/>
        <v>5.5</v>
      </c>
      <c r="J94" s="117"/>
      <c r="K94" s="117"/>
      <c r="L94" s="117"/>
      <c r="M94" s="117"/>
      <c r="N94" s="117"/>
      <c r="O94" s="117"/>
      <c r="P94" s="117"/>
    </row>
    <row r="95" spans="1:16" ht="30.75" thickBot="1">
      <c r="A95" s="124" t="s">
        <v>51</v>
      </c>
      <c r="B95" s="125" t="s">
        <v>13</v>
      </c>
      <c r="C95" s="125" t="s">
        <v>21</v>
      </c>
      <c r="D95" s="125" t="s">
        <v>10</v>
      </c>
      <c r="E95" s="125" t="s">
        <v>11</v>
      </c>
      <c r="F95" s="125" t="s">
        <v>12</v>
      </c>
      <c r="G95" s="126">
        <v>8</v>
      </c>
      <c r="H95" s="126">
        <v>7</v>
      </c>
      <c r="I95" s="125">
        <f t="shared" si="1"/>
        <v>7.5</v>
      </c>
      <c r="J95" s="117"/>
      <c r="K95" s="117"/>
      <c r="L95" s="117"/>
      <c r="M95" s="117"/>
      <c r="N95" s="117"/>
      <c r="O95" s="117"/>
      <c r="P95" s="117"/>
    </row>
    <row r="96" spans="1:16" ht="30.75" thickBot="1">
      <c r="A96" s="124" t="s">
        <v>63</v>
      </c>
      <c r="B96" s="125" t="s">
        <v>13</v>
      </c>
      <c r="C96" s="125" t="s">
        <v>21</v>
      </c>
      <c r="D96" s="125" t="s">
        <v>17</v>
      </c>
      <c r="E96" s="125" t="s">
        <v>18</v>
      </c>
      <c r="F96" s="125" t="s">
        <v>30</v>
      </c>
      <c r="G96" s="126">
        <v>3</v>
      </c>
      <c r="H96" s="126">
        <v>6</v>
      </c>
      <c r="I96" s="125">
        <f t="shared" si="1"/>
        <v>4.5</v>
      </c>
      <c r="J96" s="117"/>
      <c r="K96" s="117"/>
      <c r="L96" s="117"/>
      <c r="M96" s="117"/>
      <c r="N96" s="117"/>
      <c r="O96" s="117"/>
      <c r="P96" s="117"/>
    </row>
    <row r="97" spans="1:101" ht="30.75" thickBot="1">
      <c r="A97" s="124" t="s">
        <v>76</v>
      </c>
      <c r="B97" s="125" t="s">
        <v>77</v>
      </c>
      <c r="C97" s="125" t="s">
        <v>21</v>
      </c>
      <c r="D97" s="125" t="s">
        <v>17</v>
      </c>
      <c r="E97" s="125" t="s">
        <v>18</v>
      </c>
      <c r="F97" s="125" t="s">
        <v>30</v>
      </c>
      <c r="G97" s="126">
        <v>6</v>
      </c>
      <c r="H97" s="126">
        <v>5</v>
      </c>
      <c r="I97" s="125">
        <f t="shared" si="1"/>
        <v>5.5</v>
      </c>
      <c r="J97" s="117"/>
      <c r="K97" s="117"/>
      <c r="L97" s="117"/>
      <c r="M97" s="117"/>
      <c r="N97" s="117"/>
      <c r="O97" s="117"/>
      <c r="P97" s="117"/>
    </row>
    <row r="98" spans="1:101" ht="30.75" thickBot="1">
      <c r="A98" s="124" t="s">
        <v>134</v>
      </c>
      <c r="B98" s="125" t="s">
        <v>13</v>
      </c>
      <c r="C98" s="125" t="s">
        <v>21</v>
      </c>
      <c r="D98" s="125" t="s">
        <v>10</v>
      </c>
      <c r="E98" s="125" t="s">
        <v>27</v>
      </c>
      <c r="F98" s="125" t="s">
        <v>12</v>
      </c>
      <c r="G98" s="126">
        <v>7</v>
      </c>
      <c r="H98" s="126">
        <v>9</v>
      </c>
      <c r="I98" s="125">
        <f t="shared" si="1"/>
        <v>8</v>
      </c>
      <c r="J98" s="117"/>
      <c r="K98" s="117"/>
      <c r="L98" s="117"/>
      <c r="M98" s="117"/>
      <c r="N98" s="117"/>
      <c r="O98" s="117"/>
      <c r="P98" s="117"/>
    </row>
    <row r="99" spans="1:101" ht="30.75" thickBot="1">
      <c r="A99" s="124" t="s">
        <v>52</v>
      </c>
      <c r="B99" s="125" t="s">
        <v>13</v>
      </c>
      <c r="C99" s="125" t="s">
        <v>21</v>
      </c>
      <c r="D99" s="125" t="s">
        <v>10</v>
      </c>
      <c r="E99" s="125" t="s">
        <v>27</v>
      </c>
      <c r="F99" s="125" t="s">
        <v>12</v>
      </c>
      <c r="G99" s="126">
        <v>6</v>
      </c>
      <c r="H99" s="126">
        <v>10</v>
      </c>
      <c r="I99" s="125">
        <f t="shared" si="1"/>
        <v>8</v>
      </c>
      <c r="J99" s="117"/>
      <c r="K99" s="117"/>
      <c r="L99" s="117"/>
      <c r="M99" s="117"/>
      <c r="N99" s="117"/>
      <c r="O99" s="117"/>
      <c r="P99" s="117"/>
    </row>
    <row r="100" spans="1:101" ht="30.75" thickBot="1">
      <c r="A100" s="124" t="s">
        <v>69</v>
      </c>
      <c r="B100" s="125" t="s">
        <v>32</v>
      </c>
      <c r="C100" s="125" t="s">
        <v>21</v>
      </c>
      <c r="D100" s="125" t="s">
        <v>10</v>
      </c>
      <c r="E100" s="125" t="s">
        <v>27</v>
      </c>
      <c r="F100" s="125" t="s">
        <v>12</v>
      </c>
      <c r="G100" s="126">
        <v>3</v>
      </c>
      <c r="H100" s="126">
        <v>9</v>
      </c>
      <c r="I100" s="125">
        <f t="shared" si="1"/>
        <v>6</v>
      </c>
      <c r="J100" s="117"/>
      <c r="K100" s="117"/>
      <c r="L100" s="117"/>
      <c r="M100" s="117"/>
      <c r="N100" s="117"/>
      <c r="O100" s="117"/>
      <c r="P100" s="117"/>
    </row>
    <row r="101" spans="1:101" ht="30.75" thickBot="1">
      <c r="A101" s="124" t="s">
        <v>83</v>
      </c>
      <c r="B101" s="125" t="s">
        <v>13</v>
      </c>
      <c r="C101" s="125" t="s">
        <v>21</v>
      </c>
      <c r="D101" s="125" t="s">
        <v>10</v>
      </c>
      <c r="E101" s="125" t="s">
        <v>11</v>
      </c>
      <c r="F101" s="125" t="s">
        <v>12</v>
      </c>
      <c r="G101" s="126">
        <v>4</v>
      </c>
      <c r="H101" s="126">
        <v>10</v>
      </c>
      <c r="I101" s="125">
        <f t="shared" si="1"/>
        <v>7</v>
      </c>
      <c r="J101" s="117"/>
      <c r="K101" s="117"/>
      <c r="L101" s="117"/>
      <c r="M101" s="117"/>
      <c r="N101" s="117"/>
      <c r="O101" s="117"/>
      <c r="P101" s="117"/>
    </row>
    <row r="102" spans="1:101" ht="30.75" thickBot="1">
      <c r="A102" s="124" t="s">
        <v>75</v>
      </c>
      <c r="B102" s="125" t="s">
        <v>13</v>
      </c>
      <c r="C102" s="125" t="s">
        <v>21</v>
      </c>
      <c r="D102" s="125" t="s">
        <v>10</v>
      </c>
      <c r="E102" s="125" t="s">
        <v>27</v>
      </c>
      <c r="F102" s="125" t="s">
        <v>12</v>
      </c>
      <c r="G102" s="126">
        <v>4</v>
      </c>
      <c r="H102" s="126">
        <v>10</v>
      </c>
      <c r="I102" s="125">
        <f t="shared" si="1"/>
        <v>7</v>
      </c>
      <c r="J102" s="117"/>
      <c r="K102" s="117"/>
      <c r="L102" s="117"/>
      <c r="M102" s="117"/>
      <c r="N102" s="117"/>
      <c r="O102" s="117"/>
      <c r="P102" s="117"/>
    </row>
    <row r="103" spans="1:101" ht="30.75" thickBot="1">
      <c r="A103" s="124" t="s">
        <v>92</v>
      </c>
      <c r="B103" s="125" t="s">
        <v>13</v>
      </c>
      <c r="C103" s="125" t="s">
        <v>21</v>
      </c>
      <c r="D103" s="125" t="s">
        <v>17</v>
      </c>
      <c r="E103" s="125" t="s">
        <v>23</v>
      </c>
      <c r="F103" s="125" t="s">
        <v>12</v>
      </c>
      <c r="G103" s="126">
        <v>5</v>
      </c>
      <c r="H103" s="126">
        <v>10</v>
      </c>
      <c r="I103" s="125">
        <f t="shared" si="1"/>
        <v>7.5</v>
      </c>
      <c r="J103" s="117"/>
      <c r="K103" s="117"/>
      <c r="L103" s="117"/>
      <c r="M103" s="117"/>
      <c r="N103" s="117"/>
      <c r="O103" s="117"/>
      <c r="P103" s="117"/>
    </row>
    <row r="105" spans="1:101" ht="15.75" thickBot="1">
      <c r="B105" s="302" t="s">
        <v>285</v>
      </c>
      <c r="C105" s="302"/>
      <c r="D105" s="302"/>
      <c r="E105" s="302"/>
      <c r="F105" s="302"/>
      <c r="G105" s="302"/>
      <c r="H105" s="302"/>
      <c r="I105" s="302"/>
      <c r="J105" s="302"/>
      <c r="K105" s="302"/>
    </row>
    <row r="106" spans="1:101" ht="30.75" thickBot="1">
      <c r="A106" s="121" t="s">
        <v>0</v>
      </c>
      <c r="B106" s="124" t="s">
        <v>57</v>
      </c>
      <c r="C106" s="124" t="s">
        <v>98</v>
      </c>
      <c r="D106" s="124" t="s">
        <v>118</v>
      </c>
      <c r="E106" s="124" t="s">
        <v>60</v>
      </c>
      <c r="F106" s="124" t="s">
        <v>8</v>
      </c>
      <c r="G106" s="124" t="s">
        <v>125</v>
      </c>
      <c r="H106" s="124" t="s">
        <v>74</v>
      </c>
      <c r="I106" s="124" t="s">
        <v>29</v>
      </c>
      <c r="J106" s="124" t="s">
        <v>107</v>
      </c>
      <c r="K106" s="124" t="s">
        <v>108</v>
      </c>
      <c r="L106" s="124" t="s">
        <v>129</v>
      </c>
      <c r="M106" s="124" t="s">
        <v>93</v>
      </c>
      <c r="N106" s="124" t="s">
        <v>16</v>
      </c>
      <c r="O106" s="124" t="s">
        <v>34</v>
      </c>
      <c r="P106" s="124" t="s">
        <v>45</v>
      </c>
      <c r="Q106" s="124" t="s">
        <v>64</v>
      </c>
      <c r="R106" s="124" t="s">
        <v>90</v>
      </c>
      <c r="S106" s="124" t="s">
        <v>105</v>
      </c>
      <c r="T106" s="124" t="s">
        <v>68</v>
      </c>
      <c r="U106" s="124" t="s">
        <v>126</v>
      </c>
      <c r="V106" s="124" t="s">
        <v>62</v>
      </c>
      <c r="W106" s="124" t="s">
        <v>97</v>
      </c>
      <c r="X106" s="124" t="s">
        <v>101</v>
      </c>
      <c r="Y106" s="124" t="s">
        <v>103</v>
      </c>
      <c r="Z106" s="124" t="s">
        <v>35</v>
      </c>
      <c r="AA106" s="124" t="s">
        <v>61</v>
      </c>
      <c r="AB106" s="124" t="s">
        <v>124</v>
      </c>
      <c r="AC106" s="124" t="s">
        <v>33</v>
      </c>
      <c r="AD106" s="124" t="s">
        <v>85</v>
      </c>
      <c r="AE106" s="124" t="s">
        <v>110</v>
      </c>
      <c r="AF106" s="124" t="s">
        <v>132</v>
      </c>
      <c r="AG106" s="124" t="s">
        <v>91</v>
      </c>
      <c r="AH106" s="124" t="s">
        <v>109</v>
      </c>
      <c r="AI106" s="124" t="s">
        <v>127</v>
      </c>
      <c r="AJ106" s="124" t="s">
        <v>48</v>
      </c>
      <c r="AK106" s="124" t="s">
        <v>79</v>
      </c>
      <c r="AL106" s="124" t="s">
        <v>113</v>
      </c>
      <c r="AM106" s="124" t="s">
        <v>36</v>
      </c>
      <c r="AN106" s="124" t="s">
        <v>44</v>
      </c>
      <c r="AO106" s="124" t="s">
        <v>100</v>
      </c>
      <c r="AP106" s="124" t="s">
        <v>42</v>
      </c>
      <c r="AQ106" s="124" t="s">
        <v>39</v>
      </c>
      <c r="AR106" s="124" t="s">
        <v>120</v>
      </c>
      <c r="AS106" s="124" t="s">
        <v>43</v>
      </c>
      <c r="AT106" s="124" t="s">
        <v>106</v>
      </c>
      <c r="AU106" s="124" t="s">
        <v>122</v>
      </c>
      <c r="AV106" s="124" t="s">
        <v>121</v>
      </c>
      <c r="AW106" s="124" t="s">
        <v>78</v>
      </c>
      <c r="AX106" s="124" t="s">
        <v>82</v>
      </c>
      <c r="AY106" s="124" t="s">
        <v>95</v>
      </c>
      <c r="AZ106" s="124" t="s">
        <v>31</v>
      </c>
      <c r="BA106" s="124" t="s">
        <v>111</v>
      </c>
      <c r="BB106" s="124" t="s">
        <v>81</v>
      </c>
      <c r="BC106" s="124" t="s">
        <v>50</v>
      </c>
      <c r="BD106" s="124" t="s">
        <v>123</v>
      </c>
      <c r="BE106" s="124" t="s">
        <v>26</v>
      </c>
      <c r="BF106" s="124" t="s">
        <v>41</v>
      </c>
      <c r="BG106" s="124" t="s">
        <v>73</v>
      </c>
      <c r="BH106" s="124" t="s">
        <v>88</v>
      </c>
      <c r="BI106" s="124" t="s">
        <v>133</v>
      </c>
      <c r="BJ106" s="124" t="s">
        <v>67</v>
      </c>
      <c r="BK106" s="124" t="s">
        <v>84</v>
      </c>
      <c r="BL106" s="124" t="s">
        <v>38</v>
      </c>
      <c r="BM106" s="124" t="s">
        <v>24</v>
      </c>
      <c r="BN106" s="124" t="s">
        <v>37</v>
      </c>
      <c r="BO106" s="124" t="s">
        <v>49</v>
      </c>
      <c r="BP106" s="124" t="s">
        <v>119</v>
      </c>
      <c r="BQ106" s="124" t="s">
        <v>86</v>
      </c>
      <c r="BR106" s="124" t="s">
        <v>47</v>
      </c>
      <c r="BS106" s="124" t="s">
        <v>59</v>
      </c>
      <c r="BT106" s="124" t="s">
        <v>94</v>
      </c>
      <c r="BU106" s="124" t="s">
        <v>46</v>
      </c>
      <c r="BV106" s="124" t="s">
        <v>116</v>
      </c>
      <c r="BW106" s="124" t="s">
        <v>14</v>
      </c>
      <c r="BX106" s="124" t="s">
        <v>22</v>
      </c>
      <c r="BY106" s="124" t="s">
        <v>71</v>
      </c>
      <c r="BZ106" s="124" t="s">
        <v>131</v>
      </c>
      <c r="CA106" s="124" t="s">
        <v>66</v>
      </c>
      <c r="CB106" s="124" t="s">
        <v>99</v>
      </c>
      <c r="CC106" s="124" t="s">
        <v>114</v>
      </c>
      <c r="CD106" s="124" t="s">
        <v>58</v>
      </c>
      <c r="CE106" s="124" t="s">
        <v>117</v>
      </c>
      <c r="CF106" s="124" t="s">
        <v>65</v>
      </c>
      <c r="CG106" s="124" t="s">
        <v>112</v>
      </c>
      <c r="CH106" s="124" t="s">
        <v>135</v>
      </c>
      <c r="CI106" s="124" t="s">
        <v>40</v>
      </c>
      <c r="CJ106" s="124" t="s">
        <v>19</v>
      </c>
      <c r="CK106" s="124" t="s">
        <v>70</v>
      </c>
      <c r="CL106" s="124" t="s">
        <v>104</v>
      </c>
      <c r="CM106" s="124" t="s">
        <v>128</v>
      </c>
      <c r="CN106" s="124" t="s">
        <v>53</v>
      </c>
      <c r="CO106" s="124" t="s">
        <v>51</v>
      </c>
      <c r="CP106" s="124" t="s">
        <v>63</v>
      </c>
      <c r="CQ106" s="124" t="s">
        <v>76</v>
      </c>
      <c r="CR106" s="124" t="s">
        <v>134</v>
      </c>
      <c r="CS106" s="124" t="s">
        <v>52</v>
      </c>
      <c r="CT106" s="124" t="s">
        <v>69</v>
      </c>
      <c r="CU106" s="124" t="s">
        <v>83</v>
      </c>
      <c r="CV106" s="124" t="s">
        <v>75</v>
      </c>
      <c r="CW106" s="124" t="s">
        <v>92</v>
      </c>
    </row>
    <row r="107" spans="1:101" ht="45.75" thickBot="1">
      <c r="A107" s="122" t="s">
        <v>7</v>
      </c>
      <c r="B107" s="125" t="s">
        <v>13</v>
      </c>
      <c r="C107" s="125" t="s">
        <v>13</v>
      </c>
      <c r="D107" s="125" t="s">
        <v>13</v>
      </c>
      <c r="E107" s="125" t="s">
        <v>13</v>
      </c>
      <c r="F107" s="125" t="s">
        <v>13</v>
      </c>
      <c r="G107" s="125" t="s">
        <v>13</v>
      </c>
      <c r="H107" s="125" t="s">
        <v>13</v>
      </c>
      <c r="I107" s="125" t="s">
        <v>13</v>
      </c>
      <c r="J107" s="127" t="s">
        <v>13</v>
      </c>
      <c r="K107" s="125" t="s">
        <v>13</v>
      </c>
      <c r="L107" s="125" t="s">
        <v>130</v>
      </c>
      <c r="M107" s="125" t="s">
        <v>13</v>
      </c>
      <c r="N107" s="125" t="s">
        <v>13</v>
      </c>
      <c r="O107" s="125" t="s">
        <v>13</v>
      </c>
      <c r="P107" s="125" t="s">
        <v>13</v>
      </c>
      <c r="Q107" s="125" t="s">
        <v>13</v>
      </c>
      <c r="R107" s="125" t="s">
        <v>13</v>
      </c>
      <c r="S107" s="125" t="s">
        <v>13</v>
      </c>
      <c r="T107" s="125" t="s">
        <v>32</v>
      </c>
      <c r="U107" s="125" t="s">
        <v>13</v>
      </c>
      <c r="V107" s="125" t="s">
        <v>13</v>
      </c>
      <c r="W107" s="125" t="s">
        <v>13</v>
      </c>
      <c r="X107" s="125" t="s">
        <v>102</v>
      </c>
      <c r="Y107" s="125" t="s">
        <v>13</v>
      </c>
      <c r="Z107" s="125" t="s">
        <v>13</v>
      </c>
      <c r="AA107" s="125" t="s">
        <v>13</v>
      </c>
      <c r="AB107" s="125" t="s">
        <v>13</v>
      </c>
      <c r="AC107" s="125" t="s">
        <v>13</v>
      </c>
      <c r="AD107" s="125" t="s">
        <v>13</v>
      </c>
      <c r="AE107" s="127" t="s">
        <v>13</v>
      </c>
      <c r="AF107" s="125" t="s">
        <v>13</v>
      </c>
      <c r="AG107" s="125" t="s">
        <v>32</v>
      </c>
      <c r="AH107" s="125" t="s">
        <v>13</v>
      </c>
      <c r="AI107" s="125" t="s">
        <v>13</v>
      </c>
      <c r="AJ107" s="125" t="s">
        <v>13</v>
      </c>
      <c r="AK107" s="125" t="s">
        <v>13</v>
      </c>
      <c r="AL107" s="125" t="s">
        <v>13</v>
      </c>
      <c r="AM107" s="125" t="s">
        <v>13</v>
      </c>
      <c r="AN107" s="125" t="s">
        <v>13</v>
      </c>
      <c r="AO107" s="125" t="s">
        <v>13</v>
      </c>
      <c r="AP107" s="125" t="s">
        <v>13</v>
      </c>
      <c r="AQ107" s="125" t="s">
        <v>13</v>
      </c>
      <c r="AR107" s="125" t="s">
        <v>13</v>
      </c>
      <c r="AS107" s="125" t="s">
        <v>13</v>
      </c>
      <c r="AT107" s="125" t="s">
        <v>13</v>
      </c>
      <c r="AU107" s="125" t="s">
        <v>13</v>
      </c>
      <c r="AV107" s="125" t="s">
        <v>13</v>
      </c>
      <c r="AW107" s="125" t="s">
        <v>32</v>
      </c>
      <c r="AX107" s="125" t="s">
        <v>13</v>
      </c>
      <c r="AY107" s="125" t="s">
        <v>96</v>
      </c>
      <c r="AZ107" s="125" t="s">
        <v>32</v>
      </c>
      <c r="BA107" s="125" t="s">
        <v>72</v>
      </c>
      <c r="BB107" s="125" t="s">
        <v>13</v>
      </c>
      <c r="BC107" s="125" t="s">
        <v>13</v>
      </c>
      <c r="BD107" s="125" t="s">
        <v>13</v>
      </c>
      <c r="BE107" s="125" t="s">
        <v>28</v>
      </c>
      <c r="BF107" s="125" t="s">
        <v>13</v>
      </c>
      <c r="BG107" s="125" t="s">
        <v>13</v>
      </c>
      <c r="BH107" s="125" t="s">
        <v>89</v>
      </c>
      <c r="BI107" s="125" t="s">
        <v>13</v>
      </c>
      <c r="BJ107" s="125" t="s">
        <v>13</v>
      </c>
      <c r="BK107" s="125" t="s">
        <v>13</v>
      </c>
      <c r="BL107" s="125" t="s">
        <v>13</v>
      </c>
      <c r="BM107" s="125" t="s">
        <v>13</v>
      </c>
      <c r="BN107" s="125" t="s">
        <v>13</v>
      </c>
      <c r="BO107" s="125" t="s">
        <v>13</v>
      </c>
      <c r="BP107" s="125" t="s">
        <v>13</v>
      </c>
      <c r="BQ107" s="125" t="s">
        <v>87</v>
      </c>
      <c r="BR107" s="125" t="s">
        <v>32</v>
      </c>
      <c r="BS107" s="125" t="s">
        <v>13</v>
      </c>
      <c r="BT107" s="125" t="s">
        <v>13</v>
      </c>
      <c r="BU107" s="125" t="s">
        <v>13</v>
      </c>
      <c r="BV107" s="125" t="s">
        <v>13</v>
      </c>
      <c r="BW107" s="125" t="s">
        <v>13</v>
      </c>
      <c r="BX107" s="125" t="s">
        <v>13</v>
      </c>
      <c r="BY107" s="125" t="s">
        <v>72</v>
      </c>
      <c r="BZ107" s="125" t="s">
        <v>13</v>
      </c>
      <c r="CA107" s="125" t="s">
        <v>13</v>
      </c>
      <c r="CB107" s="125" t="s">
        <v>13</v>
      </c>
      <c r="CC107" s="129" t="s">
        <v>115</v>
      </c>
      <c r="CD107" s="125" t="s">
        <v>28</v>
      </c>
      <c r="CE107" s="125" t="s">
        <v>13</v>
      </c>
      <c r="CF107" s="125" t="s">
        <v>13</v>
      </c>
      <c r="CG107" s="125" t="s">
        <v>13</v>
      </c>
      <c r="CH107" s="125" t="s">
        <v>13</v>
      </c>
      <c r="CI107" s="125" t="s">
        <v>13</v>
      </c>
      <c r="CJ107" s="125" t="s">
        <v>13</v>
      </c>
      <c r="CK107" s="125" t="s">
        <v>13</v>
      </c>
      <c r="CL107" s="125" t="s">
        <v>28</v>
      </c>
      <c r="CM107" s="125" t="s">
        <v>13</v>
      </c>
      <c r="CN107" s="125" t="s">
        <v>28</v>
      </c>
      <c r="CO107" s="125" t="s">
        <v>13</v>
      </c>
      <c r="CP107" s="125" t="s">
        <v>13</v>
      </c>
      <c r="CQ107" s="125" t="s">
        <v>77</v>
      </c>
      <c r="CR107" s="125" t="s">
        <v>13</v>
      </c>
      <c r="CS107" s="125" t="s">
        <v>13</v>
      </c>
      <c r="CT107" s="125" t="s">
        <v>32</v>
      </c>
      <c r="CU107" s="125" t="s">
        <v>13</v>
      </c>
      <c r="CV107" s="125" t="s">
        <v>13</v>
      </c>
      <c r="CW107" s="125" t="s">
        <v>13</v>
      </c>
    </row>
    <row r="108" spans="1:101" ht="30.75" thickBot="1">
      <c r="A108" s="122" t="s">
        <v>3</v>
      </c>
      <c r="B108" s="125" t="s">
        <v>54</v>
      </c>
      <c r="C108" s="125" t="s">
        <v>21</v>
      </c>
      <c r="D108" s="125" t="s">
        <v>9</v>
      </c>
      <c r="E108" s="125" t="s">
        <v>21</v>
      </c>
      <c r="F108" s="125" t="s">
        <v>9</v>
      </c>
      <c r="G108" s="125" t="s">
        <v>21</v>
      </c>
      <c r="H108" s="125" t="s">
        <v>21</v>
      </c>
      <c r="I108" s="125" t="s">
        <v>21</v>
      </c>
      <c r="J108" s="127" t="s">
        <v>15</v>
      </c>
      <c r="K108" s="125" t="s">
        <v>25</v>
      </c>
      <c r="L108" s="125" t="s">
        <v>21</v>
      </c>
      <c r="M108" s="125" t="s">
        <v>21</v>
      </c>
      <c r="N108" s="125" t="s">
        <v>9</v>
      </c>
      <c r="O108" s="125" t="s">
        <v>21</v>
      </c>
      <c r="P108" s="125" t="s">
        <v>25</v>
      </c>
      <c r="Q108" s="125" t="s">
        <v>54</v>
      </c>
      <c r="R108" s="125" t="s">
        <v>21</v>
      </c>
      <c r="S108" s="125" t="s">
        <v>54</v>
      </c>
      <c r="T108" s="125" t="s">
        <v>25</v>
      </c>
      <c r="U108" s="125" t="s">
        <v>21</v>
      </c>
      <c r="V108" s="125" t="s">
        <v>21</v>
      </c>
      <c r="W108" s="125" t="s">
        <v>15</v>
      </c>
      <c r="X108" s="125" t="s">
        <v>25</v>
      </c>
      <c r="Y108" s="125" t="s">
        <v>15</v>
      </c>
      <c r="Z108" s="125" t="s">
        <v>21</v>
      </c>
      <c r="AA108" s="125" t="s">
        <v>25</v>
      </c>
      <c r="AB108" s="125" t="s">
        <v>21</v>
      </c>
      <c r="AC108" s="125" t="s">
        <v>25</v>
      </c>
      <c r="AD108" s="125" t="s">
        <v>21</v>
      </c>
      <c r="AE108" s="127" t="s">
        <v>25</v>
      </c>
      <c r="AF108" s="125" t="s">
        <v>15</v>
      </c>
      <c r="AG108" s="125" t="s">
        <v>25</v>
      </c>
      <c r="AH108" s="125" t="s">
        <v>21</v>
      </c>
      <c r="AI108" s="125" t="s">
        <v>25</v>
      </c>
      <c r="AJ108" s="125" t="s">
        <v>9</v>
      </c>
      <c r="AK108" s="125" t="s">
        <v>21</v>
      </c>
      <c r="AL108" s="125" t="s">
        <v>21</v>
      </c>
      <c r="AM108" s="125" t="s">
        <v>9</v>
      </c>
      <c r="AN108" s="125" t="s">
        <v>25</v>
      </c>
      <c r="AO108" s="125" t="s">
        <v>21</v>
      </c>
      <c r="AP108" s="125" t="s">
        <v>21</v>
      </c>
      <c r="AQ108" s="125" t="s">
        <v>21</v>
      </c>
      <c r="AR108" s="125" t="s">
        <v>25</v>
      </c>
      <c r="AS108" s="125" t="s">
        <v>21</v>
      </c>
      <c r="AT108" s="125" t="s">
        <v>21</v>
      </c>
      <c r="AU108" s="125" t="s">
        <v>25</v>
      </c>
      <c r="AV108" s="125" t="s">
        <v>25</v>
      </c>
      <c r="AW108" s="125" t="s">
        <v>21</v>
      </c>
      <c r="AX108" s="125" t="s">
        <v>9</v>
      </c>
      <c r="AY108" s="125" t="s">
        <v>21</v>
      </c>
      <c r="AZ108" s="125" t="s">
        <v>21</v>
      </c>
      <c r="BA108" s="125" t="s">
        <v>21</v>
      </c>
      <c r="BB108" s="125" t="s">
        <v>21</v>
      </c>
      <c r="BC108" s="125" t="s">
        <v>25</v>
      </c>
      <c r="BD108" s="125" t="s">
        <v>21</v>
      </c>
      <c r="BE108" s="125" t="s">
        <v>25</v>
      </c>
      <c r="BF108" s="125" t="s">
        <v>21</v>
      </c>
      <c r="BG108" s="125" t="s">
        <v>21</v>
      </c>
      <c r="BH108" s="125" t="s">
        <v>21</v>
      </c>
      <c r="BI108" s="125" t="s">
        <v>54</v>
      </c>
      <c r="BJ108" s="125" t="s">
        <v>25</v>
      </c>
      <c r="BK108" s="125" t="s">
        <v>21</v>
      </c>
      <c r="BL108" s="125" t="s">
        <v>25</v>
      </c>
      <c r="BM108" s="125" t="s">
        <v>25</v>
      </c>
      <c r="BN108" s="125" t="s">
        <v>21</v>
      </c>
      <c r="BO108" s="125" t="s">
        <v>21</v>
      </c>
      <c r="BP108" s="125" t="s">
        <v>15</v>
      </c>
      <c r="BQ108" s="125" t="s">
        <v>21</v>
      </c>
      <c r="BR108" s="125" t="s">
        <v>25</v>
      </c>
      <c r="BS108" s="125" t="s">
        <v>15</v>
      </c>
      <c r="BT108" s="125" t="s">
        <v>15</v>
      </c>
      <c r="BU108" s="125" t="s">
        <v>21</v>
      </c>
      <c r="BV108" s="125" t="s">
        <v>21</v>
      </c>
      <c r="BW108" s="125" t="s">
        <v>15</v>
      </c>
      <c r="BX108" s="125" t="s">
        <v>9</v>
      </c>
      <c r="BY108" s="125" t="s">
        <v>21</v>
      </c>
      <c r="BZ108" s="125" t="s">
        <v>21</v>
      </c>
      <c r="CA108" s="125" t="s">
        <v>21</v>
      </c>
      <c r="CB108" s="125" t="s">
        <v>25</v>
      </c>
      <c r="CC108" s="125" t="s">
        <v>54</v>
      </c>
      <c r="CD108" s="125" t="s">
        <v>21</v>
      </c>
      <c r="CE108" s="125" t="s">
        <v>25</v>
      </c>
      <c r="CF108" s="125" t="s">
        <v>21</v>
      </c>
      <c r="CG108" s="125" t="s">
        <v>21</v>
      </c>
      <c r="CH108" s="125" t="s">
        <v>21</v>
      </c>
      <c r="CI108" s="125" t="s">
        <v>21</v>
      </c>
      <c r="CJ108" s="125" t="s">
        <v>21</v>
      </c>
      <c r="CK108" s="125" t="s">
        <v>21</v>
      </c>
      <c r="CL108" s="125" t="s">
        <v>21</v>
      </c>
      <c r="CM108" s="125" t="s">
        <v>9</v>
      </c>
      <c r="CN108" s="125" t="s">
        <v>54</v>
      </c>
      <c r="CO108" s="125" t="s">
        <v>21</v>
      </c>
      <c r="CP108" s="125" t="s">
        <v>21</v>
      </c>
      <c r="CQ108" s="125" t="s">
        <v>21</v>
      </c>
      <c r="CR108" s="125" t="s">
        <v>21</v>
      </c>
      <c r="CS108" s="125" t="s">
        <v>21</v>
      </c>
      <c r="CT108" s="125" t="s">
        <v>21</v>
      </c>
      <c r="CU108" s="125" t="s">
        <v>21</v>
      </c>
      <c r="CV108" s="125" t="s">
        <v>21</v>
      </c>
      <c r="CW108" s="125" t="s">
        <v>21</v>
      </c>
    </row>
    <row r="109" spans="1:101" ht="45.75" thickBot="1">
      <c r="A109" s="122" t="s">
        <v>4</v>
      </c>
      <c r="B109" s="125" t="s">
        <v>55</v>
      </c>
      <c r="C109" s="125" t="s">
        <v>10</v>
      </c>
      <c r="D109" s="125" t="s">
        <v>17</v>
      </c>
      <c r="E109" s="125" t="s">
        <v>10</v>
      </c>
      <c r="F109" s="125" t="s">
        <v>10</v>
      </c>
      <c r="G109" s="125" t="s">
        <v>10</v>
      </c>
      <c r="H109" s="125" t="s">
        <v>17</v>
      </c>
      <c r="I109" s="125" t="s">
        <v>10</v>
      </c>
      <c r="J109" s="127" t="s">
        <v>17</v>
      </c>
      <c r="K109" s="125" t="s">
        <v>10</v>
      </c>
      <c r="L109" s="125" t="s">
        <v>10</v>
      </c>
      <c r="M109" s="125" t="s">
        <v>10</v>
      </c>
      <c r="N109" s="125" t="s">
        <v>17</v>
      </c>
      <c r="O109" s="125" t="s">
        <v>17</v>
      </c>
      <c r="P109" s="125" t="s">
        <v>10</v>
      </c>
      <c r="Q109" s="125" t="s">
        <v>55</v>
      </c>
      <c r="R109" s="125" t="s">
        <v>10</v>
      </c>
      <c r="S109" s="125" t="s">
        <v>55</v>
      </c>
      <c r="T109" s="125" t="s">
        <v>17</v>
      </c>
      <c r="U109" s="125" t="s">
        <v>10</v>
      </c>
      <c r="V109" s="125" t="s">
        <v>10</v>
      </c>
      <c r="W109" s="125" t="s">
        <v>10</v>
      </c>
      <c r="X109" s="125" t="s">
        <v>17</v>
      </c>
      <c r="Y109" s="125" t="s">
        <v>10</v>
      </c>
      <c r="Z109" s="125" t="s">
        <v>10</v>
      </c>
      <c r="AA109" s="125" t="s">
        <v>10</v>
      </c>
      <c r="AB109" s="125" t="s">
        <v>17</v>
      </c>
      <c r="AC109" s="125" t="s">
        <v>17</v>
      </c>
      <c r="AD109" s="125" t="s">
        <v>10</v>
      </c>
      <c r="AE109" s="127" t="s">
        <v>10</v>
      </c>
      <c r="AF109" s="125" t="s">
        <v>17</v>
      </c>
      <c r="AG109" s="125" t="s">
        <v>17</v>
      </c>
      <c r="AH109" s="125" t="s">
        <v>10</v>
      </c>
      <c r="AI109" s="125" t="s">
        <v>10</v>
      </c>
      <c r="AJ109" s="125" t="s">
        <v>10</v>
      </c>
      <c r="AK109" s="125" t="s">
        <v>55</v>
      </c>
      <c r="AL109" s="125" t="s">
        <v>10</v>
      </c>
      <c r="AM109" s="125" t="s">
        <v>10</v>
      </c>
      <c r="AN109" s="125" t="s">
        <v>17</v>
      </c>
      <c r="AO109" s="125" t="s">
        <v>10</v>
      </c>
      <c r="AP109" s="125" t="s">
        <v>10</v>
      </c>
      <c r="AQ109" s="125" t="s">
        <v>10</v>
      </c>
      <c r="AR109" s="125" t="s">
        <v>10</v>
      </c>
      <c r="AS109" s="125" t="s">
        <v>10</v>
      </c>
      <c r="AT109" s="125" t="s">
        <v>10</v>
      </c>
      <c r="AU109" s="125" t="s">
        <v>10</v>
      </c>
      <c r="AV109" s="125" t="s">
        <v>17</v>
      </c>
      <c r="AW109" s="125" t="s">
        <v>10</v>
      </c>
      <c r="AX109" s="125" t="s">
        <v>10</v>
      </c>
      <c r="AY109" s="125" t="s">
        <v>10</v>
      </c>
      <c r="AZ109" s="125" t="s">
        <v>17</v>
      </c>
      <c r="BA109" s="125" t="s">
        <v>10</v>
      </c>
      <c r="BB109" s="125" t="s">
        <v>10</v>
      </c>
      <c r="BC109" s="125" t="s">
        <v>10</v>
      </c>
      <c r="BD109" s="125" t="s">
        <v>17</v>
      </c>
      <c r="BE109" s="125" t="s">
        <v>10</v>
      </c>
      <c r="BF109" s="125" t="s">
        <v>10</v>
      </c>
      <c r="BG109" s="125" t="s">
        <v>17</v>
      </c>
      <c r="BH109" s="125" t="s">
        <v>10</v>
      </c>
      <c r="BI109" s="125" t="s">
        <v>55</v>
      </c>
      <c r="BJ109" s="125" t="s">
        <v>10</v>
      </c>
      <c r="BK109" s="125" t="s">
        <v>10</v>
      </c>
      <c r="BL109" s="125" t="s">
        <v>10</v>
      </c>
      <c r="BM109" s="125" t="s">
        <v>17</v>
      </c>
      <c r="BN109" s="125" t="s">
        <v>10</v>
      </c>
      <c r="BO109" s="125" t="s">
        <v>10</v>
      </c>
      <c r="BP109" s="125" t="s">
        <v>17</v>
      </c>
      <c r="BQ109" s="125" t="s">
        <v>55</v>
      </c>
      <c r="BR109" s="125" t="s">
        <v>10</v>
      </c>
      <c r="BS109" s="125" t="s">
        <v>17</v>
      </c>
      <c r="BT109" s="125" t="s">
        <v>10</v>
      </c>
      <c r="BU109" s="125" t="s">
        <v>17</v>
      </c>
      <c r="BV109" s="125" t="s">
        <v>10</v>
      </c>
      <c r="BW109" s="125" t="s">
        <v>10</v>
      </c>
      <c r="BX109" s="125" t="s">
        <v>17</v>
      </c>
      <c r="BY109" s="125" t="s">
        <v>17</v>
      </c>
      <c r="BZ109" s="125" t="s">
        <v>10</v>
      </c>
      <c r="CA109" s="125" t="s">
        <v>17</v>
      </c>
      <c r="CB109" s="125" t="s">
        <v>17</v>
      </c>
      <c r="CC109" s="125" t="s">
        <v>55</v>
      </c>
      <c r="CD109" s="125" t="s">
        <v>10</v>
      </c>
      <c r="CE109" s="125" t="s">
        <v>17</v>
      </c>
      <c r="CF109" s="125" t="s">
        <v>17</v>
      </c>
      <c r="CG109" s="125" t="s">
        <v>17</v>
      </c>
      <c r="CH109" s="125" t="s">
        <v>17</v>
      </c>
      <c r="CI109" s="125" t="s">
        <v>17</v>
      </c>
      <c r="CJ109" s="125" t="s">
        <v>17</v>
      </c>
      <c r="CK109" s="125" t="s">
        <v>10</v>
      </c>
      <c r="CL109" s="125" t="s">
        <v>10</v>
      </c>
      <c r="CM109" s="125" t="s">
        <v>10</v>
      </c>
      <c r="CN109" s="125" t="s">
        <v>55</v>
      </c>
      <c r="CO109" s="125" t="s">
        <v>10</v>
      </c>
      <c r="CP109" s="125" t="s">
        <v>17</v>
      </c>
      <c r="CQ109" s="125" t="s">
        <v>17</v>
      </c>
      <c r="CR109" s="125" t="s">
        <v>10</v>
      </c>
      <c r="CS109" s="125" t="s">
        <v>10</v>
      </c>
      <c r="CT109" s="125" t="s">
        <v>10</v>
      </c>
      <c r="CU109" s="125" t="s">
        <v>10</v>
      </c>
      <c r="CV109" s="125" t="s">
        <v>10</v>
      </c>
      <c r="CW109" s="125" t="s">
        <v>17</v>
      </c>
    </row>
    <row r="110" spans="1:101" ht="30.75" thickBot="1">
      <c r="A110" s="122" t="s">
        <v>5</v>
      </c>
      <c r="B110" s="125" t="s">
        <v>56</v>
      </c>
      <c r="C110" s="125" t="s">
        <v>11</v>
      </c>
      <c r="D110" s="125" t="s">
        <v>23</v>
      </c>
      <c r="E110" s="125" t="s">
        <v>27</v>
      </c>
      <c r="F110" s="125" t="s">
        <v>11</v>
      </c>
      <c r="G110" s="125" t="s">
        <v>27</v>
      </c>
      <c r="H110" s="125" t="s">
        <v>23</v>
      </c>
      <c r="I110" s="125" t="s">
        <v>11</v>
      </c>
      <c r="J110" s="127" t="s">
        <v>23</v>
      </c>
      <c r="K110" s="125" t="s">
        <v>27</v>
      </c>
      <c r="L110" s="125" t="s">
        <v>27</v>
      </c>
      <c r="M110" s="125" t="s">
        <v>27</v>
      </c>
      <c r="N110" s="125" t="s">
        <v>18</v>
      </c>
      <c r="O110" s="125" t="s">
        <v>18</v>
      </c>
      <c r="P110" s="125" t="s">
        <v>11</v>
      </c>
      <c r="Q110" s="125" t="s">
        <v>56</v>
      </c>
      <c r="R110" s="125" t="s">
        <v>11</v>
      </c>
      <c r="S110" s="125" t="s">
        <v>56</v>
      </c>
      <c r="T110" s="125" t="s">
        <v>18</v>
      </c>
      <c r="U110" s="125" t="s">
        <v>27</v>
      </c>
      <c r="V110" s="125" t="s">
        <v>27</v>
      </c>
      <c r="W110" s="125" t="s">
        <v>11</v>
      </c>
      <c r="X110" s="125" t="s">
        <v>23</v>
      </c>
      <c r="Y110" s="125" t="s">
        <v>11</v>
      </c>
      <c r="Z110" s="125" t="s">
        <v>11</v>
      </c>
      <c r="AA110" s="125" t="s">
        <v>11</v>
      </c>
      <c r="AB110" s="125" t="s">
        <v>23</v>
      </c>
      <c r="AC110" s="125" t="s">
        <v>23</v>
      </c>
      <c r="AD110" s="125" t="s">
        <v>27</v>
      </c>
      <c r="AE110" s="127" t="s">
        <v>11</v>
      </c>
      <c r="AF110" s="125" t="s">
        <v>23</v>
      </c>
      <c r="AG110" s="125" t="s">
        <v>18</v>
      </c>
      <c r="AH110" s="125" t="s">
        <v>11</v>
      </c>
      <c r="AI110" s="125" t="s">
        <v>27</v>
      </c>
      <c r="AJ110" s="125" t="s">
        <v>27</v>
      </c>
      <c r="AK110" s="125" t="s">
        <v>80</v>
      </c>
      <c r="AL110" s="125" t="s">
        <v>11</v>
      </c>
      <c r="AM110" s="125" t="s">
        <v>27</v>
      </c>
      <c r="AN110" s="125" t="s">
        <v>18</v>
      </c>
      <c r="AO110" s="125" t="s">
        <v>27</v>
      </c>
      <c r="AP110" s="125" t="s">
        <v>27</v>
      </c>
      <c r="AQ110" s="125" t="s">
        <v>27</v>
      </c>
      <c r="AR110" s="125" t="s">
        <v>27</v>
      </c>
      <c r="AS110" s="125" t="s">
        <v>27</v>
      </c>
      <c r="AT110" s="125" t="s">
        <v>27</v>
      </c>
      <c r="AU110" s="125" t="s">
        <v>27</v>
      </c>
      <c r="AV110" s="125" t="s">
        <v>23</v>
      </c>
      <c r="AW110" s="125" t="s">
        <v>27</v>
      </c>
      <c r="AX110" s="125" t="s">
        <v>11</v>
      </c>
      <c r="AY110" s="125" t="s">
        <v>11</v>
      </c>
      <c r="AZ110" s="125" t="s">
        <v>23</v>
      </c>
      <c r="BA110" s="125" t="s">
        <v>11</v>
      </c>
      <c r="BB110" s="125" t="s">
        <v>27</v>
      </c>
      <c r="BC110" s="125" t="s">
        <v>27</v>
      </c>
      <c r="BD110" s="125" t="s">
        <v>18</v>
      </c>
      <c r="BE110" s="125" t="s">
        <v>27</v>
      </c>
      <c r="BF110" s="125" t="s">
        <v>11</v>
      </c>
      <c r="BG110" s="125" t="s">
        <v>18</v>
      </c>
      <c r="BH110" s="125" t="s">
        <v>11</v>
      </c>
      <c r="BI110" s="125" t="s">
        <v>56</v>
      </c>
      <c r="BJ110" s="125" t="s">
        <v>11</v>
      </c>
      <c r="BK110" s="125" t="s">
        <v>27</v>
      </c>
      <c r="BL110" s="125" t="s">
        <v>11</v>
      </c>
      <c r="BM110" s="125" t="s">
        <v>23</v>
      </c>
      <c r="BN110" s="125" t="s">
        <v>11</v>
      </c>
      <c r="BO110" s="125" t="s">
        <v>11</v>
      </c>
      <c r="BP110" s="125" t="s">
        <v>18</v>
      </c>
      <c r="BQ110" s="125" t="s">
        <v>80</v>
      </c>
      <c r="BR110" s="125" t="s">
        <v>27</v>
      </c>
      <c r="BS110" s="125" t="s">
        <v>18</v>
      </c>
      <c r="BT110" s="125" t="s">
        <v>27</v>
      </c>
      <c r="BU110" s="125" t="s">
        <v>23</v>
      </c>
      <c r="BV110" s="125" t="s">
        <v>27</v>
      </c>
      <c r="BW110" s="125" t="s">
        <v>11</v>
      </c>
      <c r="BX110" s="125" t="s">
        <v>23</v>
      </c>
      <c r="BY110" s="125" t="s">
        <v>18</v>
      </c>
      <c r="BZ110" s="125" t="s">
        <v>11</v>
      </c>
      <c r="CA110" s="125" t="s">
        <v>18</v>
      </c>
      <c r="CB110" s="125" t="s">
        <v>18</v>
      </c>
      <c r="CC110" s="125" t="s">
        <v>56</v>
      </c>
      <c r="CD110" s="125" t="s">
        <v>11</v>
      </c>
      <c r="CE110" s="125" t="s">
        <v>18</v>
      </c>
      <c r="CF110" s="125" t="s">
        <v>18</v>
      </c>
      <c r="CG110" s="125" t="s">
        <v>18</v>
      </c>
      <c r="CH110" s="125" t="s">
        <v>23</v>
      </c>
      <c r="CI110" s="125" t="s">
        <v>18</v>
      </c>
      <c r="CJ110" s="125" t="s">
        <v>18</v>
      </c>
      <c r="CK110" s="125" t="s">
        <v>11</v>
      </c>
      <c r="CL110" s="125" t="s">
        <v>11</v>
      </c>
      <c r="CM110" s="125" t="s">
        <v>11</v>
      </c>
      <c r="CN110" s="125" t="s">
        <v>56</v>
      </c>
      <c r="CO110" s="125" t="s">
        <v>11</v>
      </c>
      <c r="CP110" s="125" t="s">
        <v>18</v>
      </c>
      <c r="CQ110" s="125" t="s">
        <v>18</v>
      </c>
      <c r="CR110" s="125" t="s">
        <v>27</v>
      </c>
      <c r="CS110" s="125" t="s">
        <v>27</v>
      </c>
      <c r="CT110" s="125" t="s">
        <v>27</v>
      </c>
      <c r="CU110" s="125" t="s">
        <v>11</v>
      </c>
      <c r="CV110" s="125" t="s">
        <v>27</v>
      </c>
      <c r="CW110" s="125" t="s">
        <v>23</v>
      </c>
    </row>
    <row r="111" spans="1:101" ht="60.75" thickBot="1">
      <c r="A111" s="122" t="s">
        <v>6</v>
      </c>
      <c r="B111" s="125" t="s">
        <v>12</v>
      </c>
      <c r="C111" s="125" t="s">
        <v>30</v>
      </c>
      <c r="D111" s="125" t="s">
        <v>12</v>
      </c>
      <c r="E111" s="125" t="s">
        <v>12</v>
      </c>
      <c r="F111" s="125" t="s">
        <v>12</v>
      </c>
      <c r="G111" s="125" t="s">
        <v>12</v>
      </c>
      <c r="H111" s="125" t="s">
        <v>12</v>
      </c>
      <c r="I111" s="125" t="s">
        <v>30</v>
      </c>
      <c r="J111" s="127" t="s">
        <v>30</v>
      </c>
      <c r="K111" s="125" t="s">
        <v>12</v>
      </c>
      <c r="L111" s="125" t="s">
        <v>12</v>
      </c>
      <c r="M111" s="125" t="s">
        <v>12</v>
      </c>
      <c r="N111" s="125" t="s">
        <v>12</v>
      </c>
      <c r="O111" s="125" t="s">
        <v>30</v>
      </c>
      <c r="P111" s="125" t="s">
        <v>12</v>
      </c>
      <c r="Q111" s="125" t="s">
        <v>12</v>
      </c>
      <c r="R111" s="125" t="s">
        <v>12</v>
      </c>
      <c r="S111" s="125" t="s">
        <v>12</v>
      </c>
      <c r="T111" s="125" t="s">
        <v>30</v>
      </c>
      <c r="U111" s="125" t="s">
        <v>12</v>
      </c>
      <c r="V111" s="125" t="s">
        <v>12</v>
      </c>
      <c r="W111" s="125" t="s">
        <v>30</v>
      </c>
      <c r="X111" s="125" t="s">
        <v>12</v>
      </c>
      <c r="Y111" s="125" t="s">
        <v>12</v>
      </c>
      <c r="Z111" s="125" t="s">
        <v>12</v>
      </c>
      <c r="AA111" s="125" t="s">
        <v>12</v>
      </c>
      <c r="AB111" s="125" t="s">
        <v>12</v>
      </c>
      <c r="AC111" s="125" t="s">
        <v>12</v>
      </c>
      <c r="AD111" s="125" t="s">
        <v>12</v>
      </c>
      <c r="AE111" s="127" t="s">
        <v>30</v>
      </c>
      <c r="AF111" s="125" t="s">
        <v>12</v>
      </c>
      <c r="AG111" s="125" t="s">
        <v>30</v>
      </c>
      <c r="AH111" s="125" t="s">
        <v>12</v>
      </c>
      <c r="AI111" s="125" t="s">
        <v>12</v>
      </c>
      <c r="AJ111" s="125" t="s">
        <v>12</v>
      </c>
      <c r="AK111" s="125" t="s">
        <v>12</v>
      </c>
      <c r="AL111" s="125" t="s">
        <v>12</v>
      </c>
      <c r="AM111" s="125" t="s">
        <v>12</v>
      </c>
      <c r="AN111" s="125" t="s">
        <v>12</v>
      </c>
      <c r="AO111" s="125" t="s">
        <v>12</v>
      </c>
      <c r="AP111" s="125" t="s">
        <v>30</v>
      </c>
      <c r="AQ111" s="125" t="s">
        <v>30</v>
      </c>
      <c r="AR111" s="125" t="s">
        <v>30</v>
      </c>
      <c r="AS111" s="125" t="s">
        <v>30</v>
      </c>
      <c r="AT111" s="125" t="s">
        <v>12</v>
      </c>
      <c r="AU111" s="125" t="s">
        <v>12</v>
      </c>
      <c r="AV111" s="125" t="s">
        <v>12</v>
      </c>
      <c r="AW111" s="125" t="s">
        <v>30</v>
      </c>
      <c r="AX111" s="125" t="s">
        <v>30</v>
      </c>
      <c r="AY111" s="125" t="s">
        <v>12</v>
      </c>
      <c r="AZ111" s="125" t="s">
        <v>30</v>
      </c>
      <c r="BA111" s="125" t="s">
        <v>12</v>
      </c>
      <c r="BB111" s="125" t="s">
        <v>12</v>
      </c>
      <c r="BC111" s="125" t="s">
        <v>12</v>
      </c>
      <c r="BD111" s="125" t="s">
        <v>30</v>
      </c>
      <c r="BE111" s="125" t="s">
        <v>12</v>
      </c>
      <c r="BF111" s="125" t="s">
        <v>12</v>
      </c>
      <c r="BG111" s="125" t="s">
        <v>12</v>
      </c>
      <c r="BH111" s="125" t="s">
        <v>12</v>
      </c>
      <c r="BI111" s="125" t="s">
        <v>12</v>
      </c>
      <c r="BJ111" s="125" t="s">
        <v>12</v>
      </c>
      <c r="BK111" s="125" t="s">
        <v>12</v>
      </c>
      <c r="BL111" s="125" t="s">
        <v>12</v>
      </c>
      <c r="BM111" s="125" t="s">
        <v>12</v>
      </c>
      <c r="BN111" s="125" t="s">
        <v>30</v>
      </c>
      <c r="BO111" s="125" t="s">
        <v>12</v>
      </c>
      <c r="BP111" s="125" t="s">
        <v>12</v>
      </c>
      <c r="BQ111" s="125" t="s">
        <v>12</v>
      </c>
      <c r="BR111" s="125" t="s">
        <v>30</v>
      </c>
      <c r="BS111" s="125" t="s">
        <v>12</v>
      </c>
      <c r="BT111" s="125" t="s">
        <v>30</v>
      </c>
      <c r="BU111" s="125" t="s">
        <v>12</v>
      </c>
      <c r="BV111" s="125" t="s">
        <v>30</v>
      </c>
      <c r="BW111" s="125" t="s">
        <v>12</v>
      </c>
      <c r="BX111" s="125" t="s">
        <v>12</v>
      </c>
      <c r="BY111" s="125" t="s">
        <v>12</v>
      </c>
      <c r="BZ111" s="125" t="s">
        <v>30</v>
      </c>
      <c r="CA111" s="125" t="s">
        <v>30</v>
      </c>
      <c r="CB111" s="125" t="s">
        <v>30</v>
      </c>
      <c r="CC111" s="125" t="s">
        <v>12</v>
      </c>
      <c r="CD111" s="125" t="s">
        <v>12</v>
      </c>
      <c r="CE111" s="125" t="s">
        <v>12</v>
      </c>
      <c r="CF111" s="125" t="s">
        <v>12</v>
      </c>
      <c r="CG111" s="125" t="s">
        <v>12</v>
      </c>
      <c r="CH111" s="125" t="s">
        <v>30</v>
      </c>
      <c r="CI111" s="125" t="s">
        <v>30</v>
      </c>
      <c r="CJ111" s="125" t="s">
        <v>12</v>
      </c>
      <c r="CK111" s="125" t="s">
        <v>30</v>
      </c>
      <c r="CL111" s="125" t="s">
        <v>12</v>
      </c>
      <c r="CM111" s="125" t="s">
        <v>30</v>
      </c>
      <c r="CN111" s="125" t="s">
        <v>12</v>
      </c>
      <c r="CO111" s="125" t="s">
        <v>12</v>
      </c>
      <c r="CP111" s="125" t="s">
        <v>30</v>
      </c>
      <c r="CQ111" s="125" t="s">
        <v>30</v>
      </c>
      <c r="CR111" s="125" t="s">
        <v>12</v>
      </c>
      <c r="CS111" s="125" t="s">
        <v>12</v>
      </c>
      <c r="CT111" s="125" t="s">
        <v>12</v>
      </c>
      <c r="CU111" s="125" t="s">
        <v>12</v>
      </c>
      <c r="CV111" s="125" t="s">
        <v>12</v>
      </c>
      <c r="CW111" s="125" t="s">
        <v>12</v>
      </c>
    </row>
    <row r="112" spans="1:101" ht="30.75" thickBot="1">
      <c r="A112" s="122" t="s">
        <v>276</v>
      </c>
      <c r="B112" s="126">
        <v>3</v>
      </c>
      <c r="C112" s="126">
        <v>8</v>
      </c>
      <c r="D112" s="126">
        <v>5</v>
      </c>
      <c r="E112" s="126">
        <v>4</v>
      </c>
      <c r="F112" s="126">
        <v>4</v>
      </c>
      <c r="G112" s="126">
        <v>9</v>
      </c>
      <c r="H112" s="126">
        <v>5</v>
      </c>
      <c r="I112" s="126">
        <v>8</v>
      </c>
      <c r="J112" s="126">
        <v>8</v>
      </c>
      <c r="K112" s="126">
        <v>5</v>
      </c>
      <c r="L112" s="126">
        <v>4</v>
      </c>
      <c r="M112" s="126">
        <v>3</v>
      </c>
      <c r="N112" s="126">
        <v>7</v>
      </c>
      <c r="O112" s="126">
        <v>4</v>
      </c>
      <c r="P112" s="126">
        <v>9</v>
      </c>
      <c r="Q112" s="126">
        <v>4</v>
      </c>
      <c r="R112" s="126">
        <v>5</v>
      </c>
      <c r="S112" s="126">
        <v>6</v>
      </c>
      <c r="T112" s="126">
        <v>9</v>
      </c>
      <c r="U112" s="126">
        <v>5</v>
      </c>
      <c r="V112" s="126">
        <v>6</v>
      </c>
      <c r="W112" s="126">
        <v>6</v>
      </c>
      <c r="X112" s="126">
        <v>8</v>
      </c>
      <c r="Y112" s="126">
        <v>7</v>
      </c>
      <c r="Z112" s="126">
        <v>9</v>
      </c>
      <c r="AA112" s="126">
        <v>3</v>
      </c>
      <c r="AB112" s="126">
        <v>6</v>
      </c>
      <c r="AC112" s="126">
        <v>9</v>
      </c>
      <c r="AD112" s="126">
        <v>8</v>
      </c>
      <c r="AE112" s="126">
        <v>8</v>
      </c>
      <c r="AF112" s="126">
        <v>6</v>
      </c>
      <c r="AG112" s="126">
        <v>3</v>
      </c>
      <c r="AH112" s="126">
        <v>6</v>
      </c>
      <c r="AI112" s="126">
        <v>6</v>
      </c>
      <c r="AJ112" s="126">
        <v>8</v>
      </c>
      <c r="AK112" s="126">
        <v>5</v>
      </c>
      <c r="AL112" s="126">
        <v>9</v>
      </c>
      <c r="AM112" s="126">
        <v>4</v>
      </c>
      <c r="AN112" s="126">
        <v>4</v>
      </c>
      <c r="AO112" s="126">
        <v>9</v>
      </c>
      <c r="AP112" s="126">
        <v>6</v>
      </c>
      <c r="AQ112" s="126">
        <v>8</v>
      </c>
      <c r="AR112" s="126">
        <v>6</v>
      </c>
      <c r="AS112" s="126">
        <v>7</v>
      </c>
      <c r="AT112" s="126">
        <v>5</v>
      </c>
      <c r="AU112" s="126">
        <v>3</v>
      </c>
      <c r="AV112" s="126">
        <v>7</v>
      </c>
      <c r="AW112" s="126">
        <v>5</v>
      </c>
      <c r="AX112" s="126">
        <v>9</v>
      </c>
      <c r="AY112" s="126">
        <v>6</v>
      </c>
      <c r="AZ112" s="126">
        <v>7</v>
      </c>
      <c r="BA112" s="126">
        <v>5</v>
      </c>
      <c r="BB112" s="126">
        <v>4</v>
      </c>
      <c r="BC112" s="126">
        <v>7</v>
      </c>
      <c r="BD112" s="126">
        <v>3</v>
      </c>
      <c r="BE112" s="126">
        <v>3</v>
      </c>
      <c r="BF112" s="126">
        <v>7</v>
      </c>
      <c r="BG112" s="126">
        <v>5</v>
      </c>
      <c r="BH112" s="126">
        <v>9</v>
      </c>
      <c r="BI112" s="126">
        <v>4</v>
      </c>
      <c r="BJ112" s="126">
        <v>5</v>
      </c>
      <c r="BK112" s="126">
        <v>3</v>
      </c>
      <c r="BL112" s="126">
        <v>3</v>
      </c>
      <c r="BM112" s="126">
        <v>5</v>
      </c>
      <c r="BN112" s="126">
        <v>7</v>
      </c>
      <c r="BO112" s="126">
        <v>7</v>
      </c>
      <c r="BP112" s="126">
        <v>5</v>
      </c>
      <c r="BQ112" s="126">
        <v>7</v>
      </c>
      <c r="BR112" s="126">
        <v>8</v>
      </c>
      <c r="BS112" s="126">
        <v>3</v>
      </c>
      <c r="BT112" s="126">
        <v>8</v>
      </c>
      <c r="BU112" s="126">
        <v>5</v>
      </c>
      <c r="BV112" s="126">
        <v>6</v>
      </c>
      <c r="BW112" s="126">
        <v>3</v>
      </c>
      <c r="BX112" s="126">
        <v>8</v>
      </c>
      <c r="BY112" s="126">
        <v>5</v>
      </c>
      <c r="BZ112" s="126">
        <v>8</v>
      </c>
      <c r="CA112" s="126">
        <v>4</v>
      </c>
      <c r="CB112" s="126">
        <v>9</v>
      </c>
      <c r="CC112" s="126">
        <v>6</v>
      </c>
      <c r="CD112" s="126">
        <v>3</v>
      </c>
      <c r="CE112" s="126">
        <v>3</v>
      </c>
      <c r="CF112" s="126">
        <v>7</v>
      </c>
      <c r="CG112" s="126">
        <v>3</v>
      </c>
      <c r="CH112" s="126">
        <v>7</v>
      </c>
      <c r="CI112" s="126">
        <v>9</v>
      </c>
      <c r="CJ112" s="126">
        <v>3</v>
      </c>
      <c r="CK112" s="126">
        <v>8</v>
      </c>
      <c r="CL112" s="126">
        <v>7</v>
      </c>
      <c r="CM112" s="126">
        <v>3</v>
      </c>
      <c r="CN112" s="126">
        <v>6</v>
      </c>
      <c r="CO112" s="126">
        <v>8</v>
      </c>
      <c r="CP112" s="126">
        <v>3</v>
      </c>
      <c r="CQ112" s="126">
        <v>6</v>
      </c>
      <c r="CR112" s="126">
        <v>7</v>
      </c>
      <c r="CS112" s="126">
        <v>6</v>
      </c>
      <c r="CT112" s="126">
        <v>3</v>
      </c>
      <c r="CU112" s="126">
        <v>4</v>
      </c>
      <c r="CV112" s="126">
        <v>4</v>
      </c>
      <c r="CW112" s="126">
        <v>5</v>
      </c>
    </row>
    <row r="113" spans="1:101" ht="45.75" thickBot="1">
      <c r="A113" s="122" t="s">
        <v>277</v>
      </c>
      <c r="B113" s="126">
        <v>8</v>
      </c>
      <c r="C113" s="126">
        <v>7</v>
      </c>
      <c r="D113" s="126">
        <v>10</v>
      </c>
      <c r="E113" s="126">
        <v>8</v>
      </c>
      <c r="F113" s="126">
        <v>9</v>
      </c>
      <c r="G113" s="126">
        <v>7</v>
      </c>
      <c r="H113" s="126">
        <v>9</v>
      </c>
      <c r="I113" s="126">
        <v>10</v>
      </c>
      <c r="J113" s="126">
        <v>3</v>
      </c>
      <c r="K113" s="126">
        <v>9</v>
      </c>
      <c r="L113" s="126">
        <v>5</v>
      </c>
      <c r="M113" s="126">
        <v>8</v>
      </c>
      <c r="N113" s="126">
        <v>9</v>
      </c>
      <c r="O113" s="126">
        <v>8</v>
      </c>
      <c r="P113" s="126">
        <v>10</v>
      </c>
      <c r="Q113" s="126">
        <v>6</v>
      </c>
      <c r="R113" s="126">
        <v>7</v>
      </c>
      <c r="S113" s="126">
        <v>7</v>
      </c>
      <c r="T113" s="126">
        <v>8</v>
      </c>
      <c r="U113" s="126">
        <v>6</v>
      </c>
      <c r="V113" s="126">
        <v>7</v>
      </c>
      <c r="W113" s="126">
        <v>10</v>
      </c>
      <c r="X113" s="126">
        <v>5</v>
      </c>
      <c r="Y113" s="126">
        <v>10</v>
      </c>
      <c r="Z113" s="126">
        <v>10</v>
      </c>
      <c r="AA113" s="126">
        <v>9</v>
      </c>
      <c r="AB113" s="126">
        <v>2</v>
      </c>
      <c r="AC113" s="126">
        <v>9</v>
      </c>
      <c r="AD113" s="126">
        <v>7</v>
      </c>
      <c r="AE113" s="128">
        <v>8</v>
      </c>
      <c r="AF113" s="126">
        <v>8</v>
      </c>
      <c r="AG113" s="126">
        <v>5</v>
      </c>
      <c r="AH113" s="126">
        <v>7</v>
      </c>
      <c r="AI113" s="126">
        <v>10</v>
      </c>
      <c r="AJ113" s="126">
        <v>5</v>
      </c>
      <c r="AK113" s="126">
        <v>7</v>
      </c>
      <c r="AL113" s="126">
        <v>7</v>
      </c>
      <c r="AM113" s="126">
        <v>7</v>
      </c>
      <c r="AN113" s="126">
        <v>9</v>
      </c>
      <c r="AO113" s="126">
        <v>5</v>
      </c>
      <c r="AP113" s="126">
        <v>10</v>
      </c>
      <c r="AQ113" s="126">
        <v>8</v>
      </c>
      <c r="AR113" s="126">
        <v>10</v>
      </c>
      <c r="AS113" s="126">
        <v>5</v>
      </c>
      <c r="AT113" s="126">
        <v>7</v>
      </c>
      <c r="AU113" s="126">
        <v>8</v>
      </c>
      <c r="AV113" s="126">
        <v>9</v>
      </c>
      <c r="AW113" s="126">
        <v>6</v>
      </c>
      <c r="AX113" s="126">
        <v>9</v>
      </c>
      <c r="AY113" s="126">
        <v>8</v>
      </c>
      <c r="AZ113" s="126">
        <v>5</v>
      </c>
      <c r="BA113" s="126">
        <v>6</v>
      </c>
      <c r="BB113" s="126">
        <v>6</v>
      </c>
      <c r="BC113" s="126">
        <v>5</v>
      </c>
      <c r="BD113" s="126">
        <v>9</v>
      </c>
      <c r="BE113" s="126">
        <v>6</v>
      </c>
      <c r="BF113" s="126">
        <v>10</v>
      </c>
      <c r="BG113" s="126">
        <v>9</v>
      </c>
      <c r="BH113" s="126">
        <v>5</v>
      </c>
      <c r="BI113" s="126">
        <v>8</v>
      </c>
      <c r="BJ113" s="126">
        <v>10</v>
      </c>
      <c r="BK113" s="126">
        <v>10</v>
      </c>
      <c r="BL113" s="126">
        <v>10</v>
      </c>
      <c r="BM113" s="126">
        <v>5</v>
      </c>
      <c r="BN113" s="126">
        <v>7</v>
      </c>
      <c r="BO113" s="126">
        <v>5</v>
      </c>
      <c r="BP113" s="126">
        <v>4</v>
      </c>
      <c r="BQ113" s="126">
        <v>7</v>
      </c>
      <c r="BR113" s="126">
        <v>9</v>
      </c>
      <c r="BS113" s="126">
        <v>5</v>
      </c>
      <c r="BT113" s="126">
        <v>10</v>
      </c>
      <c r="BU113" s="126">
        <v>7</v>
      </c>
      <c r="BV113" s="126">
        <v>6</v>
      </c>
      <c r="BW113" s="126">
        <v>6</v>
      </c>
      <c r="BX113" s="126">
        <v>10</v>
      </c>
      <c r="BY113" s="126">
        <v>7</v>
      </c>
      <c r="BZ113" s="126">
        <v>9</v>
      </c>
      <c r="CA113" s="126">
        <v>5</v>
      </c>
      <c r="CB113" s="126">
        <v>9</v>
      </c>
      <c r="CC113" s="126">
        <v>10</v>
      </c>
      <c r="CD113" s="126">
        <v>9</v>
      </c>
      <c r="CE113" s="126">
        <v>7</v>
      </c>
      <c r="CF113" s="126">
        <v>10</v>
      </c>
      <c r="CG113" s="126">
        <v>7</v>
      </c>
      <c r="CH113" s="126">
        <v>4</v>
      </c>
      <c r="CI113" s="126">
        <v>5</v>
      </c>
      <c r="CJ113" s="126">
        <v>6</v>
      </c>
      <c r="CK113" s="126">
        <v>7</v>
      </c>
      <c r="CL113" s="126">
        <v>10</v>
      </c>
      <c r="CM113" s="126">
        <v>9</v>
      </c>
      <c r="CN113" s="126">
        <v>5</v>
      </c>
      <c r="CO113" s="126">
        <v>7</v>
      </c>
      <c r="CP113" s="126">
        <v>6</v>
      </c>
      <c r="CQ113" s="126">
        <v>5</v>
      </c>
      <c r="CR113" s="126">
        <v>9</v>
      </c>
      <c r="CS113" s="126">
        <v>10</v>
      </c>
      <c r="CT113" s="126">
        <v>9</v>
      </c>
      <c r="CU113" s="126">
        <v>10</v>
      </c>
      <c r="CV113" s="126">
        <v>10</v>
      </c>
      <c r="CW113" s="126">
        <v>10</v>
      </c>
    </row>
    <row r="114" spans="1:101" ht="30.75" thickBot="1">
      <c r="A114" s="122" t="s">
        <v>278</v>
      </c>
      <c r="B114" s="125">
        <f t="shared" ref="B114:AG114" si="2">AVERAGE(B$112:B$113)</f>
        <v>5.5</v>
      </c>
      <c r="C114" s="125">
        <f t="shared" si="2"/>
        <v>7.5</v>
      </c>
      <c r="D114" s="125">
        <f t="shared" si="2"/>
        <v>7.5</v>
      </c>
      <c r="E114" s="125">
        <f t="shared" si="2"/>
        <v>6</v>
      </c>
      <c r="F114" s="125">
        <f t="shared" si="2"/>
        <v>6.5</v>
      </c>
      <c r="G114" s="125">
        <f t="shared" si="2"/>
        <v>8</v>
      </c>
      <c r="H114" s="125">
        <f t="shared" si="2"/>
        <v>7</v>
      </c>
      <c r="I114" s="125">
        <f t="shared" si="2"/>
        <v>9</v>
      </c>
      <c r="J114" s="125">
        <f t="shared" si="2"/>
        <v>5.5</v>
      </c>
      <c r="K114" s="125">
        <f t="shared" si="2"/>
        <v>7</v>
      </c>
      <c r="L114" s="125">
        <f t="shared" si="2"/>
        <v>4.5</v>
      </c>
      <c r="M114" s="125">
        <f t="shared" si="2"/>
        <v>5.5</v>
      </c>
      <c r="N114" s="125">
        <f t="shared" si="2"/>
        <v>8</v>
      </c>
      <c r="O114" s="125">
        <f t="shared" si="2"/>
        <v>6</v>
      </c>
      <c r="P114" s="125">
        <f t="shared" si="2"/>
        <v>9.5</v>
      </c>
      <c r="Q114" s="125">
        <f t="shared" si="2"/>
        <v>5</v>
      </c>
      <c r="R114" s="125">
        <f t="shared" si="2"/>
        <v>6</v>
      </c>
      <c r="S114" s="125">
        <f t="shared" si="2"/>
        <v>6.5</v>
      </c>
      <c r="T114" s="125">
        <f t="shared" si="2"/>
        <v>8.5</v>
      </c>
      <c r="U114" s="125">
        <f t="shared" si="2"/>
        <v>5.5</v>
      </c>
      <c r="V114" s="125">
        <f t="shared" si="2"/>
        <v>6.5</v>
      </c>
      <c r="W114" s="125">
        <f t="shared" si="2"/>
        <v>8</v>
      </c>
      <c r="X114" s="125">
        <f t="shared" si="2"/>
        <v>6.5</v>
      </c>
      <c r="Y114" s="125">
        <f t="shared" si="2"/>
        <v>8.5</v>
      </c>
      <c r="Z114" s="125">
        <f t="shared" si="2"/>
        <v>9.5</v>
      </c>
      <c r="AA114" s="125">
        <f t="shared" si="2"/>
        <v>6</v>
      </c>
      <c r="AB114" s="125">
        <f t="shared" si="2"/>
        <v>4</v>
      </c>
      <c r="AC114" s="125">
        <f t="shared" si="2"/>
        <v>9</v>
      </c>
      <c r="AD114" s="125">
        <f t="shared" si="2"/>
        <v>7.5</v>
      </c>
      <c r="AE114" s="125">
        <f t="shared" si="2"/>
        <v>8</v>
      </c>
      <c r="AF114" s="125">
        <f t="shared" si="2"/>
        <v>7</v>
      </c>
      <c r="AG114" s="125">
        <f t="shared" si="2"/>
        <v>4</v>
      </c>
      <c r="AH114" s="125">
        <f t="shared" ref="AH114:BM114" si="3">AVERAGE(AH$112:AH$113)</f>
        <v>6.5</v>
      </c>
      <c r="AI114" s="125">
        <f t="shared" si="3"/>
        <v>8</v>
      </c>
      <c r="AJ114" s="125">
        <f t="shared" si="3"/>
        <v>6.5</v>
      </c>
      <c r="AK114" s="125">
        <f t="shared" si="3"/>
        <v>6</v>
      </c>
      <c r="AL114" s="125">
        <f t="shared" si="3"/>
        <v>8</v>
      </c>
      <c r="AM114" s="125">
        <f t="shared" si="3"/>
        <v>5.5</v>
      </c>
      <c r="AN114" s="125">
        <f t="shared" si="3"/>
        <v>6.5</v>
      </c>
      <c r="AO114" s="125">
        <f t="shared" si="3"/>
        <v>7</v>
      </c>
      <c r="AP114" s="125">
        <f t="shared" si="3"/>
        <v>8</v>
      </c>
      <c r="AQ114" s="125">
        <f t="shared" si="3"/>
        <v>8</v>
      </c>
      <c r="AR114" s="125">
        <f t="shared" si="3"/>
        <v>8</v>
      </c>
      <c r="AS114" s="125">
        <f t="shared" si="3"/>
        <v>6</v>
      </c>
      <c r="AT114" s="125">
        <f t="shared" si="3"/>
        <v>6</v>
      </c>
      <c r="AU114" s="125">
        <f t="shared" si="3"/>
        <v>5.5</v>
      </c>
      <c r="AV114" s="125">
        <f t="shared" si="3"/>
        <v>8</v>
      </c>
      <c r="AW114" s="125">
        <f t="shared" si="3"/>
        <v>5.5</v>
      </c>
      <c r="AX114" s="125">
        <f t="shared" si="3"/>
        <v>9</v>
      </c>
      <c r="AY114" s="125">
        <f t="shared" si="3"/>
        <v>7</v>
      </c>
      <c r="AZ114" s="125">
        <f t="shared" si="3"/>
        <v>6</v>
      </c>
      <c r="BA114" s="125">
        <f t="shared" si="3"/>
        <v>5.5</v>
      </c>
      <c r="BB114" s="125">
        <f t="shared" si="3"/>
        <v>5</v>
      </c>
      <c r="BC114" s="125">
        <f t="shared" si="3"/>
        <v>6</v>
      </c>
      <c r="BD114" s="125">
        <f t="shared" si="3"/>
        <v>6</v>
      </c>
      <c r="BE114" s="125">
        <f t="shared" si="3"/>
        <v>4.5</v>
      </c>
      <c r="BF114" s="125">
        <f t="shared" si="3"/>
        <v>8.5</v>
      </c>
      <c r="BG114" s="125">
        <f t="shared" si="3"/>
        <v>7</v>
      </c>
      <c r="BH114" s="125">
        <f t="shared" si="3"/>
        <v>7</v>
      </c>
      <c r="BI114" s="125">
        <f t="shared" si="3"/>
        <v>6</v>
      </c>
      <c r="BJ114" s="125">
        <f t="shared" si="3"/>
        <v>7.5</v>
      </c>
      <c r="BK114" s="125">
        <f t="shared" si="3"/>
        <v>6.5</v>
      </c>
      <c r="BL114" s="125">
        <f t="shared" si="3"/>
        <v>6.5</v>
      </c>
      <c r="BM114" s="125">
        <f t="shared" si="3"/>
        <v>5</v>
      </c>
      <c r="BN114" s="125">
        <f t="shared" ref="BN114:CW114" si="4">AVERAGE(BN$112:BN$113)</f>
        <v>7</v>
      </c>
      <c r="BO114" s="125">
        <f t="shared" si="4"/>
        <v>6</v>
      </c>
      <c r="BP114" s="125">
        <f t="shared" si="4"/>
        <v>4.5</v>
      </c>
      <c r="BQ114" s="125">
        <f t="shared" si="4"/>
        <v>7</v>
      </c>
      <c r="BR114" s="125">
        <f t="shared" si="4"/>
        <v>8.5</v>
      </c>
      <c r="BS114" s="125">
        <f t="shared" si="4"/>
        <v>4</v>
      </c>
      <c r="BT114" s="125">
        <f t="shared" si="4"/>
        <v>9</v>
      </c>
      <c r="BU114" s="125">
        <f t="shared" si="4"/>
        <v>6</v>
      </c>
      <c r="BV114" s="125">
        <f t="shared" si="4"/>
        <v>6</v>
      </c>
      <c r="BW114" s="125">
        <f t="shared" si="4"/>
        <v>4.5</v>
      </c>
      <c r="BX114" s="125">
        <f t="shared" si="4"/>
        <v>9</v>
      </c>
      <c r="BY114" s="125">
        <f t="shared" si="4"/>
        <v>6</v>
      </c>
      <c r="BZ114" s="125">
        <f t="shared" si="4"/>
        <v>8.5</v>
      </c>
      <c r="CA114" s="125">
        <f t="shared" si="4"/>
        <v>4.5</v>
      </c>
      <c r="CB114" s="125">
        <f t="shared" si="4"/>
        <v>9</v>
      </c>
      <c r="CC114" s="125">
        <f t="shared" si="4"/>
        <v>8</v>
      </c>
      <c r="CD114" s="125">
        <f t="shared" si="4"/>
        <v>6</v>
      </c>
      <c r="CE114" s="125">
        <f t="shared" si="4"/>
        <v>5</v>
      </c>
      <c r="CF114" s="125">
        <f t="shared" si="4"/>
        <v>8.5</v>
      </c>
      <c r="CG114" s="125">
        <f t="shared" si="4"/>
        <v>5</v>
      </c>
      <c r="CH114" s="125">
        <f t="shared" si="4"/>
        <v>5.5</v>
      </c>
      <c r="CI114" s="125">
        <f t="shared" si="4"/>
        <v>7</v>
      </c>
      <c r="CJ114" s="125">
        <f t="shared" si="4"/>
        <v>4.5</v>
      </c>
      <c r="CK114" s="125">
        <f t="shared" si="4"/>
        <v>7.5</v>
      </c>
      <c r="CL114" s="125">
        <f t="shared" si="4"/>
        <v>8.5</v>
      </c>
      <c r="CM114" s="125">
        <f t="shared" si="4"/>
        <v>6</v>
      </c>
      <c r="CN114" s="125">
        <f t="shared" si="4"/>
        <v>5.5</v>
      </c>
      <c r="CO114" s="125">
        <f t="shared" si="4"/>
        <v>7.5</v>
      </c>
      <c r="CP114" s="125">
        <f t="shared" si="4"/>
        <v>4.5</v>
      </c>
      <c r="CQ114" s="125">
        <f t="shared" si="4"/>
        <v>5.5</v>
      </c>
      <c r="CR114" s="125">
        <f t="shared" si="4"/>
        <v>8</v>
      </c>
      <c r="CS114" s="125">
        <f t="shared" si="4"/>
        <v>8</v>
      </c>
      <c r="CT114" s="125">
        <f t="shared" si="4"/>
        <v>6</v>
      </c>
      <c r="CU114" s="125">
        <f t="shared" si="4"/>
        <v>7</v>
      </c>
      <c r="CV114" s="125">
        <f t="shared" si="4"/>
        <v>7</v>
      </c>
      <c r="CW114" s="125">
        <f t="shared" si="4"/>
        <v>7.5</v>
      </c>
    </row>
  </sheetData>
  <mergeCells count="3">
    <mergeCell ref="K3:P3"/>
    <mergeCell ref="K4:P4"/>
    <mergeCell ref="B105:K105"/>
  </mergeCells>
  <hyperlinks>
    <hyperlink ref="K10" location="Hoja7!Q100" display="Crear un hipervínculo que lo lleve a la celda Q100 de esta hoja." xr:uid="{B54891DA-8FFA-4485-953E-6BD1405C41DF}"/>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A1DE7-97C4-4F9C-B8A4-C7EC51E8FE37}">
  <sheetPr codeName="Hoja9"/>
  <dimension ref="B2:K7"/>
  <sheetViews>
    <sheetView zoomScaleNormal="100" workbookViewId="0">
      <selection activeCell="H6" sqref="H6"/>
    </sheetView>
  </sheetViews>
  <sheetFormatPr baseColWidth="10" defaultRowHeight="15"/>
  <cols>
    <col min="2" max="2" width="14" bestFit="1" customWidth="1"/>
    <col min="8" max="8" width="14" bestFit="1" customWidth="1"/>
  </cols>
  <sheetData>
    <row r="2" spans="2:11">
      <c r="B2" t="s">
        <v>286</v>
      </c>
      <c r="C2" t="s">
        <v>287</v>
      </c>
      <c r="D2" t="s">
        <v>293</v>
      </c>
      <c r="E2" t="s">
        <v>294</v>
      </c>
      <c r="H2" s="132" t="s">
        <v>286</v>
      </c>
      <c r="I2" s="133" t="s">
        <v>287</v>
      </c>
      <c r="J2" s="134" t="s">
        <v>293</v>
      </c>
      <c r="K2" s="133" t="s">
        <v>294</v>
      </c>
    </row>
    <row r="3" spans="2:11">
      <c r="B3" t="s">
        <v>288</v>
      </c>
      <c r="C3">
        <v>20000</v>
      </c>
      <c r="D3">
        <v>200000</v>
      </c>
      <c r="E3" t="s">
        <v>295</v>
      </c>
      <c r="H3" t="s">
        <v>292</v>
      </c>
      <c r="I3">
        <f>VLOOKUP(H3,Tabla1[],2,FALSE)</f>
        <v>2569852</v>
      </c>
      <c r="J3">
        <f>VLOOKUP($H$3,Tabla1[],3,FALSE)</f>
        <v>800000</v>
      </c>
      <c r="K3" t="str">
        <f>VLOOKUP($H$3,Tabla1[],4,FALSE)</f>
        <v>AEROPUERTO</v>
      </c>
    </row>
    <row r="4" spans="2:11">
      <c r="B4" t="s">
        <v>289</v>
      </c>
      <c r="C4">
        <v>50000</v>
      </c>
      <c r="D4">
        <v>30000</v>
      </c>
      <c r="E4" t="s">
        <v>296</v>
      </c>
    </row>
    <row r="5" spans="2:11">
      <c r="B5" t="s">
        <v>290</v>
      </c>
      <c r="C5">
        <v>20001</v>
      </c>
      <c r="D5">
        <v>520000</v>
      </c>
      <c r="E5" t="s">
        <v>298</v>
      </c>
      <c r="H5" s="130" t="s">
        <v>286</v>
      </c>
      <c r="I5" s="130" t="s">
        <v>287</v>
      </c>
      <c r="J5" s="130" t="s">
        <v>293</v>
      </c>
      <c r="K5" s="130" t="s">
        <v>294</v>
      </c>
    </row>
    <row r="6" spans="2:11">
      <c r="B6" t="s">
        <v>291</v>
      </c>
      <c r="C6">
        <v>685200</v>
      </c>
      <c r="D6">
        <v>600000</v>
      </c>
      <c r="E6" t="s">
        <v>297</v>
      </c>
      <c r="H6" t="s">
        <v>289</v>
      </c>
      <c r="I6">
        <f>VLOOKUP(H6,Tabla1[],2,FALSE)</f>
        <v>50000</v>
      </c>
      <c r="J6">
        <f>VLOOKUP(H6,Tabla1[],3,FALSE)</f>
        <v>30000</v>
      </c>
      <c r="K6" t="str">
        <f>VLOOKUP(H6,Tabla1[],4,FALSE)</f>
        <v>NVIDIA</v>
      </c>
    </row>
    <row r="7" spans="2:11">
      <c r="B7" t="s">
        <v>292</v>
      </c>
      <c r="C7">
        <v>2569852</v>
      </c>
      <c r="D7">
        <v>800000</v>
      </c>
      <c r="E7" t="s">
        <v>299</v>
      </c>
    </row>
  </sheetData>
  <dataValidations count="1">
    <dataValidation type="list" allowBlank="1" showInputMessage="1" showErrorMessage="1" sqref="H3" xr:uid="{EDF72F6E-0711-4AD5-80D7-EC40DD7A04BF}">
      <formula1>$B$3:$B$7</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3398B-F81C-4063-8507-F0A60ADA5880}">
  <sheetPr codeName="Hoja10"/>
  <dimension ref="A1:N113"/>
  <sheetViews>
    <sheetView workbookViewId="0">
      <selection activeCell="L10" sqref="L10"/>
    </sheetView>
  </sheetViews>
  <sheetFormatPr baseColWidth="10" defaultRowHeight="15"/>
  <cols>
    <col min="13" max="13" width="15.140625" bestFit="1" customWidth="1"/>
  </cols>
  <sheetData>
    <row r="1" spans="1:14">
      <c r="A1" s="43"/>
      <c r="B1" s="43"/>
      <c r="C1" s="43"/>
      <c r="D1" s="43"/>
      <c r="E1" s="43"/>
      <c r="F1" s="43"/>
      <c r="G1" s="43"/>
      <c r="H1" s="43"/>
      <c r="I1" s="43"/>
      <c r="J1" s="43"/>
      <c r="K1" s="43"/>
      <c r="L1" s="43"/>
      <c r="M1" s="43"/>
      <c r="N1" s="43"/>
    </row>
    <row r="2" spans="1:14">
      <c r="A2" s="43"/>
      <c r="B2" s="43"/>
      <c r="C2" s="43"/>
      <c r="D2" s="43"/>
      <c r="E2" s="43"/>
      <c r="F2" s="43"/>
      <c r="G2" s="43"/>
      <c r="H2" s="43"/>
      <c r="I2" s="43"/>
      <c r="J2" s="43"/>
      <c r="K2" s="43"/>
      <c r="L2" s="43"/>
      <c r="M2" s="43"/>
      <c r="N2" s="43"/>
    </row>
    <row r="3" spans="1:14" ht="45">
      <c r="A3" s="50"/>
      <c r="B3" s="36" t="s">
        <v>300</v>
      </c>
      <c r="C3" s="36" t="s">
        <v>301</v>
      </c>
      <c r="D3" s="50"/>
      <c r="E3" s="20" t="s">
        <v>0</v>
      </c>
      <c r="F3" s="20" t="s">
        <v>175</v>
      </c>
      <c r="G3" s="20" t="s">
        <v>176</v>
      </c>
      <c r="H3" s="50" t="s">
        <v>302</v>
      </c>
      <c r="I3" s="50"/>
      <c r="J3" s="50"/>
      <c r="K3" s="50"/>
      <c r="L3" s="50"/>
      <c r="M3" s="50"/>
      <c r="N3" s="50"/>
    </row>
    <row r="4" spans="1:14">
      <c r="A4" s="50"/>
      <c r="B4" s="23" t="s">
        <v>253</v>
      </c>
      <c r="C4" s="28">
        <v>10</v>
      </c>
      <c r="D4" s="50"/>
      <c r="E4" s="23" t="s">
        <v>98</v>
      </c>
      <c r="F4" s="28">
        <f>IFERROR(VLOOKUP(E4,B14:L113,10,FALSE),"error")</f>
        <v>10000000</v>
      </c>
      <c r="G4" s="28">
        <f>IFERROR(VLOOKUP(E4,$B$14:$L$113,11,FALSE),"error")</f>
        <v>40848959</v>
      </c>
      <c r="H4" s="50"/>
      <c r="I4" s="50"/>
      <c r="J4" s="50"/>
      <c r="K4" s="50"/>
      <c r="L4" s="50"/>
      <c r="M4" s="50"/>
      <c r="N4" s="50"/>
    </row>
    <row r="5" spans="1:14">
      <c r="A5" s="50"/>
      <c r="B5" s="23" t="s">
        <v>241</v>
      </c>
      <c r="C5" s="28">
        <v>20</v>
      </c>
      <c r="D5" s="50"/>
      <c r="E5" s="50"/>
      <c r="F5" s="50"/>
      <c r="G5" s="50"/>
      <c r="H5" s="50"/>
      <c r="I5" s="50"/>
      <c r="J5" s="50"/>
      <c r="K5" s="50"/>
      <c r="L5" s="50"/>
      <c r="M5" s="50"/>
      <c r="N5" s="50"/>
    </row>
    <row r="6" spans="1:14">
      <c r="A6" s="50"/>
      <c r="B6" s="23" t="s">
        <v>240</v>
      </c>
      <c r="C6" s="28">
        <v>30</v>
      </c>
      <c r="D6" s="50"/>
      <c r="E6" s="50"/>
      <c r="F6" s="50"/>
      <c r="G6" s="50"/>
      <c r="H6" s="50"/>
      <c r="I6" s="50"/>
      <c r="J6" s="50"/>
      <c r="K6" s="50"/>
      <c r="L6" s="50"/>
      <c r="M6" s="50"/>
      <c r="N6" s="50"/>
    </row>
    <row r="7" spans="1:14">
      <c r="A7" s="50"/>
      <c r="B7" s="50"/>
      <c r="C7" s="50"/>
      <c r="D7" s="50"/>
      <c r="E7" s="50"/>
      <c r="F7" s="50"/>
      <c r="G7" s="50"/>
      <c r="H7" s="50"/>
      <c r="I7" s="50"/>
      <c r="J7" s="50"/>
      <c r="K7" s="50"/>
      <c r="L7" s="50"/>
      <c r="M7" s="50"/>
      <c r="N7" s="50"/>
    </row>
    <row r="8" spans="1:14">
      <c r="A8" s="50"/>
      <c r="B8" s="303" t="s">
        <v>303</v>
      </c>
      <c r="C8" s="304"/>
      <c r="D8" s="50"/>
      <c r="E8" s="50"/>
      <c r="F8" s="135">
        <v>10</v>
      </c>
      <c r="G8" s="135">
        <v>11</v>
      </c>
      <c r="H8" s="50"/>
      <c r="I8" s="50"/>
      <c r="J8" s="50"/>
      <c r="K8" s="50"/>
      <c r="L8" s="50"/>
      <c r="M8" s="50"/>
      <c r="N8" s="50"/>
    </row>
    <row r="9" spans="1:14" ht="45">
      <c r="A9" s="50"/>
      <c r="B9" s="36" t="s">
        <v>300</v>
      </c>
      <c r="C9" s="36" t="s">
        <v>301</v>
      </c>
      <c r="D9" s="50"/>
      <c r="E9" s="20" t="s">
        <v>0</v>
      </c>
      <c r="F9" s="20" t="s">
        <v>175</v>
      </c>
      <c r="G9" s="20" t="s">
        <v>176</v>
      </c>
      <c r="H9" s="50" t="s">
        <v>304</v>
      </c>
      <c r="I9" s="50"/>
      <c r="J9" s="50"/>
      <c r="K9" s="50"/>
      <c r="L9" s="50"/>
      <c r="M9" s="50"/>
      <c r="N9" s="50"/>
    </row>
    <row r="10" spans="1:14">
      <c r="A10" s="50"/>
      <c r="B10" s="23" t="s">
        <v>253</v>
      </c>
      <c r="C10" s="41">
        <f>VLOOKUP(B10,B4:C6,2,FALSE)</f>
        <v>10</v>
      </c>
      <c r="D10" s="50"/>
      <c r="E10" s="23" t="s">
        <v>166</v>
      </c>
      <c r="F10" s="28" t="str">
        <f>IFERROR(VLOOKUP(E10,$B$14:$L$113,F8,FALSE),"no encontrado")</f>
        <v>no encontrado</v>
      </c>
      <c r="G10" s="28" t="str">
        <f>IFERROR(VLOOKUP(E10,$B$14:$L$113,G8,FALSE),"no encontrado")</f>
        <v>no encontrado</v>
      </c>
      <c r="H10" s="50"/>
      <c r="I10" s="50"/>
      <c r="J10" s="50"/>
      <c r="K10" s="50"/>
      <c r="L10" s="50"/>
      <c r="M10" s="50"/>
      <c r="N10" s="50"/>
    </row>
    <row r="11" spans="1:14">
      <c r="A11" s="43"/>
      <c r="B11" s="50" t="s">
        <v>406</v>
      </c>
      <c r="C11" s="136" t="str">
        <f>IFERROR(VLOOKUP(B11,B4:C6,2,FALSE),"no encontrado")</f>
        <v>no encontrado</v>
      </c>
      <c r="D11" s="43"/>
      <c r="E11" s="43"/>
      <c r="F11" s="43"/>
      <c r="G11" s="43"/>
      <c r="H11" s="43"/>
      <c r="I11" s="43"/>
      <c r="J11" s="43"/>
      <c r="K11" s="43"/>
      <c r="L11" s="43"/>
      <c r="M11" s="43"/>
      <c r="N11" s="43"/>
    </row>
    <row r="12" spans="1:14">
      <c r="A12" s="43"/>
      <c r="B12" s="43"/>
      <c r="C12" s="43"/>
      <c r="D12" s="43"/>
      <c r="E12" s="43"/>
      <c r="F12" s="43"/>
      <c r="G12" s="43"/>
      <c r="H12" s="43"/>
      <c r="I12" s="43"/>
      <c r="J12" s="43"/>
      <c r="K12" s="43"/>
      <c r="L12" s="43"/>
      <c r="M12" s="43"/>
      <c r="N12" s="43"/>
    </row>
    <row r="13" spans="1:14" ht="60">
      <c r="A13" s="43"/>
      <c r="B13" s="20" t="s">
        <v>0</v>
      </c>
      <c r="C13" s="20" t="s">
        <v>305</v>
      </c>
      <c r="D13" s="20" t="s">
        <v>7</v>
      </c>
      <c r="E13" s="20" t="s">
        <v>3</v>
      </c>
      <c r="F13" s="20" t="s">
        <v>4</v>
      </c>
      <c r="G13" s="20" t="s">
        <v>5</v>
      </c>
      <c r="H13" s="20" t="s">
        <v>6</v>
      </c>
      <c r="I13" s="20" t="s">
        <v>276</v>
      </c>
      <c r="J13" s="20" t="s">
        <v>277</v>
      </c>
      <c r="K13" s="20" t="s">
        <v>175</v>
      </c>
      <c r="L13" s="20" t="s">
        <v>176</v>
      </c>
      <c r="M13" s="20" t="s">
        <v>177</v>
      </c>
      <c r="N13" s="20" t="s">
        <v>178</v>
      </c>
    </row>
    <row r="14" spans="1:14">
      <c r="A14" s="43"/>
      <c r="B14" s="23" t="s">
        <v>57</v>
      </c>
      <c r="C14" s="137" t="s">
        <v>306</v>
      </c>
      <c r="D14" s="24" t="s">
        <v>13</v>
      </c>
      <c r="E14" s="24" t="s">
        <v>54</v>
      </c>
      <c r="F14" s="24" t="s">
        <v>55</v>
      </c>
      <c r="G14" s="24" t="s">
        <v>56</v>
      </c>
      <c r="H14" s="24" t="s">
        <v>12</v>
      </c>
      <c r="I14" s="24">
        <v>3</v>
      </c>
      <c r="J14" s="24">
        <v>8</v>
      </c>
      <c r="K14" s="138" t="s">
        <v>141</v>
      </c>
      <c r="L14" s="138" t="s">
        <v>179</v>
      </c>
      <c r="M14" s="140">
        <f>IFERROR(VLOOKUP(B14,'SUM PROM Y REDONDEO'!A2:J101,9,FALSE),"no eno")</f>
        <v>96781441</v>
      </c>
      <c r="N14" s="139">
        <f>IFERROR(VLOOKUP(B14,'SUM PROM Y REDONDEO'!A2:J101,10,FALSE),"no eno")</f>
        <v>47643060</v>
      </c>
    </row>
    <row r="15" spans="1:14">
      <c r="A15" s="43"/>
      <c r="B15" s="23" t="s">
        <v>98</v>
      </c>
      <c r="C15" s="137" t="s">
        <v>307</v>
      </c>
      <c r="D15" s="24" t="s">
        <v>13</v>
      </c>
      <c r="E15" s="24" t="s">
        <v>21</v>
      </c>
      <c r="F15" s="24" t="s">
        <v>10</v>
      </c>
      <c r="G15" s="24" t="s">
        <v>11</v>
      </c>
      <c r="H15" s="24" t="s">
        <v>30</v>
      </c>
      <c r="I15" s="24">
        <v>8</v>
      </c>
      <c r="J15" s="24">
        <v>7</v>
      </c>
      <c r="K15" s="28">
        <v>10000000</v>
      </c>
      <c r="L15" s="28">
        <v>40848959</v>
      </c>
      <c r="M15" s="140">
        <f>IFERROR(VLOOKUP(B15,'SUM PROM Y REDONDEO'!A3:J102,9,FALSE),"no eno")</f>
        <v>92963332</v>
      </c>
      <c r="N15" s="139">
        <f>IFERROR(VLOOKUP(B15,'SUM PROM Y REDONDEO'!A3:J102,10,FALSE),"no eno")</f>
        <v>47565587</v>
      </c>
    </row>
    <row r="16" spans="1:14">
      <c r="A16" s="43"/>
      <c r="B16" s="23" t="s">
        <v>118</v>
      </c>
      <c r="C16" s="137" t="s">
        <v>308</v>
      </c>
      <c r="D16" s="24" t="s">
        <v>13</v>
      </c>
      <c r="E16" s="24" t="s">
        <v>9</v>
      </c>
      <c r="F16" s="24" t="s">
        <v>17</v>
      </c>
      <c r="G16" s="25" t="s">
        <v>23</v>
      </c>
      <c r="H16" s="24" t="s">
        <v>12</v>
      </c>
      <c r="I16" s="24">
        <v>5</v>
      </c>
      <c r="J16" s="24">
        <v>10</v>
      </c>
      <c r="K16" s="23" t="s">
        <v>141</v>
      </c>
      <c r="L16" s="23" t="s">
        <v>179</v>
      </c>
      <c r="M16" s="140">
        <f>IFERROR(VLOOKUP(B16,'SUM PROM Y REDONDEO'!A4:J103,9,FALSE),"no eno")</f>
        <v>49599457</v>
      </c>
      <c r="N16" s="139">
        <f>IFERROR(VLOOKUP(B16,'SUM PROM Y REDONDEO'!A4:J103,10,FALSE),"no eno")</f>
        <v>0</v>
      </c>
    </row>
    <row r="17" spans="1:14">
      <c r="A17" s="43"/>
      <c r="B17" s="23" t="s">
        <v>60</v>
      </c>
      <c r="C17" s="137" t="s">
        <v>309</v>
      </c>
      <c r="D17" s="24" t="s">
        <v>13</v>
      </c>
      <c r="E17" s="24" t="s">
        <v>21</v>
      </c>
      <c r="F17" s="24" t="s">
        <v>10</v>
      </c>
      <c r="G17" s="24" t="s">
        <v>27</v>
      </c>
      <c r="H17" s="24" t="s">
        <v>12</v>
      </c>
      <c r="I17" s="24">
        <v>4</v>
      </c>
      <c r="J17" s="24">
        <v>8</v>
      </c>
      <c r="K17" s="28">
        <v>10000000</v>
      </c>
      <c r="L17" s="28">
        <v>78308880</v>
      </c>
      <c r="M17" s="140">
        <f>IFERROR(VLOOKUP(B17,'SUM PROM Y REDONDEO'!A5:J104,9,FALSE),"no eno")</f>
        <v>3248026</v>
      </c>
      <c r="N17" s="139">
        <f>IFERROR(VLOOKUP(B17,'SUM PROM Y REDONDEO'!A5:J104,10,FALSE),"no eno")</f>
        <v>27143270</v>
      </c>
    </row>
    <row r="18" spans="1:14">
      <c r="A18" s="43"/>
      <c r="B18" s="23" t="s">
        <v>8</v>
      </c>
      <c r="C18" s="137" t="s">
        <v>310</v>
      </c>
      <c r="D18" s="24" t="s">
        <v>13</v>
      </c>
      <c r="E18" s="24" t="s">
        <v>9</v>
      </c>
      <c r="F18" s="24" t="s">
        <v>10</v>
      </c>
      <c r="G18" s="24" t="s">
        <v>11</v>
      </c>
      <c r="H18" s="24" t="s">
        <v>12</v>
      </c>
      <c r="I18" s="24">
        <v>4</v>
      </c>
      <c r="J18" s="24">
        <v>9</v>
      </c>
      <c r="K18" s="28">
        <v>50000000</v>
      </c>
      <c r="L18" s="28">
        <v>2910571</v>
      </c>
      <c r="M18" s="140">
        <f>IFERROR(VLOOKUP(B18,'SUM PROM Y REDONDEO'!A6:J105,9,FALSE),"no eno")</f>
        <v>37561085</v>
      </c>
      <c r="N18" s="139">
        <f>IFERROR(VLOOKUP(B18,'SUM PROM Y REDONDEO'!A6:J105,10,FALSE),"no eno")</f>
        <v>19598007</v>
      </c>
    </row>
    <row r="19" spans="1:14">
      <c r="A19" s="43"/>
      <c r="B19" s="23" t="s">
        <v>125</v>
      </c>
      <c r="C19" s="137" t="s">
        <v>311</v>
      </c>
      <c r="D19" s="24" t="s">
        <v>13</v>
      </c>
      <c r="E19" s="24" t="s">
        <v>21</v>
      </c>
      <c r="F19" s="24" t="s">
        <v>10</v>
      </c>
      <c r="G19" s="24" t="s">
        <v>27</v>
      </c>
      <c r="H19" s="24" t="s">
        <v>12</v>
      </c>
      <c r="I19" s="24">
        <v>9</v>
      </c>
      <c r="J19" s="24">
        <v>7</v>
      </c>
      <c r="K19" s="28">
        <v>90000000</v>
      </c>
      <c r="L19" s="28">
        <v>50075523</v>
      </c>
      <c r="M19" s="140">
        <f>IFERROR(VLOOKUP(B19,'SUM PROM Y REDONDEO'!A7:J106,9,FALSE),"no eno")</f>
        <v>59142617</v>
      </c>
      <c r="N19" s="139">
        <f>IFERROR(VLOOKUP(B19,'SUM PROM Y REDONDEO'!A7:J106,10,FALSE),"no eno")</f>
        <v>95314026</v>
      </c>
    </row>
    <row r="20" spans="1:14">
      <c r="A20" s="43"/>
      <c r="B20" s="23" t="s">
        <v>74</v>
      </c>
      <c r="C20" s="137" t="s">
        <v>312</v>
      </c>
      <c r="D20" s="24" t="s">
        <v>13</v>
      </c>
      <c r="E20" s="24" t="s">
        <v>21</v>
      </c>
      <c r="F20" s="24" t="s">
        <v>17</v>
      </c>
      <c r="G20" s="25" t="s">
        <v>23</v>
      </c>
      <c r="H20" s="24" t="s">
        <v>12</v>
      </c>
      <c r="I20" s="24">
        <v>5</v>
      </c>
      <c r="J20" s="24">
        <v>9</v>
      </c>
      <c r="K20" s="23" t="s">
        <v>141</v>
      </c>
      <c r="L20" s="23" t="s">
        <v>179</v>
      </c>
      <c r="M20" s="140">
        <f>IFERROR(VLOOKUP(B20,'SUM PROM Y REDONDEO'!A8:J107,9,FALSE),"no eno")</f>
        <v>0</v>
      </c>
      <c r="N20" s="139">
        <f>IFERROR(VLOOKUP(B20,'SUM PROM Y REDONDEO'!A8:J107,10,FALSE),"no eno")</f>
        <v>67714973</v>
      </c>
    </row>
    <row r="21" spans="1:14">
      <c r="A21" s="43"/>
      <c r="B21" s="23" t="s">
        <v>29</v>
      </c>
      <c r="C21" s="137" t="s">
        <v>313</v>
      </c>
      <c r="D21" s="24" t="s">
        <v>13</v>
      </c>
      <c r="E21" s="24" t="s">
        <v>21</v>
      </c>
      <c r="F21" s="24" t="s">
        <v>10</v>
      </c>
      <c r="G21" s="24" t="s">
        <v>11</v>
      </c>
      <c r="H21" s="24" t="s">
        <v>30</v>
      </c>
      <c r="I21" s="24">
        <v>8</v>
      </c>
      <c r="J21" s="24">
        <v>10</v>
      </c>
      <c r="K21" s="28">
        <v>1000000</v>
      </c>
      <c r="L21" s="28">
        <v>5305190</v>
      </c>
      <c r="M21" s="140">
        <f>IFERROR(VLOOKUP(B21,'SUM PROM Y REDONDEO'!A9:J108,9,FALSE),"no eno")</f>
        <v>53291805</v>
      </c>
      <c r="N21" s="139">
        <f>IFERROR(VLOOKUP(B21,'SUM PROM Y REDONDEO'!A9:J108,10,FALSE),"no eno")</f>
        <v>84809282</v>
      </c>
    </row>
    <row r="22" spans="1:14">
      <c r="A22" s="43"/>
      <c r="B22" s="23" t="s">
        <v>107</v>
      </c>
      <c r="C22" s="137" t="s">
        <v>314</v>
      </c>
      <c r="D22" s="23" t="s">
        <v>13</v>
      </c>
      <c r="E22" s="23" t="s">
        <v>15</v>
      </c>
      <c r="F22" s="23" t="s">
        <v>17</v>
      </c>
      <c r="G22" s="75" t="s">
        <v>23</v>
      </c>
      <c r="H22" s="23" t="s">
        <v>30</v>
      </c>
      <c r="I22" s="24">
        <v>8</v>
      </c>
      <c r="J22" s="24">
        <v>3</v>
      </c>
      <c r="K22" s="23" t="s">
        <v>141</v>
      </c>
      <c r="L22" s="23" t="s">
        <v>179</v>
      </c>
      <c r="M22" s="140">
        <f>IFERROR(VLOOKUP(B22,'SUM PROM Y REDONDEO'!A10:J109,9,FALSE),"no eno")</f>
        <v>50085574</v>
      </c>
      <c r="N22" s="139">
        <f>IFERROR(VLOOKUP(B22,'SUM PROM Y REDONDEO'!A10:J109,10,FALSE),"no eno")</f>
        <v>42495353</v>
      </c>
    </row>
    <row r="23" spans="1:14">
      <c r="A23" s="43"/>
      <c r="B23" s="23" t="s">
        <v>108</v>
      </c>
      <c r="C23" s="137" t="s">
        <v>315</v>
      </c>
      <c r="D23" s="24" t="s">
        <v>13</v>
      </c>
      <c r="E23" s="24" t="s">
        <v>25</v>
      </c>
      <c r="F23" s="24" t="s">
        <v>10</v>
      </c>
      <c r="G23" s="24" t="s">
        <v>27</v>
      </c>
      <c r="H23" s="24" t="s">
        <v>12</v>
      </c>
      <c r="I23" s="24">
        <v>5</v>
      </c>
      <c r="J23" s="24">
        <v>9</v>
      </c>
      <c r="K23" s="28">
        <v>10000000</v>
      </c>
      <c r="L23" s="28">
        <v>38941670</v>
      </c>
      <c r="M23" s="140">
        <f>IFERROR(VLOOKUP(B23,'SUM PROM Y REDONDEO'!A11:J110,9,FALSE),"no eno")</f>
        <v>67846781</v>
      </c>
      <c r="N23" s="139">
        <f>IFERROR(VLOOKUP(B23,'SUM PROM Y REDONDEO'!A11:J110,10,FALSE),"no eno")</f>
        <v>87726693</v>
      </c>
    </row>
    <row r="24" spans="1:14">
      <c r="A24" s="43"/>
      <c r="B24" s="23" t="s">
        <v>129</v>
      </c>
      <c r="C24" s="137" t="s">
        <v>316</v>
      </c>
      <c r="D24" s="25" t="s">
        <v>130</v>
      </c>
      <c r="E24" s="24" t="s">
        <v>21</v>
      </c>
      <c r="F24" s="24" t="s">
        <v>10</v>
      </c>
      <c r="G24" s="24" t="s">
        <v>27</v>
      </c>
      <c r="H24" s="24" t="s">
        <v>12</v>
      </c>
      <c r="I24" s="24">
        <v>4</v>
      </c>
      <c r="J24" s="24">
        <v>5</v>
      </c>
      <c r="K24" s="28">
        <v>1000000</v>
      </c>
      <c r="L24" s="28">
        <v>28926771</v>
      </c>
      <c r="M24" s="140">
        <f>IFERROR(VLOOKUP(B24,'SUM PROM Y REDONDEO'!A12:J111,9,FALSE),"no eno")</f>
        <v>56939610</v>
      </c>
      <c r="N24" s="139">
        <f>IFERROR(VLOOKUP(B24,'SUM PROM Y REDONDEO'!A12:J111,10,FALSE),"no eno")</f>
        <v>92726884</v>
      </c>
    </row>
    <row r="25" spans="1:14">
      <c r="A25" s="43"/>
      <c r="B25" s="23" t="s">
        <v>93</v>
      </c>
      <c r="C25" s="137" t="s">
        <v>317</v>
      </c>
      <c r="D25" s="24" t="s">
        <v>13</v>
      </c>
      <c r="E25" s="24" t="s">
        <v>21</v>
      </c>
      <c r="F25" s="24" t="s">
        <v>10</v>
      </c>
      <c r="G25" s="24" t="s">
        <v>27</v>
      </c>
      <c r="H25" s="24" t="s">
        <v>12</v>
      </c>
      <c r="I25" s="24">
        <v>3</v>
      </c>
      <c r="J25" s="24">
        <v>8</v>
      </c>
      <c r="K25" s="28">
        <v>1000000</v>
      </c>
      <c r="L25" s="28">
        <v>34252074</v>
      </c>
      <c r="M25" s="140">
        <f>IFERROR(VLOOKUP(B25,'SUM PROM Y REDONDEO'!A13:J112,9,FALSE),"no eno")</f>
        <v>0</v>
      </c>
      <c r="N25" s="139">
        <f>IFERROR(VLOOKUP(B25,'SUM PROM Y REDONDEO'!A13:J112,10,FALSE),"no eno")</f>
        <v>22994819</v>
      </c>
    </row>
    <row r="26" spans="1:14">
      <c r="A26" s="43"/>
      <c r="B26" s="23" t="s">
        <v>16</v>
      </c>
      <c r="C26" s="137" t="s">
        <v>318</v>
      </c>
      <c r="D26" s="24" t="s">
        <v>13</v>
      </c>
      <c r="E26" s="24" t="s">
        <v>9</v>
      </c>
      <c r="F26" s="24" t="s">
        <v>17</v>
      </c>
      <c r="G26" s="25" t="s">
        <v>18</v>
      </c>
      <c r="H26" s="24" t="s">
        <v>12</v>
      </c>
      <c r="I26" s="24">
        <v>7</v>
      </c>
      <c r="J26" s="24">
        <v>9</v>
      </c>
      <c r="K26" s="23" t="s">
        <v>141</v>
      </c>
      <c r="L26" s="23" t="s">
        <v>179</v>
      </c>
      <c r="M26" s="140">
        <f>IFERROR(VLOOKUP(B26,'SUM PROM Y REDONDEO'!A14:J113,9,FALSE),"no eno")</f>
        <v>45347826</v>
      </c>
      <c r="N26" s="139">
        <f>IFERROR(VLOOKUP(B26,'SUM PROM Y REDONDEO'!A14:J113,10,FALSE),"no eno")</f>
        <v>14301768</v>
      </c>
    </row>
    <row r="27" spans="1:14">
      <c r="A27" s="43"/>
      <c r="B27" s="23" t="s">
        <v>34</v>
      </c>
      <c r="C27" s="137" t="s">
        <v>319</v>
      </c>
      <c r="D27" s="24" t="s">
        <v>13</v>
      </c>
      <c r="E27" s="24" t="s">
        <v>21</v>
      </c>
      <c r="F27" s="24" t="s">
        <v>17</v>
      </c>
      <c r="G27" s="25" t="s">
        <v>18</v>
      </c>
      <c r="H27" s="24" t="s">
        <v>30</v>
      </c>
      <c r="I27" s="24">
        <v>4</v>
      </c>
      <c r="J27" s="24">
        <v>8</v>
      </c>
      <c r="K27" s="23" t="s">
        <v>141</v>
      </c>
      <c r="L27" s="23" t="s">
        <v>179</v>
      </c>
      <c r="M27" s="140">
        <f>IFERROR(VLOOKUP(B27,'SUM PROM Y REDONDEO'!A15:J114,9,FALSE),"no eno")</f>
        <v>71453938</v>
      </c>
      <c r="N27" s="139">
        <f>IFERROR(VLOOKUP(B27,'SUM PROM Y REDONDEO'!A15:J114,10,FALSE),"no eno")</f>
        <v>38593802</v>
      </c>
    </row>
    <row r="28" spans="1:14">
      <c r="A28" s="43"/>
      <c r="B28" s="23" t="s">
        <v>45</v>
      </c>
      <c r="C28" s="137" t="s">
        <v>320</v>
      </c>
      <c r="D28" s="24" t="s">
        <v>13</v>
      </c>
      <c r="E28" s="24" t="s">
        <v>25</v>
      </c>
      <c r="F28" s="24" t="s">
        <v>10</v>
      </c>
      <c r="G28" s="24" t="s">
        <v>11</v>
      </c>
      <c r="H28" s="24" t="s">
        <v>12</v>
      </c>
      <c r="I28" s="24">
        <v>9</v>
      </c>
      <c r="J28" s="24">
        <v>10</v>
      </c>
      <c r="K28" s="28">
        <v>20000000</v>
      </c>
      <c r="L28" s="28">
        <v>32346156</v>
      </c>
      <c r="M28" s="140">
        <f>IFERROR(VLOOKUP(B28,'SUM PROM Y REDONDEO'!A16:J115,9,FALSE),"no eno")</f>
        <v>22346275</v>
      </c>
      <c r="N28" s="139">
        <f>IFERROR(VLOOKUP(B28,'SUM PROM Y REDONDEO'!A16:J115,10,FALSE),"no eno")</f>
        <v>73743047</v>
      </c>
    </row>
    <row r="29" spans="1:14">
      <c r="A29" s="43"/>
      <c r="B29" s="23" t="s">
        <v>64</v>
      </c>
      <c r="C29" s="137" t="s">
        <v>321</v>
      </c>
      <c r="D29" s="24" t="s">
        <v>13</v>
      </c>
      <c r="E29" s="24" t="s">
        <v>54</v>
      </c>
      <c r="F29" s="24" t="s">
        <v>55</v>
      </c>
      <c r="G29" s="24" t="s">
        <v>56</v>
      </c>
      <c r="H29" s="24" t="s">
        <v>12</v>
      </c>
      <c r="I29" s="24">
        <v>4</v>
      </c>
      <c r="J29" s="24">
        <v>6</v>
      </c>
      <c r="K29" s="23" t="s">
        <v>141</v>
      </c>
      <c r="L29" s="23" t="s">
        <v>179</v>
      </c>
      <c r="M29" s="140">
        <f>IFERROR(VLOOKUP(B29,'SUM PROM Y REDONDEO'!A17:J116,9,FALSE),"no eno")</f>
        <v>96357193</v>
      </c>
      <c r="N29" s="139">
        <f>IFERROR(VLOOKUP(B29,'SUM PROM Y REDONDEO'!A17:J116,10,FALSE),"no eno")</f>
        <v>67901582</v>
      </c>
    </row>
    <row r="30" spans="1:14">
      <c r="A30" s="43"/>
      <c r="B30" s="23" t="s">
        <v>90</v>
      </c>
      <c r="C30" s="137" t="s">
        <v>322</v>
      </c>
      <c r="D30" s="24" t="s">
        <v>13</v>
      </c>
      <c r="E30" s="24" t="s">
        <v>21</v>
      </c>
      <c r="F30" s="24" t="s">
        <v>10</v>
      </c>
      <c r="G30" s="24" t="s">
        <v>11</v>
      </c>
      <c r="H30" s="24" t="s">
        <v>12</v>
      </c>
      <c r="I30" s="24">
        <v>5</v>
      </c>
      <c r="J30" s="24">
        <v>7</v>
      </c>
      <c r="K30" s="28">
        <v>100000000</v>
      </c>
      <c r="L30" s="28">
        <v>72903049</v>
      </c>
      <c r="M30" s="140">
        <f>IFERROR(VLOOKUP(B30,'SUM PROM Y REDONDEO'!A18:J117,9,FALSE),"no eno")</f>
        <v>67375493</v>
      </c>
      <c r="N30" s="139">
        <f>IFERROR(VLOOKUP(B30,'SUM PROM Y REDONDEO'!A18:J117,10,FALSE),"no eno")</f>
        <v>4753995</v>
      </c>
    </row>
    <row r="31" spans="1:14">
      <c r="A31" s="43"/>
      <c r="B31" s="23" t="s">
        <v>105</v>
      </c>
      <c r="C31" s="137" t="s">
        <v>323</v>
      </c>
      <c r="D31" s="24" t="s">
        <v>13</v>
      </c>
      <c r="E31" s="24" t="s">
        <v>54</v>
      </c>
      <c r="F31" s="24" t="s">
        <v>55</v>
      </c>
      <c r="G31" s="24" t="s">
        <v>56</v>
      </c>
      <c r="H31" s="24" t="s">
        <v>12</v>
      </c>
      <c r="I31" s="24">
        <v>6</v>
      </c>
      <c r="J31" s="24">
        <v>7</v>
      </c>
      <c r="K31" s="23" t="s">
        <v>141</v>
      </c>
      <c r="L31" s="23" t="s">
        <v>179</v>
      </c>
      <c r="M31" s="140">
        <f>IFERROR(VLOOKUP(B31,'SUM PROM Y REDONDEO'!A19:J118,9,FALSE),"no eno")</f>
        <v>80671052</v>
      </c>
      <c r="N31" s="139">
        <f>IFERROR(VLOOKUP(B31,'SUM PROM Y REDONDEO'!A19:J118,10,FALSE),"no eno")</f>
        <v>58339670</v>
      </c>
    </row>
    <row r="32" spans="1:14">
      <c r="A32" s="43"/>
      <c r="B32" s="23" t="s">
        <v>68</v>
      </c>
      <c r="C32" s="137" t="s">
        <v>324</v>
      </c>
      <c r="D32" s="24" t="s">
        <v>32</v>
      </c>
      <c r="E32" s="24" t="s">
        <v>25</v>
      </c>
      <c r="F32" s="24" t="s">
        <v>17</v>
      </c>
      <c r="G32" s="25" t="s">
        <v>18</v>
      </c>
      <c r="H32" s="24" t="s">
        <v>30</v>
      </c>
      <c r="I32" s="24">
        <v>9</v>
      </c>
      <c r="J32" s="24">
        <v>8</v>
      </c>
      <c r="K32" s="23" t="s">
        <v>141</v>
      </c>
      <c r="L32" s="23" t="s">
        <v>179</v>
      </c>
      <c r="M32" s="140" t="str">
        <f>IFERROR(VLOOKUP(B32,'SUM PROM Y REDONDEO'!A20:J119,9,FALSE),"no eno")</f>
        <v>no eno</v>
      </c>
      <c r="N32" s="139" t="str">
        <f>IFERROR(VLOOKUP(B32,'SUM PROM Y REDONDEO'!A20:J119,10,FALSE),"no eno")</f>
        <v>no eno</v>
      </c>
    </row>
    <row r="33" spans="1:14">
      <c r="A33" s="43"/>
      <c r="B33" s="23" t="s">
        <v>126</v>
      </c>
      <c r="C33" s="137" t="s">
        <v>325</v>
      </c>
      <c r="D33" s="24" t="s">
        <v>13</v>
      </c>
      <c r="E33" s="24" t="s">
        <v>21</v>
      </c>
      <c r="F33" s="24" t="s">
        <v>10</v>
      </c>
      <c r="G33" s="24" t="s">
        <v>27</v>
      </c>
      <c r="H33" s="24" t="s">
        <v>12</v>
      </c>
      <c r="I33" s="24">
        <v>5</v>
      </c>
      <c r="J33" s="24">
        <v>6</v>
      </c>
      <c r="K33" s="28">
        <v>1000000</v>
      </c>
      <c r="L33" s="28">
        <v>96696256</v>
      </c>
      <c r="M33" s="140">
        <f>IFERROR(VLOOKUP(B33,'SUM PROM Y REDONDEO'!A21:J120,9,FALSE),"no eno")</f>
        <v>62106884</v>
      </c>
      <c r="N33" s="139">
        <f>IFERROR(VLOOKUP(B33,'SUM PROM Y REDONDEO'!A21:J120,10,FALSE),"no eno")</f>
        <v>85228190</v>
      </c>
    </row>
    <row r="34" spans="1:14">
      <c r="A34" s="43"/>
      <c r="B34" s="23" t="s">
        <v>62</v>
      </c>
      <c r="C34" s="137" t="s">
        <v>326</v>
      </c>
      <c r="D34" s="24" t="s">
        <v>13</v>
      </c>
      <c r="E34" s="24" t="s">
        <v>21</v>
      </c>
      <c r="F34" s="24" t="s">
        <v>10</v>
      </c>
      <c r="G34" s="24" t="s">
        <v>27</v>
      </c>
      <c r="H34" s="24" t="s">
        <v>12</v>
      </c>
      <c r="I34" s="24">
        <v>6</v>
      </c>
      <c r="J34" s="24">
        <v>7</v>
      </c>
      <c r="K34" s="28">
        <v>10000000</v>
      </c>
      <c r="L34" s="28">
        <v>51531809</v>
      </c>
      <c r="M34" s="140">
        <f>IFERROR(VLOOKUP(B34,'SUM PROM Y REDONDEO'!A22:J121,9,FALSE),"no eno")</f>
        <v>99819688</v>
      </c>
      <c r="N34" s="139">
        <f>IFERROR(VLOOKUP(B34,'SUM PROM Y REDONDEO'!A22:J121,10,FALSE),"no eno")</f>
        <v>24233431</v>
      </c>
    </row>
    <row r="35" spans="1:14">
      <c r="A35" s="43"/>
      <c r="B35" s="23" t="s">
        <v>97</v>
      </c>
      <c r="C35" s="137" t="s">
        <v>327</v>
      </c>
      <c r="D35" s="24" t="s">
        <v>13</v>
      </c>
      <c r="E35" s="24" t="s">
        <v>15</v>
      </c>
      <c r="F35" s="24" t="s">
        <v>10</v>
      </c>
      <c r="G35" s="25" t="s">
        <v>11</v>
      </c>
      <c r="H35" s="24" t="s">
        <v>30</v>
      </c>
      <c r="I35" s="24">
        <v>6</v>
      </c>
      <c r="J35" s="24">
        <v>10</v>
      </c>
      <c r="K35" s="23" t="s">
        <v>141</v>
      </c>
      <c r="L35" s="23" t="s">
        <v>179</v>
      </c>
      <c r="M35" s="140">
        <f>IFERROR(VLOOKUP(B35,'SUM PROM Y REDONDEO'!A23:J122,9,FALSE),"no eno")</f>
        <v>34214902</v>
      </c>
      <c r="N35" s="139">
        <f>IFERROR(VLOOKUP(B35,'SUM PROM Y REDONDEO'!A23:J122,10,FALSE),"no eno")</f>
        <v>24896611</v>
      </c>
    </row>
    <row r="36" spans="1:14">
      <c r="A36" s="43"/>
      <c r="B36" s="23" t="s">
        <v>101</v>
      </c>
      <c r="C36" s="137" t="s">
        <v>328</v>
      </c>
      <c r="D36" s="25" t="s">
        <v>102</v>
      </c>
      <c r="E36" s="24" t="s">
        <v>25</v>
      </c>
      <c r="F36" s="24" t="s">
        <v>17</v>
      </c>
      <c r="G36" s="25" t="s">
        <v>23</v>
      </c>
      <c r="H36" s="24" t="s">
        <v>12</v>
      </c>
      <c r="I36" s="24">
        <v>8</v>
      </c>
      <c r="J36" s="24">
        <v>5</v>
      </c>
      <c r="K36" s="23" t="s">
        <v>141</v>
      </c>
      <c r="L36" s="23" t="s">
        <v>179</v>
      </c>
      <c r="M36" s="140">
        <f>IFERROR(VLOOKUP(B36,'SUM PROM Y REDONDEO'!A24:J123,9,FALSE),"no eno")</f>
        <v>7121108</v>
      </c>
      <c r="N36" s="139">
        <f>IFERROR(VLOOKUP(B36,'SUM PROM Y REDONDEO'!A24:J123,10,FALSE),"no eno")</f>
        <v>6991703</v>
      </c>
    </row>
    <row r="37" spans="1:14">
      <c r="A37" s="43"/>
      <c r="B37" s="23" t="s">
        <v>103</v>
      </c>
      <c r="C37" s="137" t="s">
        <v>329</v>
      </c>
      <c r="D37" s="24" t="s">
        <v>13</v>
      </c>
      <c r="E37" s="24" t="s">
        <v>15</v>
      </c>
      <c r="F37" s="24" t="s">
        <v>10</v>
      </c>
      <c r="G37" s="24" t="s">
        <v>11</v>
      </c>
      <c r="H37" s="24" t="s">
        <v>12</v>
      </c>
      <c r="I37" s="24">
        <v>7</v>
      </c>
      <c r="J37" s="24">
        <v>10</v>
      </c>
      <c r="K37" s="28">
        <v>20000000</v>
      </c>
      <c r="L37" s="28">
        <v>93037614</v>
      </c>
      <c r="M37" s="140">
        <f>IFERROR(VLOOKUP(B37,'SUM PROM Y REDONDEO'!A25:J124,9,FALSE),"no eno")</f>
        <v>48185946</v>
      </c>
      <c r="N37" s="139">
        <f>IFERROR(VLOOKUP(B37,'SUM PROM Y REDONDEO'!A25:J124,10,FALSE),"no eno")</f>
        <v>75039300</v>
      </c>
    </row>
    <row r="38" spans="1:14">
      <c r="A38" s="43"/>
      <c r="B38" s="23" t="s">
        <v>35</v>
      </c>
      <c r="C38" s="137" t="s">
        <v>330</v>
      </c>
      <c r="D38" s="24" t="s">
        <v>13</v>
      </c>
      <c r="E38" s="24" t="s">
        <v>21</v>
      </c>
      <c r="F38" s="24" t="s">
        <v>10</v>
      </c>
      <c r="G38" s="24" t="s">
        <v>11</v>
      </c>
      <c r="H38" s="24" t="s">
        <v>12</v>
      </c>
      <c r="I38" s="24">
        <v>9</v>
      </c>
      <c r="J38" s="24">
        <v>10</v>
      </c>
      <c r="K38" s="28">
        <v>90000000</v>
      </c>
      <c r="L38" s="28">
        <v>62088180</v>
      </c>
      <c r="M38" s="140">
        <f>IFERROR(VLOOKUP(B38,'SUM PROM Y REDONDEO'!A26:J125,9,FALSE),"no eno")</f>
        <v>18047519</v>
      </c>
      <c r="N38" s="139">
        <f>IFERROR(VLOOKUP(B38,'SUM PROM Y REDONDEO'!A26:J125,10,FALSE),"no eno")</f>
        <v>3738158</v>
      </c>
    </row>
    <row r="39" spans="1:14">
      <c r="A39" s="43"/>
      <c r="B39" s="23" t="s">
        <v>61</v>
      </c>
      <c r="C39" s="137" t="s">
        <v>331</v>
      </c>
      <c r="D39" s="24" t="s">
        <v>13</v>
      </c>
      <c r="E39" s="24" t="s">
        <v>25</v>
      </c>
      <c r="F39" s="24" t="s">
        <v>10</v>
      </c>
      <c r="G39" s="24" t="s">
        <v>11</v>
      </c>
      <c r="H39" s="24" t="s">
        <v>12</v>
      </c>
      <c r="I39" s="24">
        <v>3</v>
      </c>
      <c r="J39" s="24">
        <v>9</v>
      </c>
      <c r="K39" s="28">
        <v>1000000</v>
      </c>
      <c r="L39" s="28">
        <v>1160848</v>
      </c>
      <c r="M39" s="140">
        <f>IFERROR(VLOOKUP(B39,'SUM PROM Y REDONDEO'!A27:J126,9,FALSE),"no eno")</f>
        <v>32268145</v>
      </c>
      <c r="N39" s="139">
        <f>IFERROR(VLOOKUP(B39,'SUM PROM Y REDONDEO'!A27:J126,10,FALSE),"no eno")</f>
        <v>13339687</v>
      </c>
    </row>
    <row r="40" spans="1:14">
      <c r="A40" s="43"/>
      <c r="B40" s="23" t="s">
        <v>124</v>
      </c>
      <c r="C40" s="137" t="s">
        <v>332</v>
      </c>
      <c r="D40" s="24" t="s">
        <v>13</v>
      </c>
      <c r="E40" s="24" t="s">
        <v>21</v>
      </c>
      <c r="F40" s="24" t="s">
        <v>17</v>
      </c>
      <c r="G40" s="25" t="s">
        <v>23</v>
      </c>
      <c r="H40" s="24" t="s">
        <v>12</v>
      </c>
      <c r="I40" s="24">
        <v>6</v>
      </c>
      <c r="J40" s="24">
        <v>2</v>
      </c>
      <c r="K40" s="23" t="s">
        <v>141</v>
      </c>
      <c r="L40" s="23" t="s">
        <v>179</v>
      </c>
      <c r="M40" s="140">
        <f>IFERROR(VLOOKUP(B40,'SUM PROM Y REDONDEO'!A28:J127,9,FALSE),"no eno")</f>
        <v>21224611</v>
      </c>
      <c r="N40" s="139">
        <f>IFERROR(VLOOKUP(B40,'SUM PROM Y REDONDEO'!A28:J127,10,FALSE),"no eno")</f>
        <v>62562457</v>
      </c>
    </row>
    <row r="41" spans="1:14">
      <c r="A41" s="43"/>
      <c r="B41" s="23" t="s">
        <v>33</v>
      </c>
      <c r="C41" s="137" t="s">
        <v>333</v>
      </c>
      <c r="D41" s="24" t="s">
        <v>13</v>
      </c>
      <c r="E41" s="24" t="s">
        <v>25</v>
      </c>
      <c r="F41" s="24" t="s">
        <v>17</v>
      </c>
      <c r="G41" s="25" t="s">
        <v>23</v>
      </c>
      <c r="H41" s="24" t="s">
        <v>12</v>
      </c>
      <c r="I41" s="24">
        <v>9</v>
      </c>
      <c r="J41" s="24">
        <v>9</v>
      </c>
      <c r="K41" s="23" t="s">
        <v>141</v>
      </c>
      <c r="L41" s="23" t="s">
        <v>179</v>
      </c>
      <c r="M41" s="140">
        <f>IFERROR(VLOOKUP(B41,'SUM PROM Y REDONDEO'!A29:J128,9,FALSE),"no eno")</f>
        <v>85434615</v>
      </c>
      <c r="N41" s="139">
        <f>IFERROR(VLOOKUP(B41,'SUM PROM Y REDONDEO'!A29:J128,10,FALSE),"no eno")</f>
        <v>79508333</v>
      </c>
    </row>
    <row r="42" spans="1:14">
      <c r="A42" s="43"/>
      <c r="B42" s="23" t="s">
        <v>85</v>
      </c>
      <c r="C42" s="137" t="s">
        <v>334</v>
      </c>
      <c r="D42" s="24" t="s">
        <v>13</v>
      </c>
      <c r="E42" s="24" t="s">
        <v>21</v>
      </c>
      <c r="F42" s="24" t="s">
        <v>10</v>
      </c>
      <c r="G42" s="24" t="s">
        <v>27</v>
      </c>
      <c r="H42" s="24" t="s">
        <v>12</v>
      </c>
      <c r="I42" s="24">
        <v>8</v>
      </c>
      <c r="J42" s="24">
        <v>7</v>
      </c>
      <c r="K42" s="28">
        <v>90000000</v>
      </c>
      <c r="L42" s="28">
        <v>23888885</v>
      </c>
      <c r="M42" s="140">
        <f>IFERROR(VLOOKUP(B42,'SUM PROM Y REDONDEO'!A30:J129,9,FALSE),"no eno")</f>
        <v>68725539</v>
      </c>
      <c r="N42" s="139">
        <f>IFERROR(VLOOKUP(B42,'SUM PROM Y REDONDEO'!A30:J129,10,FALSE),"no eno")</f>
        <v>78613526</v>
      </c>
    </row>
    <row r="43" spans="1:14">
      <c r="A43" s="43"/>
      <c r="B43" s="23" t="s">
        <v>110</v>
      </c>
      <c r="C43" s="137" t="s">
        <v>335</v>
      </c>
      <c r="D43" s="23" t="s">
        <v>13</v>
      </c>
      <c r="E43" s="23" t="s">
        <v>25</v>
      </c>
      <c r="F43" s="23" t="s">
        <v>10</v>
      </c>
      <c r="G43" s="23" t="s">
        <v>11</v>
      </c>
      <c r="H43" s="23" t="s">
        <v>30</v>
      </c>
      <c r="I43" s="24">
        <v>8</v>
      </c>
      <c r="J43" s="23">
        <v>8</v>
      </c>
      <c r="K43" s="28">
        <v>10000000</v>
      </c>
      <c r="L43" s="28">
        <v>23464528</v>
      </c>
      <c r="M43" s="140">
        <f>IFERROR(VLOOKUP(B43,'SUM PROM Y REDONDEO'!A31:J130,9,FALSE),"no eno")</f>
        <v>904543</v>
      </c>
      <c r="N43" s="139">
        <f>IFERROR(VLOOKUP(B43,'SUM PROM Y REDONDEO'!A31:J130,10,FALSE),"no eno")</f>
        <v>0</v>
      </c>
    </row>
    <row r="44" spans="1:14">
      <c r="A44" s="43"/>
      <c r="B44" s="23" t="s">
        <v>132</v>
      </c>
      <c r="C44" s="137" t="s">
        <v>336</v>
      </c>
      <c r="D44" s="24" t="s">
        <v>13</v>
      </c>
      <c r="E44" s="24" t="s">
        <v>15</v>
      </c>
      <c r="F44" s="24" t="s">
        <v>17</v>
      </c>
      <c r="G44" s="25" t="s">
        <v>23</v>
      </c>
      <c r="H44" s="24" t="s">
        <v>12</v>
      </c>
      <c r="I44" s="24">
        <v>6</v>
      </c>
      <c r="J44" s="24">
        <v>8</v>
      </c>
      <c r="K44" s="23" t="s">
        <v>141</v>
      </c>
      <c r="L44" s="23" t="s">
        <v>179</v>
      </c>
      <c r="M44" s="140">
        <f>IFERROR(VLOOKUP(B44,'SUM PROM Y REDONDEO'!A32:J131,9,FALSE),"no eno")</f>
        <v>66204884</v>
      </c>
      <c r="N44" s="139">
        <f>IFERROR(VLOOKUP(B44,'SUM PROM Y REDONDEO'!A32:J131,10,FALSE),"no eno")</f>
        <v>27801447</v>
      </c>
    </row>
    <row r="45" spans="1:14">
      <c r="A45" s="43"/>
      <c r="B45" s="23" t="s">
        <v>91</v>
      </c>
      <c r="C45" s="137" t="s">
        <v>337</v>
      </c>
      <c r="D45" s="24" t="s">
        <v>32</v>
      </c>
      <c r="E45" s="24" t="s">
        <v>25</v>
      </c>
      <c r="F45" s="24" t="s">
        <v>17</v>
      </c>
      <c r="G45" s="25" t="s">
        <v>18</v>
      </c>
      <c r="H45" s="24" t="s">
        <v>30</v>
      </c>
      <c r="I45" s="24">
        <v>3</v>
      </c>
      <c r="J45" s="24">
        <v>5</v>
      </c>
      <c r="K45" s="23" t="s">
        <v>141</v>
      </c>
      <c r="L45" s="23" t="s">
        <v>179</v>
      </c>
      <c r="M45" s="140">
        <f>IFERROR(VLOOKUP(B45,'SUM PROM Y REDONDEO'!A33:J132,9,FALSE),"no eno")</f>
        <v>30987169</v>
      </c>
      <c r="N45" s="139">
        <f>IFERROR(VLOOKUP(B45,'SUM PROM Y REDONDEO'!A33:J132,10,FALSE),"no eno")</f>
        <v>7339680</v>
      </c>
    </row>
    <row r="46" spans="1:14">
      <c r="A46" s="43"/>
      <c r="B46" s="23" t="s">
        <v>109</v>
      </c>
      <c r="C46" s="137" t="s">
        <v>338</v>
      </c>
      <c r="D46" s="24" t="s">
        <v>13</v>
      </c>
      <c r="E46" s="24" t="s">
        <v>21</v>
      </c>
      <c r="F46" s="24" t="s">
        <v>10</v>
      </c>
      <c r="G46" s="24" t="s">
        <v>11</v>
      </c>
      <c r="H46" s="24" t="s">
        <v>12</v>
      </c>
      <c r="I46" s="24">
        <v>6</v>
      </c>
      <c r="J46" s="24">
        <v>7</v>
      </c>
      <c r="K46" s="28">
        <v>10000000</v>
      </c>
      <c r="L46" s="28">
        <v>22390348</v>
      </c>
      <c r="M46" s="140">
        <f>IFERROR(VLOOKUP(B46,'SUM PROM Y REDONDEO'!A34:J133,9,FALSE),"no eno")</f>
        <v>24476166</v>
      </c>
      <c r="N46" s="139">
        <f>IFERROR(VLOOKUP(B46,'SUM PROM Y REDONDEO'!A34:J133,10,FALSE),"no eno")</f>
        <v>0</v>
      </c>
    </row>
    <row r="47" spans="1:14">
      <c r="A47" s="43"/>
      <c r="B47" s="23" t="s">
        <v>127</v>
      </c>
      <c r="C47" s="137" t="s">
        <v>339</v>
      </c>
      <c r="D47" s="24" t="s">
        <v>13</v>
      </c>
      <c r="E47" s="24" t="s">
        <v>25</v>
      </c>
      <c r="F47" s="24" t="s">
        <v>10</v>
      </c>
      <c r="G47" s="24" t="s">
        <v>27</v>
      </c>
      <c r="H47" s="24" t="s">
        <v>12</v>
      </c>
      <c r="I47" s="24">
        <v>6</v>
      </c>
      <c r="J47" s="24">
        <v>10</v>
      </c>
      <c r="K47" s="28">
        <v>20000000</v>
      </c>
      <c r="L47" s="28">
        <v>31670482</v>
      </c>
      <c r="M47" s="140">
        <f>IFERROR(VLOOKUP(B47,'SUM PROM Y REDONDEO'!A35:J134,9,FALSE),"no eno")</f>
        <v>15619630</v>
      </c>
      <c r="N47" s="139">
        <f>IFERROR(VLOOKUP(B47,'SUM PROM Y REDONDEO'!A35:J134,10,FALSE),"no eno")</f>
        <v>59838390</v>
      </c>
    </row>
    <row r="48" spans="1:14">
      <c r="A48" s="43"/>
      <c r="B48" s="23" t="s">
        <v>48</v>
      </c>
      <c r="C48" s="137" t="s">
        <v>340</v>
      </c>
      <c r="D48" s="24" t="s">
        <v>13</v>
      </c>
      <c r="E48" s="24" t="s">
        <v>9</v>
      </c>
      <c r="F48" s="24" t="s">
        <v>10</v>
      </c>
      <c r="G48" s="24" t="s">
        <v>27</v>
      </c>
      <c r="H48" s="24" t="s">
        <v>12</v>
      </c>
      <c r="I48" s="24">
        <v>8</v>
      </c>
      <c r="J48" s="24">
        <v>5</v>
      </c>
      <c r="K48" s="28">
        <v>20000000</v>
      </c>
      <c r="L48" s="28">
        <v>81056910</v>
      </c>
      <c r="M48" s="140">
        <f>IFERROR(VLOOKUP(B48,'SUM PROM Y REDONDEO'!A36:J135,9,FALSE),"no eno")</f>
        <v>96438403</v>
      </c>
      <c r="N48" s="139">
        <f>IFERROR(VLOOKUP(B48,'SUM PROM Y REDONDEO'!A36:J135,10,FALSE),"no eno")</f>
        <v>90723423</v>
      </c>
    </row>
    <row r="49" spans="1:14">
      <c r="A49" s="43"/>
      <c r="B49" s="23" t="s">
        <v>79</v>
      </c>
      <c r="C49" s="137" t="s">
        <v>341</v>
      </c>
      <c r="D49" s="24" t="s">
        <v>13</v>
      </c>
      <c r="E49" s="24" t="s">
        <v>21</v>
      </c>
      <c r="F49" s="24" t="s">
        <v>55</v>
      </c>
      <c r="G49" s="24" t="s">
        <v>80</v>
      </c>
      <c r="H49" s="24" t="s">
        <v>12</v>
      </c>
      <c r="I49" s="24">
        <v>5</v>
      </c>
      <c r="J49" s="24">
        <v>7</v>
      </c>
      <c r="K49" s="23" t="s">
        <v>141</v>
      </c>
      <c r="L49" s="23" t="s">
        <v>179</v>
      </c>
      <c r="M49" s="140">
        <f>IFERROR(VLOOKUP(B49,'SUM PROM Y REDONDEO'!A37:J136,9,FALSE),"no eno")</f>
        <v>0</v>
      </c>
      <c r="N49" s="139">
        <f>IFERROR(VLOOKUP(B49,'SUM PROM Y REDONDEO'!A37:J136,10,FALSE),"no eno")</f>
        <v>52936315</v>
      </c>
    </row>
    <row r="50" spans="1:14">
      <c r="A50" s="43"/>
      <c r="B50" s="23" t="s">
        <v>113</v>
      </c>
      <c r="C50" s="137" t="s">
        <v>342</v>
      </c>
      <c r="D50" s="24" t="s">
        <v>13</v>
      </c>
      <c r="E50" s="24" t="s">
        <v>21</v>
      </c>
      <c r="F50" s="24" t="s">
        <v>10</v>
      </c>
      <c r="G50" s="24" t="s">
        <v>11</v>
      </c>
      <c r="H50" s="24" t="s">
        <v>12</v>
      </c>
      <c r="I50" s="24">
        <v>9</v>
      </c>
      <c r="J50" s="24">
        <v>7</v>
      </c>
      <c r="K50" s="28">
        <v>30000000</v>
      </c>
      <c r="L50" s="28">
        <v>91413171</v>
      </c>
      <c r="M50" s="140">
        <f>IFERROR(VLOOKUP(B50,'SUM PROM Y REDONDEO'!A38:J137,9,FALSE),"no eno")</f>
        <v>13211402</v>
      </c>
      <c r="N50" s="139">
        <f>IFERROR(VLOOKUP(B50,'SUM PROM Y REDONDEO'!A38:J137,10,FALSE),"no eno")</f>
        <v>0</v>
      </c>
    </row>
    <row r="51" spans="1:14">
      <c r="A51" s="43"/>
      <c r="B51" s="23" t="s">
        <v>36</v>
      </c>
      <c r="C51" s="137" t="s">
        <v>343</v>
      </c>
      <c r="D51" s="24" t="s">
        <v>13</v>
      </c>
      <c r="E51" s="24" t="s">
        <v>9</v>
      </c>
      <c r="F51" s="24" t="s">
        <v>10</v>
      </c>
      <c r="G51" s="24" t="s">
        <v>27</v>
      </c>
      <c r="H51" s="24" t="s">
        <v>12</v>
      </c>
      <c r="I51" s="24">
        <v>4</v>
      </c>
      <c r="J51" s="24">
        <v>7</v>
      </c>
      <c r="K51" s="28">
        <v>1000000</v>
      </c>
      <c r="L51" s="28">
        <v>87347043</v>
      </c>
      <c r="M51" s="140">
        <f>IFERROR(VLOOKUP(B51,'SUM PROM Y REDONDEO'!A39:J138,9,FALSE),"no eno")</f>
        <v>50796112</v>
      </c>
      <c r="N51" s="139">
        <f>IFERROR(VLOOKUP(B51,'SUM PROM Y REDONDEO'!A39:J138,10,FALSE),"no eno")</f>
        <v>72757830</v>
      </c>
    </row>
    <row r="52" spans="1:14">
      <c r="A52" s="43"/>
      <c r="B52" s="23" t="s">
        <v>44</v>
      </c>
      <c r="C52" s="137" t="s">
        <v>344</v>
      </c>
      <c r="D52" s="24" t="s">
        <v>13</v>
      </c>
      <c r="E52" s="24" t="s">
        <v>25</v>
      </c>
      <c r="F52" s="24" t="s">
        <v>17</v>
      </c>
      <c r="G52" s="25" t="s">
        <v>18</v>
      </c>
      <c r="H52" s="24" t="s">
        <v>12</v>
      </c>
      <c r="I52" s="24">
        <v>4</v>
      </c>
      <c r="J52" s="24">
        <v>9</v>
      </c>
      <c r="K52" s="23" t="s">
        <v>141</v>
      </c>
      <c r="L52" s="23" t="s">
        <v>179</v>
      </c>
      <c r="M52" s="140">
        <f>IFERROR(VLOOKUP(B52,'SUM PROM Y REDONDEO'!A40:J139,9,FALSE),"no eno")</f>
        <v>38721754</v>
      </c>
      <c r="N52" s="139">
        <f>IFERROR(VLOOKUP(B52,'SUM PROM Y REDONDEO'!A40:J139,10,FALSE),"no eno")</f>
        <v>77230635</v>
      </c>
    </row>
    <row r="53" spans="1:14">
      <c r="A53" s="43"/>
      <c r="B53" s="23" t="s">
        <v>100</v>
      </c>
      <c r="C53" s="137" t="s">
        <v>345</v>
      </c>
      <c r="D53" s="24" t="s">
        <v>13</v>
      </c>
      <c r="E53" s="24" t="s">
        <v>21</v>
      </c>
      <c r="F53" s="24" t="s">
        <v>10</v>
      </c>
      <c r="G53" s="24" t="s">
        <v>27</v>
      </c>
      <c r="H53" s="24" t="s">
        <v>12</v>
      </c>
      <c r="I53" s="24">
        <v>9</v>
      </c>
      <c r="J53" s="24">
        <v>5</v>
      </c>
      <c r="K53" s="28">
        <v>10000000</v>
      </c>
      <c r="L53" s="28">
        <v>43538967</v>
      </c>
      <c r="M53" s="140">
        <f>IFERROR(VLOOKUP(B53,'SUM PROM Y REDONDEO'!A41:J140,9,FALSE),"no eno")</f>
        <v>5161300</v>
      </c>
      <c r="N53" s="139">
        <f>IFERROR(VLOOKUP(B53,'SUM PROM Y REDONDEO'!A41:J140,10,FALSE),"no eno")</f>
        <v>85417673</v>
      </c>
    </row>
    <row r="54" spans="1:14">
      <c r="A54" s="43"/>
      <c r="B54" s="23" t="s">
        <v>42</v>
      </c>
      <c r="C54" s="137" t="s">
        <v>346</v>
      </c>
      <c r="D54" s="24" t="s">
        <v>13</v>
      </c>
      <c r="E54" s="24" t="s">
        <v>21</v>
      </c>
      <c r="F54" s="24" t="s">
        <v>10</v>
      </c>
      <c r="G54" s="24" t="s">
        <v>27</v>
      </c>
      <c r="H54" s="24" t="s">
        <v>30</v>
      </c>
      <c r="I54" s="24">
        <v>6</v>
      </c>
      <c r="J54" s="24">
        <v>10</v>
      </c>
      <c r="K54" s="28">
        <v>1000000</v>
      </c>
      <c r="L54" s="28">
        <v>95899452</v>
      </c>
      <c r="M54" s="140">
        <f>IFERROR(VLOOKUP(B54,'SUM PROM Y REDONDEO'!A42:J141,9,FALSE),"no eno")</f>
        <v>2565664</v>
      </c>
      <c r="N54" s="139">
        <f>IFERROR(VLOOKUP(B54,'SUM PROM Y REDONDEO'!A42:J141,10,FALSE),"no eno")</f>
        <v>39602953</v>
      </c>
    </row>
    <row r="55" spans="1:14">
      <c r="A55" s="43"/>
      <c r="B55" s="23" t="s">
        <v>39</v>
      </c>
      <c r="C55" s="137" t="s">
        <v>347</v>
      </c>
      <c r="D55" s="24" t="s">
        <v>13</v>
      </c>
      <c r="E55" s="24" t="s">
        <v>21</v>
      </c>
      <c r="F55" s="24" t="s">
        <v>10</v>
      </c>
      <c r="G55" s="24" t="s">
        <v>27</v>
      </c>
      <c r="H55" s="24" t="s">
        <v>30</v>
      </c>
      <c r="I55" s="24">
        <v>8</v>
      </c>
      <c r="J55" s="24">
        <v>8</v>
      </c>
      <c r="K55" s="28">
        <v>1000000</v>
      </c>
      <c r="L55" s="28">
        <v>81347428</v>
      </c>
      <c r="M55" s="140">
        <f>IFERROR(VLOOKUP(B55,'SUM PROM Y REDONDEO'!A43:J142,9,FALSE),"no eno")</f>
        <v>10860215</v>
      </c>
      <c r="N55" s="139">
        <f>IFERROR(VLOOKUP(B55,'SUM PROM Y REDONDEO'!A43:J142,10,FALSE),"no eno")</f>
        <v>28637290</v>
      </c>
    </row>
    <row r="56" spans="1:14">
      <c r="A56" s="43"/>
      <c r="B56" s="23" t="s">
        <v>120</v>
      </c>
      <c r="C56" s="137" t="s">
        <v>348</v>
      </c>
      <c r="D56" s="24" t="s">
        <v>13</v>
      </c>
      <c r="E56" s="24" t="s">
        <v>25</v>
      </c>
      <c r="F56" s="24" t="s">
        <v>10</v>
      </c>
      <c r="G56" s="24" t="s">
        <v>27</v>
      </c>
      <c r="H56" s="24" t="s">
        <v>30</v>
      </c>
      <c r="I56" s="24">
        <v>6</v>
      </c>
      <c r="J56" s="24">
        <v>10</v>
      </c>
      <c r="K56" s="28">
        <v>30000000</v>
      </c>
      <c r="L56" s="28">
        <v>52442860</v>
      </c>
      <c r="M56" s="140">
        <f>IFERROR(VLOOKUP(B56,'SUM PROM Y REDONDEO'!A44:J143,9,FALSE),"no eno")</f>
        <v>2659881</v>
      </c>
      <c r="N56" s="139">
        <f>IFERROR(VLOOKUP(B56,'SUM PROM Y REDONDEO'!A44:J143,10,FALSE),"no eno")</f>
        <v>80287314</v>
      </c>
    </row>
    <row r="57" spans="1:14">
      <c r="A57" s="43"/>
      <c r="B57" s="23" t="s">
        <v>43</v>
      </c>
      <c r="C57" s="137" t="s">
        <v>349</v>
      </c>
      <c r="D57" s="24" t="s">
        <v>13</v>
      </c>
      <c r="E57" s="24" t="s">
        <v>21</v>
      </c>
      <c r="F57" s="24" t="s">
        <v>10</v>
      </c>
      <c r="G57" s="24" t="s">
        <v>27</v>
      </c>
      <c r="H57" s="24" t="s">
        <v>30</v>
      </c>
      <c r="I57" s="24">
        <v>7</v>
      </c>
      <c r="J57" s="24">
        <v>5</v>
      </c>
      <c r="K57" s="28">
        <v>10000000</v>
      </c>
      <c r="L57" s="28">
        <v>96199053</v>
      </c>
      <c r="M57" s="140">
        <f>IFERROR(VLOOKUP(B57,'SUM PROM Y REDONDEO'!A45:J144,9,FALSE),"no eno")</f>
        <v>31746355</v>
      </c>
      <c r="N57" s="139">
        <f>IFERROR(VLOOKUP(B57,'SUM PROM Y REDONDEO'!A45:J144,10,FALSE),"no eno")</f>
        <v>80063468</v>
      </c>
    </row>
    <row r="58" spans="1:14">
      <c r="A58" s="43"/>
      <c r="B58" s="23" t="s">
        <v>106</v>
      </c>
      <c r="C58" s="137" t="s">
        <v>350</v>
      </c>
      <c r="D58" s="24" t="s">
        <v>13</v>
      </c>
      <c r="E58" s="24" t="s">
        <v>21</v>
      </c>
      <c r="F58" s="24" t="s">
        <v>10</v>
      </c>
      <c r="G58" s="24" t="s">
        <v>27</v>
      </c>
      <c r="H58" s="24" t="s">
        <v>12</v>
      </c>
      <c r="I58" s="24">
        <v>5</v>
      </c>
      <c r="J58" s="24">
        <v>7</v>
      </c>
      <c r="K58" s="28">
        <v>1000000</v>
      </c>
      <c r="L58" s="28">
        <v>71783742</v>
      </c>
      <c r="M58" s="140">
        <f>IFERROR(VLOOKUP(B58,'SUM PROM Y REDONDEO'!A46:J145,9,FALSE),"no eno")</f>
        <v>64667814</v>
      </c>
      <c r="N58" s="139">
        <f>IFERROR(VLOOKUP(B58,'SUM PROM Y REDONDEO'!A46:J145,10,FALSE),"no eno")</f>
        <v>70653180</v>
      </c>
    </row>
    <row r="59" spans="1:14">
      <c r="A59" s="43"/>
      <c r="B59" s="23" t="s">
        <v>122</v>
      </c>
      <c r="C59" s="137" t="s">
        <v>351</v>
      </c>
      <c r="D59" s="24" t="s">
        <v>13</v>
      </c>
      <c r="E59" s="24" t="s">
        <v>25</v>
      </c>
      <c r="F59" s="24" t="s">
        <v>10</v>
      </c>
      <c r="G59" s="24" t="s">
        <v>27</v>
      </c>
      <c r="H59" s="24" t="s">
        <v>12</v>
      </c>
      <c r="I59" s="24">
        <v>3</v>
      </c>
      <c r="J59" s="24">
        <v>8</v>
      </c>
      <c r="K59" s="28">
        <v>90000000</v>
      </c>
      <c r="L59" s="28">
        <v>94913746</v>
      </c>
      <c r="M59" s="140">
        <f>IFERROR(VLOOKUP(B59,'SUM PROM Y REDONDEO'!A47:J146,9,FALSE),"no eno")</f>
        <v>74083223</v>
      </c>
      <c r="N59" s="139">
        <f>IFERROR(VLOOKUP(B59,'SUM PROM Y REDONDEO'!A47:J146,10,FALSE),"no eno")</f>
        <v>31617670</v>
      </c>
    </row>
    <row r="60" spans="1:14">
      <c r="A60" s="43"/>
      <c r="B60" s="23" t="s">
        <v>121</v>
      </c>
      <c r="C60" s="137" t="s">
        <v>352</v>
      </c>
      <c r="D60" s="24" t="s">
        <v>13</v>
      </c>
      <c r="E60" s="24" t="s">
        <v>25</v>
      </c>
      <c r="F60" s="24" t="s">
        <v>17</v>
      </c>
      <c r="G60" s="25" t="s">
        <v>23</v>
      </c>
      <c r="H60" s="24" t="s">
        <v>12</v>
      </c>
      <c r="I60" s="24">
        <v>7</v>
      </c>
      <c r="J60" s="24">
        <v>9</v>
      </c>
      <c r="K60" s="23" t="s">
        <v>141</v>
      </c>
      <c r="L60" s="23" t="s">
        <v>179</v>
      </c>
      <c r="M60" s="140">
        <f>IFERROR(VLOOKUP(B60,'SUM PROM Y REDONDEO'!A48:J147,9,FALSE),"no eno")</f>
        <v>67753952</v>
      </c>
      <c r="N60" s="139">
        <f>IFERROR(VLOOKUP(B60,'SUM PROM Y REDONDEO'!A48:J147,10,FALSE),"no eno")</f>
        <v>77205812</v>
      </c>
    </row>
    <row r="61" spans="1:14">
      <c r="A61" s="43"/>
      <c r="B61" s="23" t="s">
        <v>78</v>
      </c>
      <c r="C61" s="137" t="s">
        <v>353</v>
      </c>
      <c r="D61" s="24" t="s">
        <v>32</v>
      </c>
      <c r="E61" s="24" t="s">
        <v>21</v>
      </c>
      <c r="F61" s="24" t="s">
        <v>10</v>
      </c>
      <c r="G61" s="24" t="s">
        <v>27</v>
      </c>
      <c r="H61" s="24" t="s">
        <v>30</v>
      </c>
      <c r="I61" s="24">
        <v>5</v>
      </c>
      <c r="J61" s="24">
        <v>6</v>
      </c>
      <c r="K61" s="28">
        <v>30000000</v>
      </c>
      <c r="L61" s="28">
        <v>33477783</v>
      </c>
      <c r="M61" s="140">
        <f>IFERROR(VLOOKUP(B61,'SUM PROM Y REDONDEO'!A49:J148,9,FALSE),"no eno")</f>
        <v>0</v>
      </c>
      <c r="N61" s="139">
        <f>IFERROR(VLOOKUP(B61,'SUM PROM Y REDONDEO'!A49:J148,10,FALSE),"no eno")</f>
        <v>27651635</v>
      </c>
    </row>
    <row r="62" spans="1:14">
      <c r="A62" s="43"/>
      <c r="B62" s="23" t="s">
        <v>82</v>
      </c>
      <c r="C62" s="137" t="s">
        <v>354</v>
      </c>
      <c r="D62" s="24" t="s">
        <v>13</v>
      </c>
      <c r="E62" s="24" t="s">
        <v>9</v>
      </c>
      <c r="F62" s="24" t="s">
        <v>10</v>
      </c>
      <c r="G62" s="24" t="s">
        <v>11</v>
      </c>
      <c r="H62" s="24" t="s">
        <v>30</v>
      </c>
      <c r="I62" s="24">
        <v>9</v>
      </c>
      <c r="J62" s="24">
        <v>9</v>
      </c>
      <c r="K62" s="28">
        <v>50000000</v>
      </c>
      <c r="L62" s="28">
        <v>2702447</v>
      </c>
      <c r="M62" s="140">
        <f>IFERROR(VLOOKUP(B62,'SUM PROM Y REDONDEO'!A50:J149,9,FALSE),"no eno")</f>
        <v>0</v>
      </c>
      <c r="N62" s="139">
        <f>IFERROR(VLOOKUP(B62,'SUM PROM Y REDONDEO'!A50:J149,10,FALSE),"no eno")</f>
        <v>44671760</v>
      </c>
    </row>
    <row r="63" spans="1:14">
      <c r="A63" s="43"/>
      <c r="B63" s="23" t="s">
        <v>95</v>
      </c>
      <c r="C63" s="137" t="s">
        <v>355</v>
      </c>
      <c r="D63" s="25" t="s">
        <v>96</v>
      </c>
      <c r="E63" s="24" t="s">
        <v>21</v>
      </c>
      <c r="F63" s="24" t="s">
        <v>10</v>
      </c>
      <c r="G63" s="24" t="s">
        <v>11</v>
      </c>
      <c r="H63" s="24" t="s">
        <v>12</v>
      </c>
      <c r="I63" s="24">
        <v>6</v>
      </c>
      <c r="J63" s="24">
        <v>8</v>
      </c>
      <c r="K63" s="28">
        <v>50000000</v>
      </c>
      <c r="L63" s="28">
        <v>70787848</v>
      </c>
      <c r="M63" s="140">
        <f>IFERROR(VLOOKUP(B63,'SUM PROM Y REDONDEO'!A51:J150,9,FALSE),"no eno")</f>
        <v>33368202</v>
      </c>
      <c r="N63" s="139">
        <f>IFERROR(VLOOKUP(B63,'SUM PROM Y REDONDEO'!A51:J150,10,FALSE),"no eno")</f>
        <v>43277527</v>
      </c>
    </row>
    <row r="64" spans="1:14">
      <c r="A64" s="43"/>
      <c r="B64" s="23" t="s">
        <v>31</v>
      </c>
      <c r="C64" s="137" t="s">
        <v>356</v>
      </c>
      <c r="D64" s="24" t="s">
        <v>32</v>
      </c>
      <c r="E64" s="24" t="s">
        <v>21</v>
      </c>
      <c r="F64" s="24" t="s">
        <v>17</v>
      </c>
      <c r="G64" s="25" t="s">
        <v>23</v>
      </c>
      <c r="H64" s="24" t="s">
        <v>30</v>
      </c>
      <c r="I64" s="24">
        <v>7</v>
      </c>
      <c r="J64" s="24">
        <v>5</v>
      </c>
      <c r="K64" s="23" t="s">
        <v>141</v>
      </c>
      <c r="L64" s="23" t="s">
        <v>179</v>
      </c>
      <c r="M64" s="140">
        <f>IFERROR(VLOOKUP(B64,'SUM PROM Y REDONDEO'!A52:J151,9,FALSE),"no eno")</f>
        <v>46563396</v>
      </c>
      <c r="N64" s="139">
        <f>IFERROR(VLOOKUP(B64,'SUM PROM Y REDONDEO'!A52:J151,10,FALSE),"no eno")</f>
        <v>63313535</v>
      </c>
    </row>
    <row r="65" spans="1:14">
      <c r="A65" s="43"/>
      <c r="B65" s="23" t="s">
        <v>111</v>
      </c>
      <c r="C65" s="137" t="s">
        <v>357</v>
      </c>
      <c r="D65" s="24" t="s">
        <v>72</v>
      </c>
      <c r="E65" s="24" t="s">
        <v>21</v>
      </c>
      <c r="F65" s="24" t="s">
        <v>10</v>
      </c>
      <c r="G65" s="24" t="s">
        <v>11</v>
      </c>
      <c r="H65" s="24" t="s">
        <v>12</v>
      </c>
      <c r="I65" s="24">
        <v>5</v>
      </c>
      <c r="J65" s="24">
        <v>6</v>
      </c>
      <c r="K65" s="28">
        <v>20000000</v>
      </c>
      <c r="L65" s="28">
        <v>40064620</v>
      </c>
      <c r="M65" s="140">
        <f>IFERROR(VLOOKUP(B65,'SUM PROM Y REDONDEO'!A53:J152,9,FALSE),"no eno")</f>
        <v>98137438</v>
      </c>
      <c r="N65" s="139">
        <f>IFERROR(VLOOKUP(B65,'SUM PROM Y REDONDEO'!A53:J152,10,FALSE),"no eno")</f>
        <v>0</v>
      </c>
    </row>
    <row r="66" spans="1:14">
      <c r="A66" s="43"/>
      <c r="B66" s="23" t="s">
        <v>81</v>
      </c>
      <c r="C66" s="137" t="s">
        <v>358</v>
      </c>
      <c r="D66" s="24" t="s">
        <v>13</v>
      </c>
      <c r="E66" s="24" t="s">
        <v>21</v>
      </c>
      <c r="F66" s="24" t="s">
        <v>10</v>
      </c>
      <c r="G66" s="24" t="s">
        <v>27</v>
      </c>
      <c r="H66" s="24" t="s">
        <v>12</v>
      </c>
      <c r="I66" s="24">
        <v>4</v>
      </c>
      <c r="J66" s="24">
        <v>6</v>
      </c>
      <c r="K66" s="28">
        <v>30000000</v>
      </c>
      <c r="L66" s="28">
        <v>45289360</v>
      </c>
      <c r="M66" s="140">
        <f>IFERROR(VLOOKUP(B66,'SUM PROM Y REDONDEO'!A54:J153,9,FALSE),"no eno")</f>
        <v>0</v>
      </c>
      <c r="N66" s="139">
        <f>IFERROR(VLOOKUP(B66,'SUM PROM Y REDONDEO'!A54:J153,10,FALSE),"no eno")</f>
        <v>46980526</v>
      </c>
    </row>
    <row r="67" spans="1:14">
      <c r="A67" s="43"/>
      <c r="B67" s="23" t="s">
        <v>50</v>
      </c>
      <c r="C67" s="137" t="s">
        <v>359</v>
      </c>
      <c r="D67" s="24" t="s">
        <v>13</v>
      </c>
      <c r="E67" s="24" t="s">
        <v>25</v>
      </c>
      <c r="F67" s="24" t="s">
        <v>10</v>
      </c>
      <c r="G67" s="24" t="s">
        <v>27</v>
      </c>
      <c r="H67" s="24" t="s">
        <v>12</v>
      </c>
      <c r="I67" s="24">
        <v>7</v>
      </c>
      <c r="J67" s="24">
        <v>5</v>
      </c>
      <c r="K67" s="28">
        <v>30000000</v>
      </c>
      <c r="L67" s="28">
        <v>34397393</v>
      </c>
      <c r="M67" s="140">
        <f>IFERROR(VLOOKUP(B67,'SUM PROM Y REDONDEO'!A55:J154,9,FALSE),"no eno")</f>
        <v>72192037</v>
      </c>
      <c r="N67" s="139">
        <f>IFERROR(VLOOKUP(B67,'SUM PROM Y REDONDEO'!A55:J154,10,FALSE),"no eno")</f>
        <v>21247716</v>
      </c>
    </row>
    <row r="68" spans="1:14">
      <c r="A68" s="43"/>
      <c r="B68" s="23" t="s">
        <v>123</v>
      </c>
      <c r="C68" s="137" t="s">
        <v>360</v>
      </c>
      <c r="D68" s="24" t="s">
        <v>13</v>
      </c>
      <c r="E68" s="24" t="s">
        <v>21</v>
      </c>
      <c r="F68" s="24" t="s">
        <v>17</v>
      </c>
      <c r="G68" s="25" t="s">
        <v>18</v>
      </c>
      <c r="H68" s="24" t="s">
        <v>30</v>
      </c>
      <c r="I68" s="24">
        <v>3</v>
      </c>
      <c r="J68" s="24">
        <v>9</v>
      </c>
      <c r="K68" s="23" t="s">
        <v>141</v>
      </c>
      <c r="L68" s="23" t="s">
        <v>179</v>
      </c>
      <c r="M68" s="140">
        <f>IFERROR(VLOOKUP(B68,'SUM PROM Y REDONDEO'!A56:J155,9,FALSE),"no eno")</f>
        <v>69870077</v>
      </c>
      <c r="N68" s="139">
        <f>IFERROR(VLOOKUP(B68,'SUM PROM Y REDONDEO'!A56:J155,10,FALSE),"no eno")</f>
        <v>98441580</v>
      </c>
    </row>
    <row r="69" spans="1:14">
      <c r="A69" s="43"/>
      <c r="B69" s="23" t="s">
        <v>26</v>
      </c>
      <c r="C69" s="137" t="s">
        <v>361</v>
      </c>
      <c r="D69" s="25" t="s">
        <v>28</v>
      </c>
      <c r="E69" s="24" t="s">
        <v>25</v>
      </c>
      <c r="F69" s="24" t="s">
        <v>10</v>
      </c>
      <c r="G69" s="24" t="s">
        <v>27</v>
      </c>
      <c r="H69" s="24" t="s">
        <v>12</v>
      </c>
      <c r="I69" s="24">
        <v>3</v>
      </c>
      <c r="J69" s="24">
        <v>6</v>
      </c>
      <c r="K69" s="28">
        <v>1000000</v>
      </c>
      <c r="L69" s="28">
        <v>34126405</v>
      </c>
      <c r="M69" s="140">
        <f>IFERROR(VLOOKUP(B69,'SUM PROM Y REDONDEO'!A57:J156,9,FALSE),"no eno")</f>
        <v>88265167</v>
      </c>
      <c r="N69" s="139">
        <f>IFERROR(VLOOKUP(B69,'SUM PROM Y REDONDEO'!A57:J156,10,FALSE),"no eno")</f>
        <v>56002928</v>
      </c>
    </row>
    <row r="70" spans="1:14">
      <c r="A70" s="43"/>
      <c r="B70" s="23" t="s">
        <v>41</v>
      </c>
      <c r="C70" s="137" t="s">
        <v>362</v>
      </c>
      <c r="D70" s="24" t="s">
        <v>13</v>
      </c>
      <c r="E70" s="24" t="s">
        <v>21</v>
      </c>
      <c r="F70" s="24" t="s">
        <v>10</v>
      </c>
      <c r="G70" s="24" t="s">
        <v>11</v>
      </c>
      <c r="H70" s="24" t="s">
        <v>12</v>
      </c>
      <c r="I70" s="24">
        <v>7</v>
      </c>
      <c r="J70" s="24">
        <v>10</v>
      </c>
      <c r="K70" s="28">
        <v>1000000</v>
      </c>
      <c r="L70" s="28">
        <v>53008255</v>
      </c>
      <c r="M70" s="140">
        <f>IFERROR(VLOOKUP(B70,'SUM PROM Y REDONDEO'!A58:J157,9,FALSE),"no eno")</f>
        <v>46917910</v>
      </c>
      <c r="N70" s="139">
        <f>IFERROR(VLOOKUP(B70,'SUM PROM Y REDONDEO'!A58:J157,10,FALSE),"no eno")</f>
        <v>47557281</v>
      </c>
    </row>
    <row r="71" spans="1:14">
      <c r="A71" s="43"/>
      <c r="B71" s="23" t="s">
        <v>73</v>
      </c>
      <c r="C71" s="137" t="s">
        <v>363</v>
      </c>
      <c r="D71" s="24" t="s">
        <v>13</v>
      </c>
      <c r="E71" s="24" t="s">
        <v>21</v>
      </c>
      <c r="F71" s="24" t="s">
        <v>17</v>
      </c>
      <c r="G71" s="25" t="s">
        <v>18</v>
      </c>
      <c r="H71" s="24" t="s">
        <v>12</v>
      </c>
      <c r="I71" s="24">
        <v>5</v>
      </c>
      <c r="J71" s="24">
        <v>9</v>
      </c>
      <c r="K71" s="23" t="s">
        <v>141</v>
      </c>
      <c r="L71" s="23" t="s">
        <v>179</v>
      </c>
      <c r="M71" s="140">
        <f>IFERROR(VLOOKUP(B71,'SUM PROM Y REDONDEO'!A59:J158,9,FALSE),"no eno")</f>
        <v>0</v>
      </c>
      <c r="N71" s="139">
        <f>IFERROR(VLOOKUP(B71,'SUM PROM Y REDONDEO'!A59:J158,10,FALSE),"no eno")</f>
        <v>22675260</v>
      </c>
    </row>
    <row r="72" spans="1:14">
      <c r="A72" s="43"/>
      <c r="B72" s="23" t="s">
        <v>88</v>
      </c>
      <c r="C72" s="137" t="s">
        <v>364</v>
      </c>
      <c r="D72" s="25" t="s">
        <v>89</v>
      </c>
      <c r="E72" s="24" t="s">
        <v>21</v>
      </c>
      <c r="F72" s="24" t="s">
        <v>10</v>
      </c>
      <c r="G72" s="24" t="s">
        <v>11</v>
      </c>
      <c r="H72" s="24" t="s">
        <v>12</v>
      </c>
      <c r="I72" s="24">
        <v>9</v>
      </c>
      <c r="J72" s="24">
        <v>5</v>
      </c>
      <c r="K72" s="28">
        <v>100000000</v>
      </c>
      <c r="L72" s="28">
        <v>94688720</v>
      </c>
      <c r="M72" s="140">
        <f>IFERROR(VLOOKUP(B72,'SUM PROM Y REDONDEO'!A60:J159,9,FALSE),"no eno")</f>
        <v>86323763</v>
      </c>
      <c r="N72" s="139">
        <f>IFERROR(VLOOKUP(B72,'SUM PROM Y REDONDEO'!A60:J159,10,FALSE),"no eno")</f>
        <v>20929788</v>
      </c>
    </row>
    <row r="73" spans="1:14">
      <c r="A73" s="43"/>
      <c r="B73" s="23" t="s">
        <v>133</v>
      </c>
      <c r="C73" s="137" t="s">
        <v>365</v>
      </c>
      <c r="D73" s="24" t="s">
        <v>13</v>
      </c>
      <c r="E73" s="24" t="s">
        <v>54</v>
      </c>
      <c r="F73" s="24" t="s">
        <v>55</v>
      </c>
      <c r="G73" s="24" t="s">
        <v>56</v>
      </c>
      <c r="H73" s="24" t="s">
        <v>12</v>
      </c>
      <c r="I73" s="24">
        <v>4</v>
      </c>
      <c r="J73" s="24">
        <v>8</v>
      </c>
      <c r="K73" s="23" t="s">
        <v>141</v>
      </c>
      <c r="L73" s="23" t="s">
        <v>179</v>
      </c>
      <c r="M73" s="140">
        <f>IFERROR(VLOOKUP(B73,'SUM PROM Y REDONDEO'!A61:J160,9,FALSE),"no eno")</f>
        <v>96750826</v>
      </c>
      <c r="N73" s="139">
        <f>IFERROR(VLOOKUP(B73,'SUM PROM Y REDONDEO'!A61:J160,10,FALSE),"no eno")</f>
        <v>31435769</v>
      </c>
    </row>
    <row r="74" spans="1:14">
      <c r="A74" s="43"/>
      <c r="B74" s="23" t="s">
        <v>67</v>
      </c>
      <c r="C74" s="137" t="s">
        <v>366</v>
      </c>
      <c r="D74" s="24" t="s">
        <v>13</v>
      </c>
      <c r="E74" s="24" t="s">
        <v>25</v>
      </c>
      <c r="F74" s="24" t="s">
        <v>10</v>
      </c>
      <c r="G74" s="24" t="s">
        <v>11</v>
      </c>
      <c r="H74" s="24" t="s">
        <v>12</v>
      </c>
      <c r="I74" s="24">
        <v>5</v>
      </c>
      <c r="J74" s="24">
        <v>10</v>
      </c>
      <c r="K74" s="28">
        <v>10000000</v>
      </c>
      <c r="L74" s="28">
        <v>89686683</v>
      </c>
      <c r="M74" s="140">
        <f>IFERROR(VLOOKUP(B74,'SUM PROM Y REDONDEO'!A62:J161,9,FALSE),"no eno")</f>
        <v>62448793</v>
      </c>
      <c r="N74" s="139">
        <f>IFERROR(VLOOKUP(B74,'SUM PROM Y REDONDEO'!A62:J161,10,FALSE),"no eno")</f>
        <v>26812600</v>
      </c>
    </row>
    <row r="75" spans="1:14">
      <c r="A75" s="43"/>
      <c r="B75" s="23" t="s">
        <v>84</v>
      </c>
      <c r="C75" s="137" t="s">
        <v>367</v>
      </c>
      <c r="D75" s="24" t="s">
        <v>13</v>
      </c>
      <c r="E75" s="24" t="s">
        <v>21</v>
      </c>
      <c r="F75" s="24" t="s">
        <v>10</v>
      </c>
      <c r="G75" s="24" t="s">
        <v>27</v>
      </c>
      <c r="H75" s="24" t="s">
        <v>12</v>
      </c>
      <c r="I75" s="24">
        <v>3</v>
      </c>
      <c r="J75" s="24">
        <v>10</v>
      </c>
      <c r="K75" s="28">
        <v>30000000</v>
      </c>
      <c r="L75" s="28">
        <v>32890743</v>
      </c>
      <c r="M75" s="140">
        <f>IFERROR(VLOOKUP(B75,'SUM PROM Y REDONDEO'!A63:J162,9,FALSE),"no eno")</f>
        <v>0</v>
      </c>
      <c r="N75" s="139">
        <f>IFERROR(VLOOKUP(B75,'SUM PROM Y REDONDEO'!A63:J162,10,FALSE),"no eno")</f>
        <v>39864620</v>
      </c>
    </row>
    <row r="76" spans="1:14">
      <c r="A76" s="43"/>
      <c r="B76" s="23" t="s">
        <v>38</v>
      </c>
      <c r="C76" s="137" t="s">
        <v>368</v>
      </c>
      <c r="D76" s="24" t="s">
        <v>13</v>
      </c>
      <c r="E76" s="24" t="s">
        <v>25</v>
      </c>
      <c r="F76" s="24" t="s">
        <v>10</v>
      </c>
      <c r="G76" s="24" t="s">
        <v>11</v>
      </c>
      <c r="H76" s="24" t="s">
        <v>12</v>
      </c>
      <c r="I76" s="24">
        <v>3</v>
      </c>
      <c r="J76" s="24">
        <v>10</v>
      </c>
      <c r="K76" s="28">
        <v>10000000</v>
      </c>
      <c r="L76" s="28">
        <v>32370896</v>
      </c>
      <c r="M76" s="140">
        <f>IFERROR(VLOOKUP(B76,'SUM PROM Y REDONDEO'!A64:J163,9,FALSE),"no eno")</f>
        <v>96066942</v>
      </c>
      <c r="N76" s="139">
        <f>IFERROR(VLOOKUP(B76,'SUM PROM Y REDONDEO'!A64:J163,10,FALSE),"no eno")</f>
        <v>3767736</v>
      </c>
    </row>
    <row r="77" spans="1:14">
      <c r="A77" s="43"/>
      <c r="B77" s="23" t="s">
        <v>24</v>
      </c>
      <c r="C77" s="137" t="s">
        <v>369</v>
      </c>
      <c r="D77" s="24" t="s">
        <v>13</v>
      </c>
      <c r="E77" s="24" t="s">
        <v>25</v>
      </c>
      <c r="F77" s="24" t="s">
        <v>17</v>
      </c>
      <c r="G77" s="25" t="s">
        <v>23</v>
      </c>
      <c r="H77" s="24" t="s">
        <v>12</v>
      </c>
      <c r="I77" s="24">
        <v>5</v>
      </c>
      <c r="J77" s="24">
        <v>5</v>
      </c>
      <c r="K77" s="23" t="s">
        <v>141</v>
      </c>
      <c r="L77" s="23" t="s">
        <v>179</v>
      </c>
      <c r="M77" s="140">
        <f>IFERROR(VLOOKUP(B77,'SUM PROM Y REDONDEO'!A65:J164,9,FALSE),"no eno")</f>
        <v>24514428</v>
      </c>
      <c r="N77" s="139">
        <f>IFERROR(VLOOKUP(B77,'SUM PROM Y REDONDEO'!A65:J164,10,FALSE),"no eno")</f>
        <v>27890231</v>
      </c>
    </row>
    <row r="78" spans="1:14">
      <c r="A78" s="43"/>
      <c r="B78" s="23" t="s">
        <v>37</v>
      </c>
      <c r="C78" s="137" t="s">
        <v>370</v>
      </c>
      <c r="D78" s="24" t="s">
        <v>13</v>
      </c>
      <c r="E78" s="24" t="s">
        <v>21</v>
      </c>
      <c r="F78" s="24" t="s">
        <v>10</v>
      </c>
      <c r="G78" s="24" t="s">
        <v>11</v>
      </c>
      <c r="H78" s="24" t="s">
        <v>30</v>
      </c>
      <c r="I78" s="24">
        <v>7</v>
      </c>
      <c r="J78" s="24">
        <v>7</v>
      </c>
      <c r="K78" s="28">
        <v>10000000</v>
      </c>
      <c r="L78" s="28">
        <v>31953589</v>
      </c>
      <c r="M78" s="140">
        <f>IFERROR(VLOOKUP(B78,'SUM PROM Y REDONDEO'!A66:J165,9,FALSE),"no eno")</f>
        <v>40068224</v>
      </c>
      <c r="N78" s="139">
        <f>IFERROR(VLOOKUP(B78,'SUM PROM Y REDONDEO'!A66:J165,10,FALSE),"no eno")</f>
        <v>80951038</v>
      </c>
    </row>
    <row r="79" spans="1:14">
      <c r="A79" s="43"/>
      <c r="B79" s="23" t="s">
        <v>49</v>
      </c>
      <c r="C79" s="137" t="s">
        <v>371</v>
      </c>
      <c r="D79" s="24" t="s">
        <v>13</v>
      </c>
      <c r="E79" s="24" t="s">
        <v>21</v>
      </c>
      <c r="F79" s="24" t="s">
        <v>10</v>
      </c>
      <c r="G79" s="24" t="s">
        <v>11</v>
      </c>
      <c r="H79" s="24" t="s">
        <v>12</v>
      </c>
      <c r="I79" s="24">
        <v>7</v>
      </c>
      <c r="J79" s="24">
        <v>5</v>
      </c>
      <c r="K79" s="28">
        <v>50000000</v>
      </c>
      <c r="L79" s="28">
        <v>78205651</v>
      </c>
      <c r="M79" s="140">
        <f>IFERROR(VLOOKUP(B79,'SUM PROM Y REDONDEO'!A67:J166,9,FALSE),"no eno")</f>
        <v>62381180</v>
      </c>
      <c r="N79" s="139">
        <f>IFERROR(VLOOKUP(B79,'SUM PROM Y REDONDEO'!A67:J166,10,FALSE),"no eno")</f>
        <v>6508585</v>
      </c>
    </row>
    <row r="80" spans="1:14">
      <c r="A80" s="43"/>
      <c r="B80" s="23" t="s">
        <v>119</v>
      </c>
      <c r="C80" s="137" t="s">
        <v>372</v>
      </c>
      <c r="D80" s="24" t="s">
        <v>13</v>
      </c>
      <c r="E80" s="24" t="s">
        <v>15</v>
      </c>
      <c r="F80" s="24" t="s">
        <v>17</v>
      </c>
      <c r="G80" s="25" t="s">
        <v>18</v>
      </c>
      <c r="H80" s="24" t="s">
        <v>12</v>
      </c>
      <c r="I80" s="24">
        <v>5</v>
      </c>
      <c r="J80" s="24">
        <v>4</v>
      </c>
      <c r="K80" s="23" t="s">
        <v>141</v>
      </c>
      <c r="L80" s="23" t="s">
        <v>179</v>
      </c>
      <c r="M80" s="140">
        <f>IFERROR(VLOOKUP(B80,'SUM PROM Y REDONDEO'!A68:J167,9,FALSE),"no eno")</f>
        <v>34584522</v>
      </c>
      <c r="N80" s="139">
        <f>IFERROR(VLOOKUP(B80,'SUM PROM Y REDONDEO'!A68:J167,10,FALSE),"no eno")</f>
        <v>0</v>
      </c>
    </row>
    <row r="81" spans="1:14">
      <c r="A81" s="43"/>
      <c r="B81" s="23" t="s">
        <v>86</v>
      </c>
      <c r="C81" s="137" t="s">
        <v>373</v>
      </c>
      <c r="D81" s="25" t="s">
        <v>87</v>
      </c>
      <c r="E81" s="24" t="s">
        <v>21</v>
      </c>
      <c r="F81" s="24" t="s">
        <v>55</v>
      </c>
      <c r="G81" s="24" t="s">
        <v>80</v>
      </c>
      <c r="H81" s="24" t="s">
        <v>12</v>
      </c>
      <c r="I81" s="24">
        <v>7</v>
      </c>
      <c r="J81" s="24">
        <v>7</v>
      </c>
      <c r="K81" s="23" t="s">
        <v>141</v>
      </c>
      <c r="L81" s="23" t="s">
        <v>179</v>
      </c>
      <c r="M81" s="140">
        <f>IFERROR(VLOOKUP(B81,'SUM PROM Y REDONDEO'!A69:J168,9,FALSE),"no eno")</f>
        <v>76942676</v>
      </c>
      <c r="N81" s="139">
        <f>IFERROR(VLOOKUP(B81,'SUM PROM Y REDONDEO'!A69:J168,10,FALSE),"no eno")</f>
        <v>74216691</v>
      </c>
    </row>
    <row r="82" spans="1:14">
      <c r="A82" s="43"/>
      <c r="B82" s="23" t="s">
        <v>47</v>
      </c>
      <c r="C82" s="137" t="s">
        <v>374</v>
      </c>
      <c r="D82" s="24" t="s">
        <v>32</v>
      </c>
      <c r="E82" s="24" t="s">
        <v>25</v>
      </c>
      <c r="F82" s="24" t="s">
        <v>10</v>
      </c>
      <c r="G82" s="24" t="s">
        <v>27</v>
      </c>
      <c r="H82" s="24" t="s">
        <v>30</v>
      </c>
      <c r="I82" s="24">
        <v>8</v>
      </c>
      <c r="J82" s="24">
        <v>9</v>
      </c>
      <c r="K82" s="28">
        <v>5000000</v>
      </c>
      <c r="L82" s="28">
        <v>70270294</v>
      </c>
      <c r="M82" s="140">
        <f>IFERROR(VLOOKUP(B82,'SUM PROM Y REDONDEO'!A70:J169,9,FALSE),"no eno")</f>
        <v>19588762</v>
      </c>
      <c r="N82" s="139">
        <f>IFERROR(VLOOKUP(B82,'SUM PROM Y REDONDEO'!A70:J169,10,FALSE),"no eno")</f>
        <v>78634577</v>
      </c>
    </row>
    <row r="83" spans="1:14">
      <c r="A83" s="43"/>
      <c r="B83" s="23" t="s">
        <v>59</v>
      </c>
      <c r="C83" s="137" t="s">
        <v>375</v>
      </c>
      <c r="D83" s="24" t="s">
        <v>13</v>
      </c>
      <c r="E83" s="24" t="s">
        <v>15</v>
      </c>
      <c r="F83" s="24" t="s">
        <v>17</v>
      </c>
      <c r="G83" s="25" t="s">
        <v>18</v>
      </c>
      <c r="H83" s="24" t="s">
        <v>12</v>
      </c>
      <c r="I83" s="24">
        <v>3</v>
      </c>
      <c r="J83" s="24">
        <v>5</v>
      </c>
      <c r="K83" s="23" t="s">
        <v>141</v>
      </c>
      <c r="L83" s="23" t="s">
        <v>179</v>
      </c>
      <c r="M83" s="140">
        <f>IFERROR(VLOOKUP(B83,'SUM PROM Y REDONDEO'!A71:J170,9,FALSE),"no eno")</f>
        <v>85955846</v>
      </c>
      <c r="N83" s="139">
        <f>IFERROR(VLOOKUP(B83,'SUM PROM Y REDONDEO'!A71:J170,10,FALSE),"no eno")</f>
        <v>25891596</v>
      </c>
    </row>
    <row r="84" spans="1:14">
      <c r="A84" s="43"/>
      <c r="B84" s="23" t="s">
        <v>94</v>
      </c>
      <c r="C84" s="137" t="s">
        <v>376</v>
      </c>
      <c r="D84" s="24" t="s">
        <v>13</v>
      </c>
      <c r="E84" s="24" t="s">
        <v>15</v>
      </c>
      <c r="F84" s="24" t="s">
        <v>10</v>
      </c>
      <c r="G84" s="24" t="s">
        <v>27</v>
      </c>
      <c r="H84" s="24" t="s">
        <v>30</v>
      </c>
      <c r="I84" s="24">
        <v>8</v>
      </c>
      <c r="J84" s="24">
        <v>10</v>
      </c>
      <c r="K84" s="28">
        <v>20000000</v>
      </c>
      <c r="L84" s="28">
        <v>62745331</v>
      </c>
      <c r="M84" s="140">
        <f>IFERROR(VLOOKUP(B84,'SUM PROM Y REDONDEO'!A72:J171,9,FALSE),"no eno")</f>
        <v>39843357</v>
      </c>
      <c r="N84" s="139">
        <f>IFERROR(VLOOKUP(B84,'SUM PROM Y REDONDEO'!A72:J171,10,FALSE),"no eno")</f>
        <v>64840967</v>
      </c>
    </row>
    <row r="85" spans="1:14">
      <c r="A85" s="43"/>
      <c r="B85" s="23" t="s">
        <v>46</v>
      </c>
      <c r="C85" s="137" t="s">
        <v>377</v>
      </c>
      <c r="D85" s="24" t="s">
        <v>13</v>
      </c>
      <c r="E85" s="24" t="s">
        <v>21</v>
      </c>
      <c r="F85" s="24" t="s">
        <v>17</v>
      </c>
      <c r="G85" s="25" t="s">
        <v>23</v>
      </c>
      <c r="H85" s="24" t="s">
        <v>12</v>
      </c>
      <c r="I85" s="24">
        <v>5</v>
      </c>
      <c r="J85" s="24">
        <v>7</v>
      </c>
      <c r="K85" s="23" t="s">
        <v>141</v>
      </c>
      <c r="L85" s="23" t="s">
        <v>179</v>
      </c>
      <c r="M85" s="140">
        <f>IFERROR(VLOOKUP(B85,'SUM PROM Y REDONDEO'!A73:J172,9,FALSE),"no eno")</f>
        <v>82583322</v>
      </c>
      <c r="N85" s="139">
        <f>IFERROR(VLOOKUP(B85,'SUM PROM Y REDONDEO'!A73:J172,10,FALSE),"no eno")</f>
        <v>809058</v>
      </c>
    </row>
    <row r="86" spans="1:14">
      <c r="A86" s="43"/>
      <c r="B86" s="23" t="s">
        <v>116</v>
      </c>
      <c r="C86" s="137" t="s">
        <v>378</v>
      </c>
      <c r="D86" s="24" t="s">
        <v>13</v>
      </c>
      <c r="E86" s="24" t="s">
        <v>21</v>
      </c>
      <c r="F86" s="24" t="s">
        <v>10</v>
      </c>
      <c r="G86" s="24" t="s">
        <v>27</v>
      </c>
      <c r="H86" s="24" t="s">
        <v>30</v>
      </c>
      <c r="I86" s="24">
        <v>6</v>
      </c>
      <c r="J86" s="24">
        <v>6</v>
      </c>
      <c r="K86" s="28">
        <v>10000000</v>
      </c>
      <c r="L86" s="28">
        <v>59890317</v>
      </c>
      <c r="M86" s="140">
        <f>IFERROR(VLOOKUP(B86,'SUM PROM Y REDONDEO'!A74:J173,9,FALSE),"no eno")</f>
        <v>42451842</v>
      </c>
      <c r="N86" s="139">
        <f>IFERROR(VLOOKUP(B86,'SUM PROM Y REDONDEO'!A74:J173,10,FALSE),"no eno")</f>
        <v>0</v>
      </c>
    </row>
    <row r="87" spans="1:14">
      <c r="A87" s="43"/>
      <c r="B87" s="23" t="s">
        <v>14</v>
      </c>
      <c r="C87" s="137" t="s">
        <v>379</v>
      </c>
      <c r="D87" s="24" t="s">
        <v>13</v>
      </c>
      <c r="E87" s="24" t="s">
        <v>15</v>
      </c>
      <c r="F87" s="24" t="s">
        <v>10</v>
      </c>
      <c r="G87" s="24" t="s">
        <v>11</v>
      </c>
      <c r="H87" s="24" t="s">
        <v>12</v>
      </c>
      <c r="I87" s="24">
        <v>3</v>
      </c>
      <c r="J87" s="24">
        <v>6</v>
      </c>
      <c r="K87" s="28">
        <v>10000000</v>
      </c>
      <c r="L87" s="28">
        <v>97449662</v>
      </c>
      <c r="M87" s="140">
        <f>IFERROR(VLOOKUP(B87,'SUM PROM Y REDONDEO'!A75:J174,9,FALSE),"no eno")</f>
        <v>49624160</v>
      </c>
      <c r="N87" s="139">
        <f>IFERROR(VLOOKUP(B87,'SUM PROM Y REDONDEO'!A75:J174,10,FALSE),"no eno")</f>
        <v>17854677</v>
      </c>
    </row>
    <row r="88" spans="1:14">
      <c r="A88" s="43"/>
      <c r="B88" s="23" t="s">
        <v>22</v>
      </c>
      <c r="C88" s="137" t="s">
        <v>380</v>
      </c>
      <c r="D88" s="24" t="s">
        <v>13</v>
      </c>
      <c r="E88" s="24" t="s">
        <v>9</v>
      </c>
      <c r="F88" s="24" t="s">
        <v>17</v>
      </c>
      <c r="G88" s="25" t="s">
        <v>23</v>
      </c>
      <c r="H88" s="24" t="s">
        <v>12</v>
      </c>
      <c r="I88" s="24">
        <v>8</v>
      </c>
      <c r="J88" s="24">
        <v>10</v>
      </c>
      <c r="K88" s="23" t="s">
        <v>141</v>
      </c>
      <c r="L88" s="23" t="s">
        <v>179</v>
      </c>
      <c r="M88" s="140">
        <f>IFERROR(VLOOKUP(B88,'SUM PROM Y REDONDEO'!A76:J175,9,FALSE),"no eno")</f>
        <v>44422091</v>
      </c>
      <c r="N88" s="139">
        <f>IFERROR(VLOOKUP(B88,'SUM PROM Y REDONDEO'!A76:J175,10,FALSE),"no eno")</f>
        <v>8898260</v>
      </c>
    </row>
    <row r="89" spans="1:14">
      <c r="A89" s="43"/>
      <c r="B89" s="23" t="s">
        <v>71</v>
      </c>
      <c r="C89" s="137" t="s">
        <v>381</v>
      </c>
      <c r="D89" s="25" t="s">
        <v>72</v>
      </c>
      <c r="E89" s="24" t="s">
        <v>21</v>
      </c>
      <c r="F89" s="24" t="s">
        <v>17</v>
      </c>
      <c r="G89" s="25" t="s">
        <v>18</v>
      </c>
      <c r="H89" s="24" t="s">
        <v>12</v>
      </c>
      <c r="I89" s="24">
        <v>5</v>
      </c>
      <c r="J89" s="24">
        <v>7</v>
      </c>
      <c r="K89" s="23" t="s">
        <v>141</v>
      </c>
      <c r="L89" s="23" t="s">
        <v>179</v>
      </c>
      <c r="M89" s="140">
        <f>IFERROR(VLOOKUP(B89,'SUM PROM Y REDONDEO'!A77:J176,9,FALSE),"no eno")</f>
        <v>0</v>
      </c>
      <c r="N89" s="139">
        <f>IFERROR(VLOOKUP(B89,'SUM PROM Y REDONDEO'!A77:J176,10,FALSE),"no eno")</f>
        <v>63436099</v>
      </c>
    </row>
    <row r="90" spans="1:14">
      <c r="A90" s="43"/>
      <c r="B90" s="23" t="s">
        <v>131</v>
      </c>
      <c r="C90" s="137" t="s">
        <v>382</v>
      </c>
      <c r="D90" s="24" t="s">
        <v>13</v>
      </c>
      <c r="E90" s="24" t="s">
        <v>21</v>
      </c>
      <c r="F90" s="24" t="s">
        <v>10</v>
      </c>
      <c r="G90" s="24" t="s">
        <v>11</v>
      </c>
      <c r="H90" s="24" t="s">
        <v>30</v>
      </c>
      <c r="I90" s="24">
        <v>8</v>
      </c>
      <c r="J90" s="24">
        <v>9</v>
      </c>
      <c r="K90" s="28">
        <v>10000000</v>
      </c>
      <c r="L90" s="28">
        <v>99989764</v>
      </c>
      <c r="M90" s="140">
        <f>IFERROR(VLOOKUP(B90,'SUM PROM Y REDONDEO'!A78:J177,9,FALSE),"no eno")</f>
        <v>8030175</v>
      </c>
      <c r="N90" s="139">
        <f>IFERROR(VLOOKUP(B90,'SUM PROM Y REDONDEO'!A78:J177,10,FALSE),"no eno")</f>
        <v>37676206</v>
      </c>
    </row>
    <row r="91" spans="1:14">
      <c r="A91" s="43"/>
      <c r="B91" s="23" t="s">
        <v>66</v>
      </c>
      <c r="C91" s="137" t="s">
        <v>383</v>
      </c>
      <c r="D91" s="24" t="s">
        <v>13</v>
      </c>
      <c r="E91" s="24" t="s">
        <v>21</v>
      </c>
      <c r="F91" s="24" t="s">
        <v>17</v>
      </c>
      <c r="G91" s="25" t="s">
        <v>18</v>
      </c>
      <c r="H91" s="24" t="s">
        <v>30</v>
      </c>
      <c r="I91" s="24">
        <v>4</v>
      </c>
      <c r="J91" s="24">
        <v>5</v>
      </c>
      <c r="K91" s="23" t="s">
        <v>141</v>
      </c>
      <c r="L91" s="23" t="s">
        <v>179</v>
      </c>
      <c r="M91" s="140">
        <f>IFERROR(VLOOKUP(B91,'SUM PROM Y REDONDEO'!A79:J178,9,FALSE),"no eno")</f>
        <v>12862402</v>
      </c>
      <c r="N91" s="139">
        <f>IFERROR(VLOOKUP(B91,'SUM PROM Y REDONDEO'!A79:J178,10,FALSE),"no eno")</f>
        <v>68922404</v>
      </c>
    </row>
    <row r="92" spans="1:14">
      <c r="A92" s="43"/>
      <c r="B92" s="23" t="s">
        <v>99</v>
      </c>
      <c r="C92" s="137" t="s">
        <v>384</v>
      </c>
      <c r="D92" s="24" t="s">
        <v>13</v>
      </c>
      <c r="E92" s="24" t="s">
        <v>25</v>
      </c>
      <c r="F92" s="24" t="s">
        <v>17</v>
      </c>
      <c r="G92" s="25" t="s">
        <v>18</v>
      </c>
      <c r="H92" s="24" t="s">
        <v>30</v>
      </c>
      <c r="I92" s="24">
        <v>9</v>
      </c>
      <c r="J92" s="24">
        <v>9</v>
      </c>
      <c r="K92" s="23" t="s">
        <v>141</v>
      </c>
      <c r="L92" s="23" t="s">
        <v>179</v>
      </c>
      <c r="M92" s="140">
        <f>IFERROR(VLOOKUP(B92,'SUM PROM Y REDONDEO'!A80:J179,9,FALSE),"no eno")</f>
        <v>46914257</v>
      </c>
      <c r="N92" s="139">
        <f>IFERROR(VLOOKUP(B92,'SUM PROM Y REDONDEO'!A80:J179,10,FALSE),"no eno")</f>
        <v>43734508</v>
      </c>
    </row>
    <row r="93" spans="1:14">
      <c r="A93" s="43"/>
      <c r="B93" s="23" t="s">
        <v>114</v>
      </c>
      <c r="C93" s="137" t="s">
        <v>385</v>
      </c>
      <c r="D93" s="56" t="s">
        <v>115</v>
      </c>
      <c r="E93" s="24" t="s">
        <v>54</v>
      </c>
      <c r="F93" s="24" t="s">
        <v>55</v>
      </c>
      <c r="G93" s="24" t="s">
        <v>56</v>
      </c>
      <c r="H93" s="24" t="s">
        <v>12</v>
      </c>
      <c r="I93" s="24">
        <v>6</v>
      </c>
      <c r="J93" s="24">
        <v>10</v>
      </c>
      <c r="K93" s="23" t="s">
        <v>141</v>
      </c>
      <c r="L93" s="23" t="s">
        <v>179</v>
      </c>
      <c r="M93" s="140">
        <f>IFERROR(VLOOKUP(B93,'SUM PROM Y REDONDEO'!A81:J180,9,FALSE),"no eno")</f>
        <v>95212463</v>
      </c>
      <c r="N93" s="139">
        <f>IFERROR(VLOOKUP(B93,'SUM PROM Y REDONDEO'!A81:J180,10,FALSE),"no eno")</f>
        <v>0</v>
      </c>
    </row>
    <row r="94" spans="1:14">
      <c r="A94" s="43"/>
      <c r="B94" s="23" t="s">
        <v>58</v>
      </c>
      <c r="C94" s="137" t="s">
        <v>386</v>
      </c>
      <c r="D94" s="25" t="s">
        <v>28</v>
      </c>
      <c r="E94" s="24" t="s">
        <v>21</v>
      </c>
      <c r="F94" s="24" t="s">
        <v>10</v>
      </c>
      <c r="G94" s="24" t="s">
        <v>11</v>
      </c>
      <c r="H94" s="24" t="s">
        <v>12</v>
      </c>
      <c r="I94" s="24">
        <v>3</v>
      </c>
      <c r="J94" s="24">
        <v>9</v>
      </c>
      <c r="K94" s="28">
        <v>5000000</v>
      </c>
      <c r="L94" s="28">
        <v>32915397</v>
      </c>
      <c r="M94" s="140">
        <f>IFERROR(VLOOKUP(B94,'SUM PROM Y REDONDEO'!A82:J181,9,FALSE),"no eno")</f>
        <v>74493461</v>
      </c>
      <c r="N94" s="139">
        <f>IFERROR(VLOOKUP(B94,'SUM PROM Y REDONDEO'!A82:J181,10,FALSE),"no eno")</f>
        <v>151779</v>
      </c>
    </row>
    <row r="95" spans="1:14">
      <c r="A95" s="43"/>
      <c r="B95" s="23" t="s">
        <v>117</v>
      </c>
      <c r="C95" s="137" t="s">
        <v>387</v>
      </c>
      <c r="D95" s="24" t="s">
        <v>13</v>
      </c>
      <c r="E95" s="24" t="s">
        <v>25</v>
      </c>
      <c r="F95" s="24" t="s">
        <v>17</v>
      </c>
      <c r="G95" s="25" t="s">
        <v>18</v>
      </c>
      <c r="H95" s="24" t="s">
        <v>12</v>
      </c>
      <c r="I95" s="24">
        <v>3</v>
      </c>
      <c r="J95" s="24">
        <v>7</v>
      </c>
      <c r="K95" s="23" t="s">
        <v>141</v>
      </c>
      <c r="L95" s="23" t="s">
        <v>179</v>
      </c>
      <c r="M95" s="140">
        <f>IFERROR(VLOOKUP(B95,'SUM PROM Y REDONDEO'!A83:J182,9,FALSE),"no eno")</f>
        <v>43223505</v>
      </c>
      <c r="N95" s="139">
        <f>IFERROR(VLOOKUP(B95,'SUM PROM Y REDONDEO'!A83:J182,10,FALSE),"no eno")</f>
        <v>0</v>
      </c>
    </row>
    <row r="96" spans="1:14">
      <c r="A96" s="43"/>
      <c r="B96" s="23" t="s">
        <v>65</v>
      </c>
      <c r="C96" s="137" t="s">
        <v>388</v>
      </c>
      <c r="D96" s="24" t="s">
        <v>13</v>
      </c>
      <c r="E96" s="24" t="s">
        <v>21</v>
      </c>
      <c r="F96" s="24" t="s">
        <v>17</v>
      </c>
      <c r="G96" s="25" t="s">
        <v>18</v>
      </c>
      <c r="H96" s="24" t="s">
        <v>12</v>
      </c>
      <c r="I96" s="24">
        <v>7</v>
      </c>
      <c r="J96" s="24">
        <v>10</v>
      </c>
      <c r="K96" s="23" t="s">
        <v>141</v>
      </c>
      <c r="L96" s="23" t="s">
        <v>179</v>
      </c>
      <c r="M96" s="140">
        <f>IFERROR(VLOOKUP(B96,'SUM PROM Y REDONDEO'!A84:J183,9,FALSE),"no eno")</f>
        <v>14141858</v>
      </c>
      <c r="N96" s="139">
        <f>IFERROR(VLOOKUP(B96,'SUM PROM Y REDONDEO'!A84:J183,10,FALSE),"no eno")</f>
        <v>87162317</v>
      </c>
    </row>
    <row r="97" spans="1:14">
      <c r="A97" s="43"/>
      <c r="B97" s="23" t="s">
        <v>112</v>
      </c>
      <c r="C97" s="137" t="s">
        <v>389</v>
      </c>
      <c r="D97" s="24" t="s">
        <v>13</v>
      </c>
      <c r="E97" s="24" t="s">
        <v>21</v>
      </c>
      <c r="F97" s="24" t="s">
        <v>17</v>
      </c>
      <c r="G97" s="25" t="s">
        <v>18</v>
      </c>
      <c r="H97" s="24" t="s">
        <v>12</v>
      </c>
      <c r="I97" s="24">
        <v>3</v>
      </c>
      <c r="J97" s="24">
        <v>7</v>
      </c>
      <c r="K97" s="23" t="s">
        <v>141</v>
      </c>
      <c r="L97" s="23" t="s">
        <v>179</v>
      </c>
      <c r="M97" s="140">
        <f>IFERROR(VLOOKUP(B97,'SUM PROM Y REDONDEO'!A85:J184,9,FALSE),"no eno")</f>
        <v>29525162</v>
      </c>
      <c r="N97" s="139">
        <f>IFERROR(VLOOKUP(B97,'SUM PROM Y REDONDEO'!A85:J184,10,FALSE),"no eno")</f>
        <v>0</v>
      </c>
    </row>
    <row r="98" spans="1:14">
      <c r="A98" s="43"/>
      <c r="B98" s="23" t="s">
        <v>135</v>
      </c>
      <c r="C98" s="137" t="s">
        <v>390</v>
      </c>
      <c r="D98" s="24" t="s">
        <v>13</v>
      </c>
      <c r="E98" s="24" t="s">
        <v>21</v>
      </c>
      <c r="F98" s="24" t="s">
        <v>17</v>
      </c>
      <c r="G98" s="25" t="s">
        <v>23</v>
      </c>
      <c r="H98" s="24" t="s">
        <v>30</v>
      </c>
      <c r="I98" s="24">
        <v>7</v>
      </c>
      <c r="J98" s="24">
        <v>4</v>
      </c>
      <c r="K98" s="23" t="s">
        <v>141</v>
      </c>
      <c r="L98" s="23" t="s">
        <v>179</v>
      </c>
      <c r="M98" s="140">
        <f>IFERROR(VLOOKUP(B98,'SUM PROM Y REDONDEO'!A86:J185,9,FALSE),"no eno")</f>
        <v>29366791</v>
      </c>
      <c r="N98" s="139">
        <f>IFERROR(VLOOKUP(B98,'SUM PROM Y REDONDEO'!A86:J185,10,FALSE),"no eno")</f>
        <v>89805774</v>
      </c>
    </row>
    <row r="99" spans="1:14">
      <c r="A99" s="43"/>
      <c r="B99" s="23" t="s">
        <v>40</v>
      </c>
      <c r="C99" s="137" t="s">
        <v>391</v>
      </c>
      <c r="D99" s="24" t="s">
        <v>13</v>
      </c>
      <c r="E99" s="24" t="s">
        <v>21</v>
      </c>
      <c r="F99" s="24" t="s">
        <v>17</v>
      </c>
      <c r="G99" s="25" t="s">
        <v>18</v>
      </c>
      <c r="H99" s="24" t="s">
        <v>30</v>
      </c>
      <c r="I99" s="24">
        <v>9</v>
      </c>
      <c r="J99" s="24">
        <v>5</v>
      </c>
      <c r="K99" s="23" t="s">
        <v>141</v>
      </c>
      <c r="L99" s="23" t="s">
        <v>179</v>
      </c>
      <c r="M99" s="140">
        <f>IFERROR(VLOOKUP(B99,'SUM PROM Y REDONDEO'!A87:J186,9,FALSE),"no eno")</f>
        <v>73195518</v>
      </c>
      <c r="N99" s="139">
        <f>IFERROR(VLOOKUP(B99,'SUM PROM Y REDONDEO'!A87:J186,10,FALSE),"no eno")</f>
        <v>10695678</v>
      </c>
    </row>
    <row r="100" spans="1:14">
      <c r="A100" s="43"/>
      <c r="B100" s="23" t="s">
        <v>19</v>
      </c>
      <c r="C100" s="137" t="s">
        <v>392</v>
      </c>
      <c r="D100" s="24" t="s">
        <v>13</v>
      </c>
      <c r="E100" s="24" t="s">
        <v>21</v>
      </c>
      <c r="F100" s="24" t="s">
        <v>17</v>
      </c>
      <c r="G100" s="25" t="s">
        <v>18</v>
      </c>
      <c r="H100" s="24" t="s">
        <v>12</v>
      </c>
      <c r="I100" s="24">
        <v>3</v>
      </c>
      <c r="J100" s="24">
        <v>6</v>
      </c>
      <c r="K100" s="23" t="s">
        <v>141</v>
      </c>
      <c r="L100" s="23" t="s">
        <v>179</v>
      </c>
      <c r="M100" s="140">
        <f>IFERROR(VLOOKUP(B100,'SUM PROM Y REDONDEO'!A88:J187,9,FALSE),"no eno")</f>
        <v>1432950</v>
      </c>
      <c r="N100" s="139">
        <f>IFERROR(VLOOKUP(B100,'SUM PROM Y REDONDEO'!A88:J187,10,FALSE),"no eno")</f>
        <v>29672451</v>
      </c>
    </row>
    <row r="101" spans="1:14">
      <c r="A101" s="43"/>
      <c r="B101" s="23" t="s">
        <v>70</v>
      </c>
      <c r="C101" s="137" t="s">
        <v>393</v>
      </c>
      <c r="D101" s="24" t="s">
        <v>13</v>
      </c>
      <c r="E101" s="24" t="s">
        <v>21</v>
      </c>
      <c r="F101" s="24" t="s">
        <v>10</v>
      </c>
      <c r="G101" s="24" t="s">
        <v>11</v>
      </c>
      <c r="H101" s="24" t="s">
        <v>30</v>
      </c>
      <c r="I101" s="24">
        <v>8</v>
      </c>
      <c r="J101" s="24">
        <v>7</v>
      </c>
      <c r="K101" s="28">
        <v>1000000</v>
      </c>
      <c r="L101" s="28">
        <v>77159264</v>
      </c>
      <c r="M101" s="140">
        <f>IFERROR(VLOOKUP(B101,'SUM PROM Y REDONDEO'!A89:J188,9,FALSE),"no eno")</f>
        <v>0</v>
      </c>
      <c r="N101" s="139">
        <f>IFERROR(VLOOKUP(B101,'SUM PROM Y REDONDEO'!A89:J188,10,FALSE),"no eno")</f>
        <v>97234303</v>
      </c>
    </row>
    <row r="102" spans="1:14">
      <c r="A102" s="43"/>
      <c r="B102" s="23" t="s">
        <v>104</v>
      </c>
      <c r="C102" s="137" t="s">
        <v>394</v>
      </c>
      <c r="D102" s="25" t="s">
        <v>28</v>
      </c>
      <c r="E102" s="24" t="s">
        <v>21</v>
      </c>
      <c r="F102" s="24" t="s">
        <v>10</v>
      </c>
      <c r="G102" s="24" t="s">
        <v>11</v>
      </c>
      <c r="H102" s="24" t="s">
        <v>12</v>
      </c>
      <c r="I102" s="24">
        <v>7</v>
      </c>
      <c r="J102" s="24">
        <v>10</v>
      </c>
      <c r="K102" s="28">
        <v>100000000</v>
      </c>
      <c r="L102" s="28">
        <v>12451199</v>
      </c>
      <c r="M102" s="140">
        <f>IFERROR(VLOOKUP(B102,'SUM PROM Y REDONDEO'!A90:J189,9,FALSE),"no eno")</f>
        <v>74231711</v>
      </c>
      <c r="N102" s="139">
        <f>IFERROR(VLOOKUP(B102,'SUM PROM Y REDONDEO'!A90:J189,10,FALSE),"no eno")</f>
        <v>42951226</v>
      </c>
    </row>
    <row r="103" spans="1:14">
      <c r="A103" s="43"/>
      <c r="B103" s="23" t="s">
        <v>128</v>
      </c>
      <c r="C103" s="137" t="s">
        <v>395</v>
      </c>
      <c r="D103" s="24" t="s">
        <v>13</v>
      </c>
      <c r="E103" s="24" t="s">
        <v>9</v>
      </c>
      <c r="F103" s="24" t="s">
        <v>10</v>
      </c>
      <c r="G103" s="24" t="s">
        <v>11</v>
      </c>
      <c r="H103" s="24" t="s">
        <v>30</v>
      </c>
      <c r="I103" s="24">
        <v>3</v>
      </c>
      <c r="J103" s="24">
        <v>9</v>
      </c>
      <c r="K103" s="28">
        <v>90000000</v>
      </c>
      <c r="L103" s="28">
        <v>13287929</v>
      </c>
      <c r="M103" s="140">
        <f>IFERROR(VLOOKUP(B103,'SUM PROM Y REDONDEO'!A91:J190,9,FALSE),"no eno")</f>
        <v>27090183</v>
      </c>
      <c r="N103" s="139">
        <f>IFERROR(VLOOKUP(B103,'SUM PROM Y REDONDEO'!A91:J190,10,FALSE),"no eno")</f>
        <v>79518711</v>
      </c>
    </row>
    <row r="104" spans="1:14">
      <c r="A104" s="43"/>
      <c r="B104" s="23" t="s">
        <v>53</v>
      </c>
      <c r="C104" s="137" t="s">
        <v>396</v>
      </c>
      <c r="D104" s="25" t="s">
        <v>28</v>
      </c>
      <c r="E104" s="24" t="s">
        <v>54</v>
      </c>
      <c r="F104" s="24" t="s">
        <v>55</v>
      </c>
      <c r="G104" s="24" t="s">
        <v>56</v>
      </c>
      <c r="H104" s="24" t="s">
        <v>12</v>
      </c>
      <c r="I104" s="24">
        <v>6</v>
      </c>
      <c r="J104" s="24">
        <v>5</v>
      </c>
      <c r="K104" s="23" t="s">
        <v>141</v>
      </c>
      <c r="L104" s="23" t="s">
        <v>179</v>
      </c>
      <c r="M104" s="140">
        <f>IFERROR(VLOOKUP(B104,'SUM PROM Y REDONDEO'!A92:J191,9,FALSE),"no eno")</f>
        <v>20898506</v>
      </c>
      <c r="N104" s="139">
        <f>IFERROR(VLOOKUP(B104,'SUM PROM Y REDONDEO'!A92:J191,10,FALSE),"no eno")</f>
        <v>24525645</v>
      </c>
    </row>
    <row r="105" spans="1:14">
      <c r="A105" s="43"/>
      <c r="B105" s="23" t="s">
        <v>51</v>
      </c>
      <c r="C105" s="137" t="s">
        <v>397</v>
      </c>
      <c r="D105" s="24" t="s">
        <v>13</v>
      </c>
      <c r="E105" s="24" t="s">
        <v>21</v>
      </c>
      <c r="F105" s="24" t="s">
        <v>10</v>
      </c>
      <c r="G105" s="24" t="s">
        <v>11</v>
      </c>
      <c r="H105" s="24" t="s">
        <v>12</v>
      </c>
      <c r="I105" s="24">
        <v>8</v>
      </c>
      <c r="J105" s="24">
        <v>7</v>
      </c>
      <c r="K105" s="28">
        <v>5000000</v>
      </c>
      <c r="L105" s="28">
        <v>37959268</v>
      </c>
      <c r="M105" s="140">
        <f>IFERROR(VLOOKUP(B105,'SUM PROM Y REDONDEO'!A93:J192,9,FALSE),"no eno")</f>
        <v>69132389</v>
      </c>
      <c r="N105" s="139">
        <f>IFERROR(VLOOKUP(B105,'SUM PROM Y REDONDEO'!A93:J192,10,FALSE),"no eno")</f>
        <v>99564796</v>
      </c>
    </row>
    <row r="106" spans="1:14">
      <c r="A106" s="43"/>
      <c r="B106" s="23" t="s">
        <v>63</v>
      </c>
      <c r="C106" s="137" t="s">
        <v>398</v>
      </c>
      <c r="D106" s="24" t="s">
        <v>13</v>
      </c>
      <c r="E106" s="24" t="s">
        <v>21</v>
      </c>
      <c r="F106" s="24" t="s">
        <v>17</v>
      </c>
      <c r="G106" s="25" t="s">
        <v>18</v>
      </c>
      <c r="H106" s="24" t="s">
        <v>30</v>
      </c>
      <c r="I106" s="24">
        <v>3</v>
      </c>
      <c r="J106" s="24">
        <v>6</v>
      </c>
      <c r="K106" s="23" t="s">
        <v>141</v>
      </c>
      <c r="L106" s="23" t="s">
        <v>179</v>
      </c>
      <c r="M106" s="140">
        <f>IFERROR(VLOOKUP(B106,'SUM PROM Y REDONDEO'!A94:J193,9,FALSE),"no eno")</f>
        <v>26450622</v>
      </c>
      <c r="N106" s="139">
        <f>IFERROR(VLOOKUP(B106,'SUM PROM Y REDONDEO'!A94:J193,10,FALSE),"no eno")</f>
        <v>4227264</v>
      </c>
    </row>
    <row r="107" spans="1:14">
      <c r="A107" s="43"/>
      <c r="B107" s="23" t="s">
        <v>76</v>
      </c>
      <c r="C107" s="137" t="s">
        <v>399</v>
      </c>
      <c r="D107" s="25" t="s">
        <v>77</v>
      </c>
      <c r="E107" s="24" t="s">
        <v>21</v>
      </c>
      <c r="F107" s="24" t="s">
        <v>17</v>
      </c>
      <c r="G107" s="25" t="s">
        <v>18</v>
      </c>
      <c r="H107" s="24" t="s">
        <v>30</v>
      </c>
      <c r="I107" s="24">
        <v>6</v>
      </c>
      <c r="J107" s="24">
        <v>5</v>
      </c>
      <c r="K107" s="23" t="s">
        <v>141</v>
      </c>
      <c r="L107" s="23" t="s">
        <v>179</v>
      </c>
      <c r="M107" s="140">
        <f>IFERROR(VLOOKUP(B107,'SUM PROM Y REDONDEO'!A95:J194,9,FALSE),"no eno")</f>
        <v>0</v>
      </c>
      <c r="N107" s="139">
        <f>IFERROR(VLOOKUP(B107,'SUM PROM Y REDONDEO'!A95:J194,10,FALSE),"no eno")</f>
        <v>54376640</v>
      </c>
    </row>
    <row r="108" spans="1:14">
      <c r="A108" s="43"/>
      <c r="B108" s="23" t="s">
        <v>134</v>
      </c>
      <c r="C108" s="137" t="s">
        <v>400</v>
      </c>
      <c r="D108" s="24" t="s">
        <v>13</v>
      </c>
      <c r="E108" s="24" t="s">
        <v>21</v>
      </c>
      <c r="F108" s="24" t="s">
        <v>10</v>
      </c>
      <c r="G108" s="24" t="s">
        <v>27</v>
      </c>
      <c r="H108" s="24" t="s">
        <v>12</v>
      </c>
      <c r="I108" s="24">
        <v>7</v>
      </c>
      <c r="J108" s="24">
        <v>9</v>
      </c>
      <c r="K108" s="28">
        <v>90000000</v>
      </c>
      <c r="L108" s="28">
        <v>29991873</v>
      </c>
      <c r="M108" s="140">
        <f>IFERROR(VLOOKUP(B108,'SUM PROM Y REDONDEO'!A96:J195,9,FALSE),"no eno")</f>
        <v>39252741</v>
      </c>
      <c r="N108" s="139">
        <f>IFERROR(VLOOKUP(B108,'SUM PROM Y REDONDEO'!A96:J195,10,FALSE),"no eno")</f>
        <v>15542722</v>
      </c>
    </row>
    <row r="109" spans="1:14">
      <c r="A109" s="43"/>
      <c r="B109" s="23" t="s">
        <v>52</v>
      </c>
      <c r="C109" s="137" t="s">
        <v>401</v>
      </c>
      <c r="D109" s="24" t="s">
        <v>13</v>
      </c>
      <c r="E109" s="24" t="s">
        <v>21</v>
      </c>
      <c r="F109" s="24" t="s">
        <v>10</v>
      </c>
      <c r="G109" s="24" t="s">
        <v>27</v>
      </c>
      <c r="H109" s="24" t="s">
        <v>12</v>
      </c>
      <c r="I109" s="24">
        <v>6</v>
      </c>
      <c r="J109" s="24">
        <v>10</v>
      </c>
      <c r="K109" s="28">
        <v>10000000</v>
      </c>
      <c r="L109" s="28">
        <v>7303129</v>
      </c>
      <c r="M109" s="140">
        <f>IFERROR(VLOOKUP(B109,'SUM PROM Y REDONDEO'!A97:J196,9,FALSE),"no eno")</f>
        <v>3765621</v>
      </c>
      <c r="N109" s="139">
        <f>IFERROR(VLOOKUP(B109,'SUM PROM Y REDONDEO'!A97:J196,10,FALSE),"no eno")</f>
        <v>18125151</v>
      </c>
    </row>
    <row r="110" spans="1:14">
      <c r="A110" s="43"/>
      <c r="B110" s="23" t="s">
        <v>69</v>
      </c>
      <c r="C110" s="137" t="s">
        <v>402</v>
      </c>
      <c r="D110" s="25" t="s">
        <v>32</v>
      </c>
      <c r="E110" s="24" t="s">
        <v>21</v>
      </c>
      <c r="F110" s="24" t="s">
        <v>10</v>
      </c>
      <c r="G110" s="24" t="s">
        <v>27</v>
      </c>
      <c r="H110" s="24" t="s">
        <v>12</v>
      </c>
      <c r="I110" s="24">
        <v>3</v>
      </c>
      <c r="J110" s="24">
        <v>9</v>
      </c>
      <c r="K110" s="28">
        <v>30000000</v>
      </c>
      <c r="L110" s="28">
        <v>44457754</v>
      </c>
      <c r="M110" s="140">
        <f>IFERROR(VLOOKUP(B110,'SUM PROM Y REDONDEO'!A98:J197,9,FALSE),"no eno")</f>
        <v>0</v>
      </c>
      <c r="N110" s="139">
        <f>IFERROR(VLOOKUP(B110,'SUM PROM Y REDONDEO'!A98:J197,10,FALSE),"no eno")</f>
        <v>62249765</v>
      </c>
    </row>
    <row r="111" spans="1:14">
      <c r="A111" s="43"/>
      <c r="B111" s="23" t="s">
        <v>83</v>
      </c>
      <c r="C111" s="137" t="s">
        <v>403</v>
      </c>
      <c r="D111" s="24" t="s">
        <v>13</v>
      </c>
      <c r="E111" s="24" t="s">
        <v>21</v>
      </c>
      <c r="F111" s="24" t="s">
        <v>10</v>
      </c>
      <c r="G111" s="24" t="s">
        <v>11</v>
      </c>
      <c r="H111" s="24" t="s">
        <v>12</v>
      </c>
      <c r="I111" s="24">
        <v>4</v>
      </c>
      <c r="J111" s="24">
        <v>10</v>
      </c>
      <c r="K111" s="28">
        <v>10000000</v>
      </c>
      <c r="L111" s="28">
        <v>54467236</v>
      </c>
      <c r="M111" s="140">
        <f>IFERROR(VLOOKUP(B111,'SUM PROM Y REDONDEO'!A99:J198,9,FALSE),"no eno")</f>
        <v>0</v>
      </c>
      <c r="N111" s="139">
        <f>IFERROR(VLOOKUP(B111,'SUM PROM Y REDONDEO'!A99:J198,10,FALSE),"no eno")</f>
        <v>1234692</v>
      </c>
    </row>
    <row r="112" spans="1:14">
      <c r="A112" s="43"/>
      <c r="B112" s="23" t="s">
        <v>75</v>
      </c>
      <c r="C112" s="137" t="s">
        <v>404</v>
      </c>
      <c r="D112" s="24" t="s">
        <v>13</v>
      </c>
      <c r="E112" s="24" t="s">
        <v>21</v>
      </c>
      <c r="F112" s="24" t="s">
        <v>10</v>
      </c>
      <c r="G112" s="24" t="s">
        <v>27</v>
      </c>
      <c r="H112" s="24" t="s">
        <v>12</v>
      </c>
      <c r="I112" s="24">
        <v>4</v>
      </c>
      <c r="J112" s="24">
        <v>10</v>
      </c>
      <c r="K112" s="28">
        <v>10000000</v>
      </c>
      <c r="L112" s="28">
        <v>17991607</v>
      </c>
      <c r="M112" s="140">
        <f>IFERROR(VLOOKUP(B112,'SUM PROM Y REDONDEO'!A100:J199,9,FALSE),"no eno")</f>
        <v>0</v>
      </c>
      <c r="N112" s="139">
        <f>IFERROR(VLOOKUP(B112,'SUM PROM Y REDONDEO'!A100:J199,10,FALSE),"no eno")</f>
        <v>174626</v>
      </c>
    </row>
    <row r="113" spans="1:14">
      <c r="A113" s="43"/>
      <c r="B113" s="23" t="s">
        <v>92</v>
      </c>
      <c r="C113" s="137" t="s">
        <v>405</v>
      </c>
      <c r="D113" s="24" t="s">
        <v>13</v>
      </c>
      <c r="E113" s="24" t="s">
        <v>21</v>
      </c>
      <c r="F113" s="24" t="s">
        <v>17</v>
      </c>
      <c r="G113" s="25" t="s">
        <v>23</v>
      </c>
      <c r="H113" s="24" t="s">
        <v>12</v>
      </c>
      <c r="I113" s="24">
        <v>5</v>
      </c>
      <c r="J113" s="24">
        <v>10</v>
      </c>
      <c r="K113" s="23" t="s">
        <v>141</v>
      </c>
      <c r="L113" s="23" t="s">
        <v>179</v>
      </c>
      <c r="M113" s="140">
        <f>IFERROR(VLOOKUP(B113,'SUM PROM Y REDONDEO'!A101:J200,9,FALSE),"no eno")</f>
        <v>24965127</v>
      </c>
      <c r="N113" s="139">
        <f>IFERROR(VLOOKUP(B113,'SUM PROM Y REDONDEO'!A101:J200,10,FALSE),"no eno")</f>
        <v>41129782</v>
      </c>
    </row>
  </sheetData>
  <mergeCells count="1">
    <mergeCell ref="B8:C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D0D4E-D461-4445-B238-8D3F0160117B}">
  <sheetPr codeName="Hoja11"/>
  <dimension ref="A1:AA108"/>
  <sheetViews>
    <sheetView topLeftCell="K1" workbookViewId="0">
      <selection activeCell="N9" sqref="N9"/>
    </sheetView>
  </sheetViews>
  <sheetFormatPr baseColWidth="10" defaultRowHeight="15"/>
  <cols>
    <col min="3" max="3" width="15.5703125" customWidth="1"/>
    <col min="5" max="5" width="31.140625" customWidth="1"/>
    <col min="6" max="6" width="18.28515625" customWidth="1"/>
    <col min="7" max="7" width="27.5703125" customWidth="1"/>
    <col min="8" max="8" width="23.7109375" customWidth="1"/>
    <col min="9" max="9" width="28" customWidth="1"/>
    <col min="10" max="10" width="26.42578125" customWidth="1"/>
    <col min="11" max="13" width="19.7109375" customWidth="1"/>
    <col min="14" max="14" width="11.85546875" bestFit="1" customWidth="1"/>
    <col min="15" max="15" width="34.42578125" bestFit="1" customWidth="1"/>
    <col min="16" max="16" width="22.42578125" bestFit="1" customWidth="1"/>
    <col min="17" max="17" width="8.140625" bestFit="1" customWidth="1"/>
    <col min="18" max="18" width="7" bestFit="1" customWidth="1"/>
    <col min="19" max="19" width="5.85546875" bestFit="1" customWidth="1"/>
    <col min="20" max="20" width="10.7109375" bestFit="1" customWidth="1"/>
    <col min="21" max="21" width="9.7109375" bestFit="1" customWidth="1"/>
    <col min="22" max="22" width="22.140625" bestFit="1" customWidth="1"/>
    <col min="23" max="23" width="11.140625" bestFit="1" customWidth="1"/>
    <col min="24" max="24" width="5.7109375" bestFit="1" customWidth="1"/>
    <col min="25" max="25" width="10.28515625" bestFit="1" customWidth="1"/>
    <col min="26" max="26" width="11.28515625" bestFit="1" customWidth="1"/>
    <col min="27" max="27" width="12.5703125" bestFit="1" customWidth="1"/>
    <col min="28" max="114" width="22.42578125" bestFit="1" customWidth="1"/>
    <col min="115" max="115" width="12.5703125" bestFit="1" customWidth="1"/>
  </cols>
  <sheetData>
    <row r="1" spans="1:27">
      <c r="A1" s="43"/>
      <c r="B1" s="43"/>
      <c r="C1" s="43"/>
      <c r="D1" s="43"/>
      <c r="E1" s="43"/>
      <c r="F1" s="43"/>
      <c r="G1" s="43"/>
      <c r="H1" s="43"/>
      <c r="I1" s="43"/>
      <c r="J1" s="43"/>
      <c r="K1" s="43"/>
      <c r="L1" s="43"/>
      <c r="M1" s="43"/>
    </row>
    <row r="2" spans="1:27">
      <c r="B2" s="142"/>
      <c r="C2" s="142"/>
      <c r="D2" s="142"/>
      <c r="E2" s="142"/>
      <c r="F2" s="142"/>
      <c r="G2" s="142"/>
      <c r="H2" s="43"/>
      <c r="I2" s="43"/>
      <c r="J2" s="43"/>
      <c r="K2" s="43"/>
      <c r="L2" s="43"/>
      <c r="M2" s="43"/>
    </row>
    <row r="3" spans="1:27">
      <c r="A3" s="142"/>
      <c r="B3" s="142"/>
      <c r="C3" s="142"/>
      <c r="D3" s="142"/>
      <c r="E3" s="142"/>
      <c r="F3" s="142"/>
      <c r="G3" s="142"/>
      <c r="H3" s="43"/>
      <c r="I3" s="43"/>
      <c r="J3" s="43"/>
      <c r="K3" s="43"/>
      <c r="L3" s="43"/>
      <c r="M3" s="43"/>
    </row>
    <row r="4" spans="1:27">
      <c r="A4" s="43"/>
      <c r="B4" s="43"/>
      <c r="C4" s="43"/>
      <c r="D4" s="43"/>
      <c r="E4" s="43"/>
      <c r="F4" s="43"/>
      <c r="G4" s="43"/>
      <c r="H4" s="43"/>
      <c r="I4" s="43"/>
      <c r="J4" s="43"/>
      <c r="K4" s="43"/>
      <c r="L4" s="43"/>
      <c r="M4" s="43"/>
    </row>
    <row r="5" spans="1:27">
      <c r="A5" s="43"/>
      <c r="B5" s="43"/>
      <c r="C5" s="43"/>
      <c r="D5" s="43"/>
      <c r="E5" s="43"/>
      <c r="F5" s="43"/>
      <c r="G5" s="43"/>
      <c r="H5" s="43"/>
      <c r="I5" s="43"/>
      <c r="J5" s="43"/>
      <c r="K5" s="43"/>
      <c r="L5" s="43"/>
      <c r="M5" s="43"/>
      <c r="O5" s="168" t="s">
        <v>412</v>
      </c>
      <c r="P5" s="168" t="s">
        <v>409</v>
      </c>
    </row>
    <row r="6" spans="1:27">
      <c r="A6" s="43"/>
      <c r="B6" s="43"/>
      <c r="C6" s="43"/>
      <c r="D6" s="43"/>
      <c r="E6" s="305" t="s">
        <v>407</v>
      </c>
      <c r="F6" s="306"/>
      <c r="G6" s="307" t="s">
        <v>304</v>
      </c>
      <c r="H6" s="308"/>
      <c r="I6" s="308"/>
      <c r="J6" s="308"/>
      <c r="K6" s="308"/>
      <c r="L6" s="308"/>
      <c r="M6" s="309"/>
      <c r="O6" s="168" t="s">
        <v>411</v>
      </c>
      <c r="P6" t="s">
        <v>102</v>
      </c>
      <c r="Q6" t="s">
        <v>89</v>
      </c>
      <c r="R6" t="s">
        <v>32</v>
      </c>
      <c r="S6" t="s">
        <v>28</v>
      </c>
      <c r="T6" t="s">
        <v>13</v>
      </c>
      <c r="U6" t="s">
        <v>96</v>
      </c>
      <c r="V6" t="s">
        <v>115</v>
      </c>
      <c r="W6" t="s">
        <v>77</v>
      </c>
      <c r="X6" t="s">
        <v>87</v>
      </c>
      <c r="Y6" t="s">
        <v>72</v>
      </c>
      <c r="Z6" t="s">
        <v>130</v>
      </c>
      <c r="AA6" t="s">
        <v>410</v>
      </c>
    </row>
    <row r="7" spans="1:27">
      <c r="A7" s="43"/>
      <c r="B7" s="43"/>
      <c r="C7" s="43"/>
      <c r="D7" s="43"/>
      <c r="E7" s="24"/>
      <c r="F7" s="24"/>
      <c r="G7" s="23">
        <v>7</v>
      </c>
      <c r="H7" s="23"/>
      <c r="I7" s="23"/>
      <c r="J7" s="23">
        <v>10</v>
      </c>
      <c r="K7" s="24">
        <v>11</v>
      </c>
      <c r="L7" s="24">
        <v>12</v>
      </c>
      <c r="M7" s="24">
        <v>13</v>
      </c>
      <c r="O7" s="169" t="s">
        <v>133</v>
      </c>
      <c r="T7">
        <v>8</v>
      </c>
      <c r="AA7">
        <v>8</v>
      </c>
    </row>
    <row r="8" spans="1:27" ht="30">
      <c r="A8" s="146" t="s">
        <v>0</v>
      </c>
      <c r="B8" s="147" t="s">
        <v>305</v>
      </c>
      <c r="C8" s="147" t="s">
        <v>7</v>
      </c>
      <c r="D8" s="147" t="s">
        <v>3</v>
      </c>
      <c r="E8" s="161" t="s">
        <v>4</v>
      </c>
      <c r="F8" s="161" t="s">
        <v>5</v>
      </c>
      <c r="G8" s="162" t="s">
        <v>6</v>
      </c>
      <c r="H8" s="162" t="s">
        <v>276</v>
      </c>
      <c r="I8" s="162" t="s">
        <v>277</v>
      </c>
      <c r="J8" s="162" t="s">
        <v>175</v>
      </c>
      <c r="K8" s="162" t="s">
        <v>176</v>
      </c>
      <c r="L8" s="162" t="s">
        <v>177</v>
      </c>
      <c r="M8" s="163" t="s">
        <v>178</v>
      </c>
      <c r="N8" s="159" t="s">
        <v>408</v>
      </c>
      <c r="O8" s="169" t="s">
        <v>117</v>
      </c>
      <c r="T8">
        <v>7</v>
      </c>
      <c r="AA8">
        <v>7</v>
      </c>
    </row>
    <row r="9" spans="1:27">
      <c r="A9" s="92" t="s">
        <v>57</v>
      </c>
      <c r="B9" s="40" t="s">
        <v>306</v>
      </c>
      <c r="C9" s="24" t="s">
        <v>13</v>
      </c>
      <c r="D9" s="24" t="s">
        <v>54</v>
      </c>
      <c r="E9" s="24" t="str">
        <f>IFERROR(VLOOKUP(A9,bdbuscarv!$A$1:$M$101,5,FALSE),"no encontrado")</f>
        <v>Conocimiento</v>
      </c>
      <c r="F9" s="24" t="str">
        <f>IFERROR(VLOOKUP(A9,Tabla4[#All],6,FALSE),"no encontrado")</f>
        <v>Académico</v>
      </c>
      <c r="G9" s="143" t="str">
        <f>IFERROR(VLOOKUP(A9,Tabla4[#All],7,FALSE),"no encontrado")</f>
        <v>NO</v>
      </c>
      <c r="H9" s="24">
        <f>IFERROR(VLOOKUP(A9,Tabla4[#All],8,FALSE),"no encontrado")</f>
        <v>3</v>
      </c>
      <c r="I9" s="156">
        <f>IFERROR(VLOOKUP(A9,Tabla4[#All],9,FALSE),"no encontrado")</f>
        <v>8</v>
      </c>
      <c r="J9" s="158" t="str">
        <f>IFERROR(VLOOKUP(A9,Tabla4[#All],$J$7,FALSE),"no encontrado")</f>
        <v xml:space="preserve">$ - </v>
      </c>
      <c r="K9" s="158" t="str">
        <f>IFERROR(VLOOKUP(A9,Tabla4[#All],$K$7,FALSE),"no encontrado")</f>
        <v xml:space="preserve"> $ - </v>
      </c>
      <c r="L9" s="158">
        <f>IFERROR(VLOOKUP(A9,Tabla4[#All],$L$7,FALSE),"no encontrado")</f>
        <v>96781441</v>
      </c>
      <c r="M9" s="160">
        <f>IFERROR(VLOOKUP(A9,Tabla4[#All],$M$7,FALSE),"no encontrado")</f>
        <v>47643060</v>
      </c>
      <c r="O9" s="169" t="s">
        <v>33</v>
      </c>
      <c r="T9">
        <v>9</v>
      </c>
      <c r="AA9">
        <v>9</v>
      </c>
    </row>
    <row r="10" spans="1:27">
      <c r="A10" s="92" t="s">
        <v>98</v>
      </c>
      <c r="B10" s="137" t="s">
        <v>307</v>
      </c>
      <c r="C10" s="24" t="s">
        <v>13</v>
      </c>
      <c r="D10" s="24" t="s">
        <v>21</v>
      </c>
      <c r="E10" s="24" t="str">
        <f>IFERROR(VLOOKUP(A10,bdbuscarv!$A$1:$M$101,5,FALSE),"no encontrado")</f>
        <v>Inversión</v>
      </c>
      <c r="F10" s="24" t="str">
        <f>IFERROR(VLOOKUP(A10,Tabla4[#All],6,FALSE),"no encontrado")</f>
        <v>Socio capitalista</v>
      </c>
      <c r="G10" s="143" t="str">
        <f>IFERROR(VLOOKUP(A10,Tabla4[#All],7,FALSE),"no encontrado")</f>
        <v>SI</v>
      </c>
      <c r="H10" s="24">
        <f>IFERROR(VLOOKUP(A10,Tabla4[#All],8,FALSE),"no encontrado")</f>
        <v>8</v>
      </c>
      <c r="I10" s="156">
        <f>IFERROR(VLOOKUP(A10,Tabla4[#All],9,FALSE),"no encontrado")</f>
        <v>7</v>
      </c>
      <c r="J10" s="158">
        <f>IFERROR(VLOOKUP(A10,Tabla4[#All],$J$7,FALSE),"no encontrado")</f>
        <v>10000000</v>
      </c>
      <c r="K10" s="158">
        <f>IFERROR(VLOOKUP(A10,Tabla4[#All],$K$7,FALSE),"no encontrado")</f>
        <v>40848959</v>
      </c>
      <c r="L10" s="158">
        <f>IFERROR(VLOOKUP(A10,Tabla4[#All],$L$7,FALSE),"no encontrado")</f>
        <v>92963332</v>
      </c>
      <c r="M10" s="160">
        <f>IFERROR(VLOOKUP(A10,Tabla4[#All],$M$7,FALSE),"no encontrado")</f>
        <v>47565587</v>
      </c>
      <c r="O10" s="169" t="s">
        <v>92</v>
      </c>
      <c r="T10">
        <v>10</v>
      </c>
      <c r="AA10">
        <v>10</v>
      </c>
    </row>
    <row r="11" spans="1:27">
      <c r="A11" s="92" t="s">
        <v>118</v>
      </c>
      <c r="B11" s="137" t="s">
        <v>308</v>
      </c>
      <c r="C11" s="24" t="s">
        <v>13</v>
      </c>
      <c r="D11" s="24" t="s">
        <v>9</v>
      </c>
      <c r="E11" s="24" t="str">
        <f>IFERROR(VLOOKUP(A11,bdbuscarv!$A$1:$M$101,5,FALSE),"no encontrado")</f>
        <v>Trabajo</v>
      </c>
      <c r="F11" s="24" t="str">
        <f>IFERROR(VLOOKUP(A11,Tabla4[#All],6,FALSE),"no encontrado")</f>
        <v>Ofreciendo trabajo</v>
      </c>
      <c r="G11" s="143" t="str">
        <f>IFERROR(VLOOKUP(A11,Tabla4[#All],7,FALSE),"no encontrado")</f>
        <v>NO</v>
      </c>
      <c r="H11" s="24">
        <f>IFERROR(VLOOKUP(A11,Tabla4[#All],8,FALSE),"no encontrado")</f>
        <v>5</v>
      </c>
      <c r="I11" s="156">
        <f>IFERROR(VLOOKUP(A11,Tabla4[#All],9,FALSE),"no encontrado")</f>
        <v>10</v>
      </c>
      <c r="J11" s="158" t="str">
        <f>IFERROR(VLOOKUP(A11,Tabla4[#All],$J$7,FALSE),"no encontrado")</f>
        <v xml:space="preserve">$ - </v>
      </c>
      <c r="K11" s="158" t="str">
        <f>IFERROR(VLOOKUP(A11,Tabla4[#All],$K$7,FALSE),"no encontrado")</f>
        <v xml:space="preserve"> $ - </v>
      </c>
      <c r="L11" s="158">
        <f>IFERROR(VLOOKUP(A11,Tabla4[#All],$L$7,FALSE),"no encontrado")</f>
        <v>49599457</v>
      </c>
      <c r="M11" s="160" t="str">
        <f>IFERROR(VLOOKUP(A11,Tabla4[#All],$M$7,FALSE),"no encontrado")</f>
        <v xml:space="preserve"> $ - </v>
      </c>
      <c r="O11" s="169" t="s">
        <v>100</v>
      </c>
      <c r="T11">
        <v>5</v>
      </c>
      <c r="AA11">
        <v>5</v>
      </c>
    </row>
    <row r="12" spans="1:27">
      <c r="A12" s="92" t="s">
        <v>60</v>
      </c>
      <c r="B12" s="137" t="s">
        <v>309</v>
      </c>
      <c r="C12" s="24" t="s">
        <v>13</v>
      </c>
      <c r="D12" s="24" t="s">
        <v>21</v>
      </c>
      <c r="E12" s="24" t="str">
        <f>IFERROR(VLOOKUP(A12,bdbuscarv!$A$1:$M$101,5,FALSE),"no encontrado")</f>
        <v>Inversión</v>
      </c>
      <c r="F12" s="24" t="str">
        <f>IFERROR(VLOOKUP(A12,Tabla4[#All],6,FALSE),"no encontrado")</f>
        <v>Socio de proyecto</v>
      </c>
      <c r="G12" s="143" t="str">
        <f>IFERROR(VLOOKUP(A12,Tabla4[#All],7,FALSE),"no encontrado")</f>
        <v>NO</v>
      </c>
      <c r="H12" s="24">
        <f>IFERROR(VLOOKUP(A12,Tabla4[#All],8,FALSE),"no encontrado")</f>
        <v>4</v>
      </c>
      <c r="I12" s="156">
        <f>IFERROR(VLOOKUP(A12,Tabla4[#All],9,FALSE),"no encontrado")</f>
        <v>8</v>
      </c>
      <c r="J12" s="158">
        <f>IFERROR(VLOOKUP(A12,Tabla4[#All],$J$7,FALSE),"no encontrado")</f>
        <v>10000000</v>
      </c>
      <c r="K12" s="158">
        <f>IFERROR(VLOOKUP(A12,Tabla4[#All],$K$7,FALSE),"no encontrado")</f>
        <v>78308880</v>
      </c>
      <c r="L12" s="158">
        <f>IFERROR(VLOOKUP(A12,Tabla4[#All],$L$7,FALSE),"no encontrado")</f>
        <v>3248026</v>
      </c>
      <c r="M12" s="160">
        <f>IFERROR(VLOOKUP(A12,Tabla4[#All],$M$7,FALSE),"no encontrado")</f>
        <v>27143270</v>
      </c>
      <c r="O12" s="169" t="s">
        <v>57</v>
      </c>
      <c r="T12">
        <v>8</v>
      </c>
      <c r="AA12">
        <v>8</v>
      </c>
    </row>
    <row r="13" spans="1:27">
      <c r="A13" s="92" t="s">
        <v>8</v>
      </c>
      <c r="B13" s="137" t="s">
        <v>310</v>
      </c>
      <c r="C13" s="24" t="s">
        <v>13</v>
      </c>
      <c r="D13" s="24" t="s">
        <v>9</v>
      </c>
      <c r="E13" s="24" t="str">
        <f>IFERROR(VLOOKUP(A13,bdbuscarv!$A$1:$M$101,5,FALSE),"no encontrado")</f>
        <v>Inversión</v>
      </c>
      <c r="F13" s="24" t="str">
        <f>IFERROR(VLOOKUP(A13,Tabla4[#All],6,FALSE),"no encontrado")</f>
        <v>Socio capitalista</v>
      </c>
      <c r="G13" s="143" t="str">
        <f>IFERROR(VLOOKUP(A13,Tabla4[#All],7,FALSE),"no encontrado")</f>
        <v>NO</v>
      </c>
      <c r="H13" s="24">
        <f>IFERROR(VLOOKUP(A13,Tabla4[#All],8,FALSE),"no encontrado")</f>
        <v>4</v>
      </c>
      <c r="I13" s="156">
        <f>IFERROR(VLOOKUP(A13,Tabla4[#All],9,FALSE),"no encontrado")</f>
        <v>9</v>
      </c>
      <c r="J13" s="158">
        <f>IFERROR(VLOOKUP(A13,Tabla4[#All],$J$7,FALSE),"no encontrado")</f>
        <v>50000000</v>
      </c>
      <c r="K13" s="158">
        <f>IFERROR(VLOOKUP(A13,Tabla4[#All],$K$7,FALSE),"no encontrado")</f>
        <v>2910571</v>
      </c>
      <c r="L13" s="158">
        <f>IFERROR(VLOOKUP(A13,Tabla4[#All],$L$7,FALSE),"no encontrado")</f>
        <v>37561085</v>
      </c>
      <c r="M13" s="160">
        <f>IFERROR(VLOOKUP(A13,Tabla4[#All],$M$7,FALSE),"no encontrado")</f>
        <v>19598007</v>
      </c>
      <c r="O13" s="169" t="s">
        <v>24</v>
      </c>
      <c r="T13">
        <v>5</v>
      </c>
      <c r="AA13">
        <v>5</v>
      </c>
    </row>
    <row r="14" spans="1:27">
      <c r="A14" s="92" t="s">
        <v>125</v>
      </c>
      <c r="B14" s="137" t="s">
        <v>311</v>
      </c>
      <c r="C14" s="24" t="s">
        <v>13</v>
      </c>
      <c r="D14" s="24" t="s">
        <v>21</v>
      </c>
      <c r="E14" s="24" t="str">
        <f>IFERROR(VLOOKUP(A14,bdbuscarv!$A$1:$M$101,5,FALSE),"no encontrado")</f>
        <v>Inversión</v>
      </c>
      <c r="F14" s="24" t="str">
        <f>IFERROR(VLOOKUP(A14,Tabla4[#All],6,FALSE),"no encontrado")</f>
        <v>Socio de proyecto</v>
      </c>
      <c r="G14" s="143" t="str">
        <f>IFERROR(VLOOKUP(A14,Tabla4[#All],7,FALSE),"no encontrado")</f>
        <v>NO</v>
      </c>
      <c r="H14" s="24">
        <f>IFERROR(VLOOKUP(A14,Tabla4[#All],8,FALSE),"no encontrado")</f>
        <v>9</v>
      </c>
      <c r="I14" s="156">
        <f>IFERROR(VLOOKUP(A14,Tabla4[#All],9,FALSE),"no encontrado")</f>
        <v>7</v>
      </c>
      <c r="J14" s="158">
        <f>IFERROR(VLOOKUP(A14,Tabla4[#All],$J$7,FALSE),"no encontrado")</f>
        <v>90000000</v>
      </c>
      <c r="K14" s="158">
        <f>IFERROR(VLOOKUP(A14,Tabla4[#All],$K$7,FALSE),"no encontrado")</f>
        <v>50075523</v>
      </c>
      <c r="L14" s="158">
        <f>IFERROR(VLOOKUP(A14,Tabla4[#All],$L$7,FALSE),"no encontrado")</f>
        <v>59142617</v>
      </c>
      <c r="M14" s="160">
        <f>IFERROR(VLOOKUP(A14,Tabla4[#All],$M$7,FALSE),"no encontrado")</f>
        <v>95314026</v>
      </c>
      <c r="O14" s="169" t="s">
        <v>70</v>
      </c>
      <c r="T14">
        <v>7</v>
      </c>
      <c r="AA14">
        <v>7</v>
      </c>
    </row>
    <row r="15" spans="1:27">
      <c r="A15" s="92" t="s">
        <v>74</v>
      </c>
      <c r="B15" s="137" t="s">
        <v>312</v>
      </c>
      <c r="C15" s="24" t="s">
        <v>13</v>
      </c>
      <c r="D15" s="24" t="s">
        <v>21</v>
      </c>
      <c r="E15" s="24" t="str">
        <f>IFERROR(VLOOKUP(A15,bdbuscarv!$A$1:$M$101,5,FALSE),"no encontrado")</f>
        <v>Trabajo</v>
      </c>
      <c r="F15" s="24" t="str">
        <f>IFERROR(VLOOKUP(A15,Tabla4[#All],6,FALSE),"no encontrado")</f>
        <v>Ofreciendo trabajo</v>
      </c>
      <c r="G15" s="143" t="str">
        <f>IFERROR(VLOOKUP(A15,Tabla4[#All],7,FALSE),"no encontrado")</f>
        <v>NO</v>
      </c>
      <c r="H15" s="24">
        <f>IFERROR(VLOOKUP(A15,Tabla4[#All],8,FALSE),"no encontrado")</f>
        <v>5</v>
      </c>
      <c r="I15" s="156">
        <f>IFERROR(VLOOKUP(A15,Tabla4[#All],9,FALSE),"no encontrado")</f>
        <v>9</v>
      </c>
      <c r="J15" s="158" t="str">
        <f>IFERROR(VLOOKUP(A15,Tabla4[#All],$J$7,FALSE),"no encontrado")</f>
        <v xml:space="preserve">$ - </v>
      </c>
      <c r="K15" s="158" t="str">
        <f>IFERROR(VLOOKUP(A15,Tabla4[#All],$K$7,FALSE),"no encontrado")</f>
        <v xml:space="preserve"> $ - </v>
      </c>
      <c r="L15" s="158" t="str">
        <f>IFERROR(VLOOKUP(A15,Tabla4[#All],$L$7,FALSE),"no encontrado")</f>
        <v xml:space="preserve"> $ - </v>
      </c>
      <c r="M15" s="160">
        <f>IFERROR(VLOOKUP(A15,Tabla4[#All],$M$7,FALSE),"no encontrado")</f>
        <v>67714973</v>
      </c>
      <c r="O15" s="169" t="s">
        <v>111</v>
      </c>
      <c r="Y15">
        <v>6</v>
      </c>
      <c r="AA15">
        <v>6</v>
      </c>
    </row>
    <row r="16" spans="1:27">
      <c r="A16" s="92" t="s">
        <v>29</v>
      </c>
      <c r="B16" s="137" t="s">
        <v>313</v>
      </c>
      <c r="C16" s="24" t="s">
        <v>13</v>
      </c>
      <c r="D16" s="24" t="s">
        <v>21</v>
      </c>
      <c r="E16" s="24" t="str">
        <f>IFERROR(VLOOKUP(A16,bdbuscarv!$A$1:$M$101,5,FALSE),"no encontrado")</f>
        <v>Inversión</v>
      </c>
      <c r="F16" s="24" t="str">
        <f>IFERROR(VLOOKUP(A16,Tabla4[#All],6,FALSE),"no encontrado")</f>
        <v>Socio capitalista</v>
      </c>
      <c r="G16" s="143" t="str">
        <f>IFERROR(VLOOKUP(A16,Tabla4[#All],7,FALSE),"no encontrado")</f>
        <v>SI</v>
      </c>
      <c r="H16" s="24">
        <f>IFERROR(VLOOKUP(A16,Tabla4[#All],8,FALSE),"no encontrado")</f>
        <v>8</v>
      </c>
      <c r="I16" s="156">
        <f>IFERROR(VLOOKUP(A16,Tabla4[#All],9,FALSE),"no encontrado")</f>
        <v>10</v>
      </c>
      <c r="J16" s="158">
        <f>IFERROR(VLOOKUP(A16,Tabla4[#All],$J$7,FALSE),"no encontrado")</f>
        <v>1000000</v>
      </c>
      <c r="K16" s="158">
        <f>IFERROR(VLOOKUP(A16,Tabla4[#All],$K$7,FALSE),"no encontrado")</f>
        <v>5305190</v>
      </c>
      <c r="L16" s="158">
        <f>IFERROR(VLOOKUP(A16,Tabla4[#All],$L$7,FALSE),"no encontrado")</f>
        <v>53291805</v>
      </c>
      <c r="M16" s="160">
        <f>IFERROR(VLOOKUP(A16,Tabla4[#All],$M$7,FALSE),"no encontrado")</f>
        <v>84809282</v>
      </c>
      <c r="O16" s="169" t="s">
        <v>82</v>
      </c>
      <c r="T16">
        <v>9</v>
      </c>
      <c r="AA16">
        <v>9</v>
      </c>
    </row>
    <row r="17" spans="1:27">
      <c r="A17" s="92" t="s">
        <v>107</v>
      </c>
      <c r="B17" s="137" t="s">
        <v>314</v>
      </c>
      <c r="C17" s="23" t="s">
        <v>13</v>
      </c>
      <c r="D17" s="23" t="s">
        <v>15</v>
      </c>
      <c r="E17" s="24" t="str">
        <f>IFERROR(VLOOKUP(A17,bdbuscarv!$A$1:$M$101,5,FALSE),"no encontrado")</f>
        <v>Trabajo</v>
      </c>
      <c r="F17" s="24" t="str">
        <f>IFERROR(VLOOKUP(A17,Tabla4[#All],6,FALSE),"no encontrado")</f>
        <v>Ofreciendo trabajo</v>
      </c>
      <c r="G17" s="143" t="str">
        <f>IFERROR(VLOOKUP(A17,Tabla4[#All],7,FALSE),"no encontrado")</f>
        <v>SI</v>
      </c>
      <c r="H17" s="24">
        <f>IFERROR(VLOOKUP(A17,Tabla4[#All],8,FALSE),"no encontrado")</f>
        <v>8</v>
      </c>
      <c r="I17" s="156">
        <f>IFERROR(VLOOKUP(A17,Tabla4[#All],9,FALSE),"no encontrado")</f>
        <v>3</v>
      </c>
      <c r="J17" s="158" t="str">
        <f>IFERROR(VLOOKUP(A17,Tabla4[#All],$J$7,FALSE),"no encontrado")</f>
        <v xml:space="preserve">$ - </v>
      </c>
      <c r="K17" s="158" t="str">
        <f>IFERROR(VLOOKUP(A17,Tabla4[#All],$K$7,FALSE),"no encontrado")</f>
        <v xml:space="preserve"> $ - </v>
      </c>
      <c r="L17" s="158">
        <f>IFERROR(VLOOKUP(A17,Tabla4[#All],$L$7,FALSE),"no encontrado")</f>
        <v>50085574</v>
      </c>
      <c r="M17" s="160">
        <f>IFERROR(VLOOKUP(A17,Tabla4[#All],$M$7,FALSE),"no encontrado")</f>
        <v>42495353</v>
      </c>
      <c r="O17" s="169" t="s">
        <v>116</v>
      </c>
      <c r="T17">
        <v>6</v>
      </c>
      <c r="AA17">
        <v>6</v>
      </c>
    </row>
    <row r="18" spans="1:27">
      <c r="A18" s="92" t="s">
        <v>108</v>
      </c>
      <c r="B18" s="137" t="s">
        <v>315</v>
      </c>
      <c r="C18" s="24" t="s">
        <v>13</v>
      </c>
      <c r="D18" s="24" t="s">
        <v>25</v>
      </c>
      <c r="E18" s="24" t="str">
        <f>IFERROR(VLOOKUP(A18,bdbuscarv!$A$1:$M$101,5,FALSE),"no encontrado")</f>
        <v>Inversión</v>
      </c>
      <c r="F18" s="24" t="str">
        <f>IFERROR(VLOOKUP(A18,Tabla4[#All],6,FALSE),"no encontrado")</f>
        <v>Socio de proyecto</v>
      </c>
      <c r="G18" s="143" t="str">
        <f>IFERROR(VLOOKUP(A18,Tabla4[#All],7,FALSE),"no encontrado")</f>
        <v>NO</v>
      </c>
      <c r="H18" s="24">
        <f>IFERROR(VLOOKUP(A18,Tabla4[#All],8,FALSE),"no encontrado")</f>
        <v>5</v>
      </c>
      <c r="I18" s="156">
        <f>IFERROR(VLOOKUP(A18,Tabla4[#All],9,FALSE),"no encontrado")</f>
        <v>9</v>
      </c>
      <c r="J18" s="158">
        <f>IFERROR(VLOOKUP(A18,Tabla4[#All],$J$7,FALSE),"no encontrado")</f>
        <v>10000000</v>
      </c>
      <c r="K18" s="158">
        <f>IFERROR(VLOOKUP(A18,Tabla4[#All],$K$7,FALSE),"no encontrado")</f>
        <v>38941670</v>
      </c>
      <c r="L18" s="158">
        <f>IFERROR(VLOOKUP(A18,Tabla4[#All],$L$7,FALSE),"no encontrado")</f>
        <v>67846781</v>
      </c>
      <c r="M18" s="160">
        <f>IFERROR(VLOOKUP(A18,Tabla4[#All],$M$7,FALSE),"no encontrado")</f>
        <v>87726693</v>
      </c>
      <c r="O18" s="169" t="s">
        <v>76</v>
      </c>
      <c r="W18">
        <v>5</v>
      </c>
      <c r="AA18">
        <v>5</v>
      </c>
    </row>
    <row r="19" spans="1:27">
      <c r="A19" s="92" t="s">
        <v>129</v>
      </c>
      <c r="B19" s="137" t="s">
        <v>316</v>
      </c>
      <c r="C19" s="25" t="s">
        <v>130</v>
      </c>
      <c r="D19" s="24" t="s">
        <v>21</v>
      </c>
      <c r="E19" s="24" t="str">
        <f>IFERROR(VLOOKUP(A19,bdbuscarv!$A$1:$M$101,5,FALSE),"no encontrado")</f>
        <v>Inversión</v>
      </c>
      <c r="F19" s="24" t="str">
        <f>IFERROR(VLOOKUP(A19,Tabla4[#All],6,FALSE),"no encontrado")</f>
        <v>Socio de proyecto</v>
      </c>
      <c r="G19" s="143" t="str">
        <f>IFERROR(VLOOKUP(A19,Tabla4[#All],7,FALSE),"no encontrado")</f>
        <v>NO</v>
      </c>
      <c r="H19" s="24">
        <f>IFERROR(VLOOKUP(A19,Tabla4[#All],8,FALSE),"no encontrado")</f>
        <v>4</v>
      </c>
      <c r="I19" s="156">
        <f>IFERROR(VLOOKUP(A19,Tabla4[#All],9,FALSE),"no encontrado")</f>
        <v>5</v>
      </c>
      <c r="J19" s="158">
        <f>IFERROR(VLOOKUP(A19,Tabla4[#All],$J$7,FALSE),"no encontrado")</f>
        <v>1000000</v>
      </c>
      <c r="K19" s="158">
        <f>IFERROR(VLOOKUP(A19,Tabla4[#All],$K$7,FALSE),"no encontrado")</f>
        <v>28926771</v>
      </c>
      <c r="L19" s="158">
        <f>IFERROR(VLOOKUP(A19,Tabla4[#All],$L$7,FALSE),"no encontrado")</f>
        <v>56939610</v>
      </c>
      <c r="M19" s="160">
        <f>IFERROR(VLOOKUP(A19,Tabla4[#All],$M$7,FALSE),"no encontrado")</f>
        <v>92726884</v>
      </c>
      <c r="O19" s="169" t="s">
        <v>108</v>
      </c>
      <c r="T19">
        <v>9</v>
      </c>
      <c r="AA19">
        <v>9</v>
      </c>
    </row>
    <row r="20" spans="1:27">
      <c r="A20" s="92" t="s">
        <v>93</v>
      </c>
      <c r="B20" s="137" t="s">
        <v>317</v>
      </c>
      <c r="C20" s="24" t="s">
        <v>13</v>
      </c>
      <c r="D20" s="24" t="s">
        <v>21</v>
      </c>
      <c r="E20" s="24" t="str">
        <f>IFERROR(VLOOKUP(A20,bdbuscarv!$A$1:$M$101,5,FALSE),"no encontrado")</f>
        <v>Inversión</v>
      </c>
      <c r="F20" s="24" t="str">
        <f>IFERROR(VLOOKUP(A20,Tabla4[#All],6,FALSE),"no encontrado")</f>
        <v>Socio de proyecto</v>
      </c>
      <c r="G20" s="143" t="str">
        <f>IFERROR(VLOOKUP(A20,Tabla4[#All],7,FALSE),"no encontrado")</f>
        <v>NO</v>
      </c>
      <c r="H20" s="24">
        <f>IFERROR(VLOOKUP(A20,Tabla4[#All],8,FALSE),"no encontrado")</f>
        <v>3</v>
      </c>
      <c r="I20" s="156">
        <f>IFERROR(VLOOKUP(A20,Tabla4[#All],9,FALSE),"no encontrado")</f>
        <v>8</v>
      </c>
      <c r="J20" s="158">
        <f>IFERROR(VLOOKUP(A20,Tabla4[#All],$J$7,FALSE),"no encontrado")</f>
        <v>1000000</v>
      </c>
      <c r="K20" s="158">
        <f>IFERROR(VLOOKUP(A20,Tabla4[#All],$K$7,FALSE),"no encontrado")</f>
        <v>34252074</v>
      </c>
      <c r="L20" s="158" t="str">
        <f>IFERROR(VLOOKUP(A20,Tabla4[#All],$L$7,FALSE),"no encontrado")</f>
        <v xml:space="preserve"> $ - </v>
      </c>
      <c r="M20" s="160">
        <f>IFERROR(VLOOKUP(A20,Tabla4[#All],$M$7,FALSE),"no encontrado")</f>
        <v>22994819</v>
      </c>
      <c r="O20" s="169" t="s">
        <v>123</v>
      </c>
      <c r="T20">
        <v>9</v>
      </c>
      <c r="AA20">
        <v>9</v>
      </c>
    </row>
    <row r="21" spans="1:27">
      <c r="A21" s="92" t="s">
        <v>16</v>
      </c>
      <c r="B21" s="137" t="s">
        <v>318</v>
      </c>
      <c r="C21" s="24" t="s">
        <v>13</v>
      </c>
      <c r="D21" s="24" t="s">
        <v>9</v>
      </c>
      <c r="E21" s="24" t="str">
        <f>IFERROR(VLOOKUP(A21,bdbuscarv!$A$1:$M$101,5,FALSE),"no encontrado")</f>
        <v>Trabajo</v>
      </c>
      <c r="F21" s="24" t="str">
        <f>IFERROR(VLOOKUP(A21,Tabla4[#All],6,FALSE),"no encontrado")</f>
        <v>Buscando trabajo</v>
      </c>
      <c r="G21" s="143" t="str">
        <f>IFERROR(VLOOKUP(A21,Tabla4[#All],7,FALSE),"no encontrado")</f>
        <v>NO</v>
      </c>
      <c r="H21" s="24">
        <f>IFERROR(VLOOKUP(A21,Tabla4[#All],8,FALSE),"no encontrado")</f>
        <v>7</v>
      </c>
      <c r="I21" s="156">
        <f>IFERROR(VLOOKUP(A21,Tabla4[#All],9,FALSE),"no encontrado")</f>
        <v>9</v>
      </c>
      <c r="J21" s="158" t="str">
        <f>IFERROR(VLOOKUP(A21,Tabla4[#All],$J$7,FALSE),"no encontrado")</f>
        <v xml:space="preserve">$ - </v>
      </c>
      <c r="K21" s="158" t="str">
        <f>IFERROR(VLOOKUP(A21,Tabla4[#All],$K$7,FALSE),"no encontrado")</f>
        <v xml:space="preserve"> $ - </v>
      </c>
      <c r="L21" s="158">
        <f>IFERROR(VLOOKUP(A21,Tabla4[#All],$L$7,FALSE),"no encontrado")</f>
        <v>45347826</v>
      </c>
      <c r="M21" s="160">
        <f>IFERROR(VLOOKUP(A21,Tabla4[#All],$M$7,FALSE),"no encontrado")</f>
        <v>14301768</v>
      </c>
      <c r="O21" s="169" t="s">
        <v>41</v>
      </c>
      <c r="T21">
        <v>10</v>
      </c>
      <c r="AA21">
        <v>10</v>
      </c>
    </row>
    <row r="22" spans="1:27">
      <c r="A22" s="92" t="s">
        <v>34</v>
      </c>
      <c r="B22" s="137" t="s">
        <v>319</v>
      </c>
      <c r="C22" s="24" t="s">
        <v>13</v>
      </c>
      <c r="D22" s="24" t="s">
        <v>21</v>
      </c>
      <c r="E22" s="24" t="str">
        <f>IFERROR(VLOOKUP(A22,bdbuscarv!$A$1:$M$101,5,FALSE),"no encontrado")</f>
        <v>Trabajo</v>
      </c>
      <c r="F22" s="24" t="str">
        <f>IFERROR(VLOOKUP(A22,Tabla4[#All],6,FALSE),"no encontrado")</f>
        <v>Buscando trabajo</v>
      </c>
      <c r="G22" s="143" t="str">
        <f>IFERROR(VLOOKUP(A22,Tabla4[#All],7,FALSE),"no encontrado")</f>
        <v>SI</v>
      </c>
      <c r="H22" s="24">
        <f>IFERROR(VLOOKUP(A22,Tabla4[#All],8,FALSE),"no encontrado")</f>
        <v>4</v>
      </c>
      <c r="I22" s="156">
        <f>IFERROR(VLOOKUP(A22,Tabla4[#All],9,FALSE),"no encontrado")</f>
        <v>8</v>
      </c>
      <c r="J22" s="158" t="str">
        <f>IFERROR(VLOOKUP(A22,Tabla4[#All],$J$7,FALSE),"no encontrado")</f>
        <v xml:space="preserve">$ - </v>
      </c>
      <c r="K22" s="158" t="str">
        <f>IFERROR(VLOOKUP(A22,Tabla4[#All],$K$7,FALSE),"no encontrado")</f>
        <v xml:space="preserve"> $ - </v>
      </c>
      <c r="L22" s="158">
        <f>IFERROR(VLOOKUP(A22,Tabla4[#All],$L$7,FALSE),"no encontrado")</f>
        <v>71453938</v>
      </c>
      <c r="M22" s="160">
        <f>IFERROR(VLOOKUP(A22,Tabla4[#All],$M$7,FALSE),"no encontrado")</f>
        <v>38593802</v>
      </c>
      <c r="O22" s="169" t="s">
        <v>124</v>
      </c>
      <c r="T22">
        <v>2</v>
      </c>
      <c r="AA22">
        <v>2</v>
      </c>
    </row>
    <row r="23" spans="1:27">
      <c r="A23" s="92" t="s">
        <v>45</v>
      </c>
      <c r="B23" s="137" t="s">
        <v>320</v>
      </c>
      <c r="C23" s="24" t="s">
        <v>13</v>
      </c>
      <c r="D23" s="24" t="s">
        <v>25</v>
      </c>
      <c r="E23" s="24" t="str">
        <f>IFERROR(VLOOKUP(A23,bdbuscarv!$A$1:$M$101,5,FALSE),"no encontrado")</f>
        <v>Inversión</v>
      </c>
      <c r="F23" s="24" t="str">
        <f>IFERROR(VLOOKUP(A23,Tabla4[#All],6,FALSE),"no encontrado")</f>
        <v>Socio capitalista</v>
      </c>
      <c r="G23" s="143" t="str">
        <f>IFERROR(VLOOKUP(A23,Tabla4[#All],7,FALSE),"no encontrado")</f>
        <v>NO</v>
      </c>
      <c r="H23" s="24">
        <f>IFERROR(VLOOKUP(A23,Tabla4[#All],8,FALSE),"no encontrado")</f>
        <v>9</v>
      </c>
      <c r="I23" s="156">
        <f>IFERROR(VLOOKUP(A23,Tabla4[#All],9,FALSE),"no encontrado")</f>
        <v>10</v>
      </c>
      <c r="J23" s="158">
        <f>IFERROR(VLOOKUP(A23,Tabla4[#All],$J$7,FALSE),"no encontrado")</f>
        <v>20000000</v>
      </c>
      <c r="K23" s="158">
        <f>IFERROR(VLOOKUP(A23,Tabla4[#All],$K$7,FALSE),"no encontrado")</f>
        <v>32346156</v>
      </c>
      <c r="L23" s="158">
        <f>IFERROR(VLOOKUP(A23,Tabla4[#All],$L$7,FALSE),"no encontrado")</f>
        <v>22346275</v>
      </c>
      <c r="M23" s="160">
        <f>IFERROR(VLOOKUP(A23,Tabla4[#All],$M$7,FALSE),"no encontrado")</f>
        <v>73743047</v>
      </c>
      <c r="O23" s="169" t="s">
        <v>36</v>
      </c>
      <c r="T23">
        <v>7</v>
      </c>
      <c r="AA23">
        <v>7</v>
      </c>
    </row>
    <row r="24" spans="1:27">
      <c r="A24" s="92" t="s">
        <v>64</v>
      </c>
      <c r="B24" s="137" t="s">
        <v>321</v>
      </c>
      <c r="C24" s="24" t="s">
        <v>13</v>
      </c>
      <c r="D24" s="24" t="s">
        <v>54</v>
      </c>
      <c r="E24" s="24" t="str">
        <f>IFERROR(VLOOKUP(A24,bdbuscarv!$A$1:$M$101,5,FALSE),"no encontrado")</f>
        <v>Conocimiento</v>
      </c>
      <c r="F24" s="24" t="str">
        <f>IFERROR(VLOOKUP(A24,Tabla4[#All],6,FALSE),"no encontrado")</f>
        <v>Académico</v>
      </c>
      <c r="G24" s="143" t="str">
        <f>IFERROR(VLOOKUP(A24,Tabla4[#All],7,FALSE),"no encontrado")</f>
        <v>NO</v>
      </c>
      <c r="H24" s="24">
        <f>IFERROR(VLOOKUP(A24,Tabla4[#All],8,FALSE),"no encontrado")</f>
        <v>4</v>
      </c>
      <c r="I24" s="156">
        <f>IFERROR(VLOOKUP(A24,Tabla4[#All],9,FALSE),"no encontrado")</f>
        <v>6</v>
      </c>
      <c r="J24" s="158" t="str">
        <f>IFERROR(VLOOKUP(A24,Tabla4[#All],$J$7,FALSE),"no encontrado")</f>
        <v xml:space="preserve">$ - </v>
      </c>
      <c r="K24" s="158" t="str">
        <f>IFERROR(VLOOKUP(A24,Tabla4[#All],$K$7,FALSE),"no encontrado")</f>
        <v xml:space="preserve"> $ - </v>
      </c>
      <c r="L24" s="158">
        <f>IFERROR(VLOOKUP(A24,Tabla4[#All],$L$7,FALSE),"no encontrado")</f>
        <v>96357193</v>
      </c>
      <c r="M24" s="160">
        <f>IFERROR(VLOOKUP(A24,Tabla4[#All],$M$7,FALSE),"no encontrado")</f>
        <v>67901582</v>
      </c>
      <c r="O24" s="169" t="s">
        <v>127</v>
      </c>
      <c r="T24">
        <v>10</v>
      </c>
      <c r="AA24">
        <v>10</v>
      </c>
    </row>
    <row r="25" spans="1:27">
      <c r="A25" s="92" t="s">
        <v>90</v>
      </c>
      <c r="B25" s="137" t="s">
        <v>322</v>
      </c>
      <c r="C25" s="24" t="s">
        <v>13</v>
      </c>
      <c r="D25" s="24" t="s">
        <v>21</v>
      </c>
      <c r="E25" s="24" t="str">
        <f>IFERROR(VLOOKUP(A25,bdbuscarv!$A$1:$M$101,5,FALSE),"no encontrado")</f>
        <v>Inversión</v>
      </c>
      <c r="F25" s="24" t="str">
        <f>IFERROR(VLOOKUP(A25,Tabla4[#All],6,FALSE),"no encontrado")</f>
        <v>Socio capitalista</v>
      </c>
      <c r="G25" s="143" t="str">
        <f>IFERROR(VLOOKUP(A25,Tabla4[#All],7,FALSE),"no encontrado")</f>
        <v>NO</v>
      </c>
      <c r="H25" s="24">
        <f>IFERROR(VLOOKUP(A25,Tabla4[#All],8,FALSE),"no encontrado")</f>
        <v>5</v>
      </c>
      <c r="I25" s="156">
        <f>IFERROR(VLOOKUP(A25,Tabla4[#All],9,FALSE),"no encontrado")</f>
        <v>7</v>
      </c>
      <c r="J25" s="158">
        <f>IFERROR(VLOOKUP(A25,Tabla4[#All],$J$7,FALSE),"no encontrado")</f>
        <v>100000000</v>
      </c>
      <c r="K25" s="158">
        <f>IFERROR(VLOOKUP(A25,Tabla4[#All],$K$7,FALSE),"no encontrado")</f>
        <v>72903049</v>
      </c>
      <c r="L25" s="158">
        <f>IFERROR(VLOOKUP(A25,Tabla4[#All],$L$7,FALSE),"no encontrado")</f>
        <v>67375493</v>
      </c>
      <c r="M25" s="160">
        <f>IFERROR(VLOOKUP(A25,Tabla4[#All],$M$7,FALSE),"no encontrado")</f>
        <v>4753995</v>
      </c>
      <c r="O25" s="169" t="s">
        <v>95</v>
      </c>
      <c r="U25">
        <v>8</v>
      </c>
      <c r="AA25">
        <v>8</v>
      </c>
    </row>
    <row r="26" spans="1:27">
      <c r="A26" s="92" t="s">
        <v>105</v>
      </c>
      <c r="B26" s="137" t="s">
        <v>323</v>
      </c>
      <c r="C26" s="24" t="s">
        <v>13</v>
      </c>
      <c r="D26" s="24" t="s">
        <v>54</v>
      </c>
      <c r="E26" s="24" t="str">
        <f>IFERROR(VLOOKUP(A26,bdbuscarv!$A$1:$M$101,5,FALSE),"no encontrado")</f>
        <v>Conocimiento</v>
      </c>
      <c r="F26" s="24" t="str">
        <f>IFERROR(VLOOKUP(A26,Tabla4[#All],6,FALSE),"no encontrado")</f>
        <v>Académico</v>
      </c>
      <c r="G26" s="143" t="str">
        <f>IFERROR(VLOOKUP(A26,Tabla4[#All],7,FALSE),"no encontrado")</f>
        <v>NO</v>
      </c>
      <c r="H26" s="24">
        <f>IFERROR(VLOOKUP(A26,Tabla4[#All],8,FALSE),"no encontrado")</f>
        <v>6</v>
      </c>
      <c r="I26" s="156">
        <f>IFERROR(VLOOKUP(A26,Tabla4[#All],9,FALSE),"no encontrado")</f>
        <v>7</v>
      </c>
      <c r="J26" s="158" t="str">
        <f>IFERROR(VLOOKUP(A26,Tabla4[#All],$J$7,FALSE),"no encontrado")</f>
        <v xml:space="preserve">$ - </v>
      </c>
      <c r="K26" s="158" t="str">
        <f>IFERROR(VLOOKUP(A26,Tabla4[#All],$K$7,FALSE),"no encontrado")</f>
        <v xml:space="preserve"> $ - </v>
      </c>
      <c r="L26" s="158">
        <f>IFERROR(VLOOKUP(A26,Tabla4[#All],$L$7,FALSE),"no encontrado")</f>
        <v>80671052</v>
      </c>
      <c r="M26" s="160">
        <f>IFERROR(VLOOKUP(A26,Tabla4[#All],$M$7,FALSE),"no encontrado")</f>
        <v>58339670</v>
      </c>
      <c r="O26" s="169" t="s">
        <v>106</v>
      </c>
      <c r="T26">
        <v>7</v>
      </c>
      <c r="AA26">
        <v>7</v>
      </c>
    </row>
    <row r="27" spans="1:27">
      <c r="A27" s="92" t="s">
        <v>68</v>
      </c>
      <c r="B27" s="137" t="s">
        <v>324</v>
      </c>
      <c r="C27" s="24" t="s">
        <v>32</v>
      </c>
      <c r="D27" s="24" t="s">
        <v>25</v>
      </c>
      <c r="E27" s="24" t="str">
        <f>IFERROR(VLOOKUP(A27,bdbuscarv!$A$1:$M$101,5,FALSE),"no encontrado")</f>
        <v>Trabajo</v>
      </c>
      <c r="F27" s="24" t="str">
        <f>IFERROR(VLOOKUP(A27,Tabla4[#All],6,FALSE),"no encontrado")</f>
        <v>Buscando trabajo</v>
      </c>
      <c r="G27" s="143" t="str">
        <f>IFERROR(VLOOKUP(A27,Tabla4[#All],7,FALSE),"no encontrado")</f>
        <v>SI</v>
      </c>
      <c r="H27" s="24">
        <f>IFERROR(VLOOKUP(A27,Tabla4[#All],8,FALSE),"no encontrado")</f>
        <v>9</v>
      </c>
      <c r="I27" s="156">
        <f>IFERROR(VLOOKUP(A27,Tabla4[#All],9,FALSE),"no encontrado")</f>
        <v>8</v>
      </c>
      <c r="J27" s="158" t="str">
        <f>IFERROR(VLOOKUP(A27,Tabla4[#All],$J$7,FALSE),"no encontrado")</f>
        <v xml:space="preserve">$ - </v>
      </c>
      <c r="K27" s="158" t="str">
        <f>IFERROR(VLOOKUP(A27,Tabla4[#All],$K$7,FALSE),"no encontrado")</f>
        <v xml:space="preserve"> $ - </v>
      </c>
      <c r="L27" s="158" t="str">
        <f>IFERROR(VLOOKUP(A27,Tabla4[#All],$L$7,FALSE),"no encontrado")</f>
        <v xml:space="preserve"> $ - </v>
      </c>
      <c r="M27" s="160">
        <f>IFERROR(VLOOKUP(A27,Tabla4[#All],$M$7,FALSE),"no encontrado")</f>
        <v>44898366</v>
      </c>
      <c r="O27" s="169" t="s">
        <v>118</v>
      </c>
      <c r="T27">
        <v>10</v>
      </c>
      <c r="AA27">
        <v>10</v>
      </c>
    </row>
    <row r="28" spans="1:27">
      <c r="A28" s="92" t="s">
        <v>126</v>
      </c>
      <c r="B28" s="137" t="s">
        <v>325</v>
      </c>
      <c r="C28" s="24" t="s">
        <v>13</v>
      </c>
      <c r="D28" s="24" t="s">
        <v>21</v>
      </c>
      <c r="E28" s="24" t="str">
        <f>IFERROR(VLOOKUP(A28,bdbuscarv!$A$1:$M$101,5,FALSE),"no encontrado")</f>
        <v>Inversión</v>
      </c>
      <c r="F28" s="24" t="str">
        <f>IFERROR(VLOOKUP(A28,Tabla4[#All],6,FALSE),"no encontrado")</f>
        <v>Socio de proyecto</v>
      </c>
      <c r="G28" s="143" t="str">
        <f>IFERROR(VLOOKUP(A28,Tabla4[#All],7,FALSE),"no encontrado")</f>
        <v>NO</v>
      </c>
      <c r="H28" s="24">
        <f>IFERROR(VLOOKUP(A28,Tabla4[#All],8,FALSE),"no encontrado")</f>
        <v>5</v>
      </c>
      <c r="I28" s="156">
        <f>IFERROR(VLOOKUP(A28,Tabla4[#All],9,FALSE),"no encontrado")</f>
        <v>6</v>
      </c>
      <c r="J28" s="158">
        <f>IFERROR(VLOOKUP(A28,Tabla4[#All],$J$7,FALSE),"no encontrado")</f>
        <v>1000000</v>
      </c>
      <c r="K28" s="158">
        <f>IFERROR(VLOOKUP(A28,Tabla4[#All],$K$7,FALSE),"no encontrado")</f>
        <v>96696256</v>
      </c>
      <c r="L28" s="158">
        <f>IFERROR(VLOOKUP(A28,Tabla4[#All],$L$7,FALSE),"no encontrado")</f>
        <v>62106884</v>
      </c>
      <c r="M28" s="160">
        <f>IFERROR(VLOOKUP(A28,Tabla4[#All],$M$7,FALSE),"no encontrado")</f>
        <v>85228190</v>
      </c>
      <c r="O28" s="169" t="s">
        <v>22</v>
      </c>
      <c r="T28">
        <v>10</v>
      </c>
      <c r="AA28">
        <v>10</v>
      </c>
    </row>
    <row r="29" spans="1:27">
      <c r="A29" s="92" t="s">
        <v>62</v>
      </c>
      <c r="B29" s="137" t="s">
        <v>326</v>
      </c>
      <c r="C29" s="24" t="s">
        <v>13</v>
      </c>
      <c r="D29" s="24" t="s">
        <v>21</v>
      </c>
      <c r="E29" s="24" t="str">
        <f>IFERROR(VLOOKUP(A29,bdbuscarv!$A$1:$M$101,5,FALSE),"no encontrado")</f>
        <v>Inversión</v>
      </c>
      <c r="F29" s="24" t="str">
        <f>IFERROR(VLOOKUP(A29,Tabla4[#All],6,FALSE),"no encontrado")</f>
        <v>Socio de proyecto</v>
      </c>
      <c r="G29" s="143" t="str">
        <f>IFERROR(VLOOKUP(A29,Tabla4[#All],7,FALSE),"no encontrado")</f>
        <v>NO</v>
      </c>
      <c r="H29" s="24">
        <f>IFERROR(VLOOKUP(A29,Tabla4[#All],8,FALSE),"no encontrado")</f>
        <v>6</v>
      </c>
      <c r="I29" s="156">
        <f>IFERROR(VLOOKUP(A29,Tabla4[#All],9,FALSE),"no encontrado")</f>
        <v>7</v>
      </c>
      <c r="J29" s="158">
        <f>IFERROR(VLOOKUP(A29,Tabla4[#All],$J$7,FALSE),"no encontrado")</f>
        <v>10000000</v>
      </c>
      <c r="K29" s="158">
        <f>IFERROR(VLOOKUP(A29,Tabla4[#All],$K$7,FALSE),"no encontrado")</f>
        <v>51531809</v>
      </c>
      <c r="L29" s="158">
        <f>IFERROR(VLOOKUP(A29,Tabla4[#All],$L$7,FALSE),"no encontrado")</f>
        <v>99819688</v>
      </c>
      <c r="M29" s="160">
        <f>IFERROR(VLOOKUP(A29,Tabla4[#All],$M$7,FALSE),"no encontrado")</f>
        <v>24233431</v>
      </c>
      <c r="O29" s="169" t="s">
        <v>73</v>
      </c>
      <c r="T29">
        <v>9</v>
      </c>
      <c r="AA29">
        <v>9</v>
      </c>
    </row>
    <row r="30" spans="1:27">
      <c r="A30" s="92" t="s">
        <v>97</v>
      </c>
      <c r="B30" s="137" t="s">
        <v>327</v>
      </c>
      <c r="C30" s="24" t="s">
        <v>13</v>
      </c>
      <c r="D30" s="24" t="s">
        <v>15</v>
      </c>
      <c r="E30" s="24" t="str">
        <f>IFERROR(VLOOKUP(A30,bdbuscarv!$A$1:$M$101,5,FALSE),"no encontrado")</f>
        <v>Inversión</v>
      </c>
      <c r="F30" s="24" t="str">
        <f>IFERROR(VLOOKUP(A30,Tabla4[#All],6,FALSE),"no encontrado")</f>
        <v>Socio capitalista</v>
      </c>
      <c r="G30" s="143" t="str">
        <f>IFERROR(VLOOKUP(A30,Tabla4[#All],7,FALSE),"no encontrado")</f>
        <v>SI</v>
      </c>
      <c r="H30" s="24">
        <f>IFERROR(VLOOKUP(A30,Tabla4[#All],8,FALSE),"no encontrado")</f>
        <v>6</v>
      </c>
      <c r="I30" s="156">
        <f>IFERROR(VLOOKUP(A30,Tabla4[#All],9,FALSE),"no encontrado")</f>
        <v>10</v>
      </c>
      <c r="J30" s="158" t="str">
        <f>IFERROR(VLOOKUP(A30,Tabla4[#All],$J$7,FALSE),"no encontrado")</f>
        <v xml:space="preserve">$ - </v>
      </c>
      <c r="K30" s="158" t="str">
        <f>IFERROR(VLOOKUP(A30,Tabla4[#All],$K$7,FALSE),"no encontrado")</f>
        <v xml:space="preserve"> $ - </v>
      </c>
      <c r="L30" s="158">
        <f>IFERROR(VLOOKUP(A30,Tabla4[#All],$L$7,FALSE),"no encontrado")</f>
        <v>34214902</v>
      </c>
      <c r="M30" s="160">
        <f>IFERROR(VLOOKUP(A30,Tabla4[#All],$M$7,FALSE),"no encontrado")</f>
        <v>24896611</v>
      </c>
      <c r="O30" s="169" t="s">
        <v>66</v>
      </c>
      <c r="T30">
        <v>5</v>
      </c>
      <c r="AA30">
        <v>5</v>
      </c>
    </row>
    <row r="31" spans="1:27">
      <c r="A31" s="92" t="s">
        <v>101</v>
      </c>
      <c r="B31" s="137" t="s">
        <v>328</v>
      </c>
      <c r="C31" s="25" t="s">
        <v>102</v>
      </c>
      <c r="D31" s="24" t="s">
        <v>25</v>
      </c>
      <c r="E31" s="24" t="str">
        <f>IFERROR(VLOOKUP(A31,bdbuscarv!$A$1:$M$101,5,FALSE),"no encontrado")</f>
        <v>Trabajo</v>
      </c>
      <c r="F31" s="24" t="str">
        <f>IFERROR(VLOOKUP(A31,Tabla4[#All],6,FALSE),"no encontrado")</f>
        <v>Ofreciendo trabajo</v>
      </c>
      <c r="G31" s="143" t="str">
        <f>IFERROR(VLOOKUP(A31,Tabla4[#All],7,FALSE),"no encontrado")</f>
        <v>NO</v>
      </c>
      <c r="H31" s="24">
        <f>IFERROR(VLOOKUP(A31,Tabla4[#All],8,FALSE),"no encontrado")</f>
        <v>8</v>
      </c>
      <c r="I31" s="156">
        <f>IFERROR(VLOOKUP(A31,Tabla4[#All],9,FALSE),"no encontrado")</f>
        <v>5</v>
      </c>
      <c r="J31" s="158" t="str">
        <f>IFERROR(VLOOKUP(A31,Tabla4[#All],$J$7,FALSE),"no encontrado")</f>
        <v xml:space="preserve">$ - </v>
      </c>
      <c r="K31" s="158" t="str">
        <f>IFERROR(VLOOKUP(A31,Tabla4[#All],$K$7,FALSE),"no encontrado")</f>
        <v xml:space="preserve"> $ - </v>
      </c>
      <c r="L31" s="158">
        <f>IFERROR(VLOOKUP(A31,Tabla4[#All],$L$7,FALSE),"no encontrado")</f>
        <v>7121108</v>
      </c>
      <c r="M31" s="160">
        <f>IFERROR(VLOOKUP(A31,Tabla4[#All],$M$7,FALSE),"no encontrado")</f>
        <v>6991703</v>
      </c>
      <c r="O31" s="169" t="s">
        <v>93</v>
      </c>
      <c r="T31">
        <v>8</v>
      </c>
      <c r="AA31">
        <v>8</v>
      </c>
    </row>
    <row r="32" spans="1:27">
      <c r="A32" s="92" t="s">
        <v>103</v>
      </c>
      <c r="B32" s="137" t="s">
        <v>329</v>
      </c>
      <c r="C32" s="24" t="s">
        <v>13</v>
      </c>
      <c r="D32" s="24" t="s">
        <v>15</v>
      </c>
      <c r="E32" s="24" t="str">
        <f>IFERROR(VLOOKUP(A32,bdbuscarv!$A$1:$M$101,5,FALSE),"no encontrado")</f>
        <v>Inversión</v>
      </c>
      <c r="F32" s="24" t="str">
        <f>IFERROR(VLOOKUP(A32,Tabla4[#All],6,FALSE),"no encontrado")</f>
        <v>Socio capitalista</v>
      </c>
      <c r="G32" s="143" t="str">
        <f>IFERROR(VLOOKUP(A32,Tabla4[#All],7,FALSE),"no encontrado")</f>
        <v>NO</v>
      </c>
      <c r="H32" s="24">
        <f>IFERROR(VLOOKUP(A32,Tabla4[#All],8,FALSE),"no encontrado")</f>
        <v>7</v>
      </c>
      <c r="I32" s="156">
        <f>IFERROR(VLOOKUP(A32,Tabla4[#All],9,FALSE),"no encontrado")</f>
        <v>10</v>
      </c>
      <c r="J32" s="158">
        <f>IFERROR(VLOOKUP(A32,Tabla4[#All],$J$7,FALSE),"no encontrado")</f>
        <v>20000000</v>
      </c>
      <c r="K32" s="158">
        <f>IFERROR(VLOOKUP(A32,Tabla4[#All],$K$7,FALSE),"no encontrado")</f>
        <v>93037614</v>
      </c>
      <c r="L32" s="158">
        <f>IFERROR(VLOOKUP(A32,Tabla4[#All],$L$7,FALSE),"no encontrado")</f>
        <v>48185946</v>
      </c>
      <c r="M32" s="160">
        <f>IFERROR(VLOOKUP(A32,Tabla4[#All],$M$7,FALSE),"no encontrado")</f>
        <v>75039300</v>
      </c>
      <c r="O32" s="169" t="s">
        <v>134</v>
      </c>
      <c r="T32">
        <v>9</v>
      </c>
      <c r="AA32">
        <v>9</v>
      </c>
    </row>
    <row r="33" spans="1:27">
      <c r="A33" s="92" t="s">
        <v>35</v>
      </c>
      <c r="B33" s="137" t="s">
        <v>330</v>
      </c>
      <c r="C33" s="24" t="s">
        <v>13</v>
      </c>
      <c r="D33" s="24" t="s">
        <v>21</v>
      </c>
      <c r="E33" s="24" t="str">
        <f>IFERROR(VLOOKUP(A33,bdbuscarv!$A$1:$M$101,5,FALSE),"no encontrado")</f>
        <v>Inversión</v>
      </c>
      <c r="F33" s="24" t="str">
        <f>IFERROR(VLOOKUP(A33,Tabla4[#All],6,FALSE),"no encontrado")</f>
        <v>Socio capitalista</v>
      </c>
      <c r="G33" s="143" t="str">
        <f>IFERROR(VLOOKUP(A33,Tabla4[#All],7,FALSE),"no encontrado")</f>
        <v>NO</v>
      </c>
      <c r="H33" s="24">
        <f>IFERROR(VLOOKUP(A33,Tabla4[#All],8,FALSE),"no encontrado")</f>
        <v>9</v>
      </c>
      <c r="I33" s="156">
        <f>IFERROR(VLOOKUP(A33,Tabla4[#All],9,FALSE),"no encontrado")</f>
        <v>10</v>
      </c>
      <c r="J33" s="158">
        <f>IFERROR(VLOOKUP(A33,Tabla4[#All],$J$7,FALSE),"no encontrado")</f>
        <v>90000000</v>
      </c>
      <c r="K33" s="158">
        <f>IFERROR(VLOOKUP(A33,Tabla4[#All],$K$7,FALSE),"no encontrado")</f>
        <v>62088180</v>
      </c>
      <c r="L33" s="158">
        <f>IFERROR(VLOOKUP(A33,Tabla4[#All],$L$7,FALSE),"no encontrado")</f>
        <v>18047519</v>
      </c>
      <c r="M33" s="160">
        <f>IFERROR(VLOOKUP(A33,Tabla4[#All],$M$7,FALSE),"no encontrado")</f>
        <v>3738158</v>
      </c>
      <c r="O33" s="169" t="s">
        <v>74</v>
      </c>
      <c r="T33">
        <v>9</v>
      </c>
      <c r="AA33">
        <v>9</v>
      </c>
    </row>
    <row r="34" spans="1:27">
      <c r="A34" s="92" t="s">
        <v>61</v>
      </c>
      <c r="B34" s="137" t="s">
        <v>331</v>
      </c>
      <c r="C34" s="24" t="s">
        <v>13</v>
      </c>
      <c r="D34" s="24" t="s">
        <v>25</v>
      </c>
      <c r="E34" s="24" t="str">
        <f>IFERROR(VLOOKUP(A34,bdbuscarv!$A$1:$M$101,5,FALSE),"no encontrado")</f>
        <v>Inversión</v>
      </c>
      <c r="F34" s="24" t="str">
        <f>IFERROR(VLOOKUP(A34,Tabla4[#All],6,FALSE),"no encontrado")</f>
        <v>Socio capitalista</v>
      </c>
      <c r="G34" s="143" t="str">
        <f>IFERROR(VLOOKUP(A34,Tabla4[#All],7,FALSE),"no encontrado")</f>
        <v>NO</v>
      </c>
      <c r="H34" s="24">
        <f>IFERROR(VLOOKUP(A34,Tabla4[#All],8,FALSE),"no encontrado")</f>
        <v>3</v>
      </c>
      <c r="I34" s="156">
        <f>IFERROR(VLOOKUP(A34,Tabla4[#All],9,FALSE),"no encontrado")</f>
        <v>9</v>
      </c>
      <c r="J34" s="158">
        <f>IFERROR(VLOOKUP(A34,Tabla4[#All],$J$7,FALSE),"no encontrado")</f>
        <v>1000000</v>
      </c>
      <c r="K34" s="158">
        <f>IFERROR(VLOOKUP(A34,Tabla4[#All],$K$7,FALSE),"no encontrado")</f>
        <v>1160848</v>
      </c>
      <c r="L34" s="158">
        <f>IFERROR(VLOOKUP(A34,Tabla4[#All],$L$7,FALSE),"no encontrado")</f>
        <v>32268145</v>
      </c>
      <c r="M34" s="160">
        <f>IFERROR(VLOOKUP(A34,Tabla4[#All],$M$7,FALSE),"no encontrado")</f>
        <v>13339687</v>
      </c>
      <c r="O34" s="169" t="s">
        <v>52</v>
      </c>
      <c r="T34">
        <v>10</v>
      </c>
      <c r="AA34">
        <v>10</v>
      </c>
    </row>
    <row r="35" spans="1:27">
      <c r="A35" s="92" t="s">
        <v>124</v>
      </c>
      <c r="B35" s="137" t="s">
        <v>332</v>
      </c>
      <c r="C35" s="24" t="s">
        <v>13</v>
      </c>
      <c r="D35" s="24" t="s">
        <v>21</v>
      </c>
      <c r="E35" s="24" t="str">
        <f>IFERROR(VLOOKUP(A35,bdbuscarv!$A$1:$M$101,5,FALSE),"no encontrado")</f>
        <v>Trabajo</v>
      </c>
      <c r="F35" s="24" t="str">
        <f>IFERROR(VLOOKUP(A35,Tabla4[#All],6,FALSE),"no encontrado")</f>
        <v>Ofreciendo trabajo</v>
      </c>
      <c r="G35" s="143" t="str">
        <f>IFERROR(VLOOKUP(A35,Tabla4[#All],7,FALSE),"no encontrado")</f>
        <v>NO</v>
      </c>
      <c r="H35" s="24">
        <f>IFERROR(VLOOKUP(A35,Tabla4[#All],8,FALSE),"no encontrado")</f>
        <v>6</v>
      </c>
      <c r="I35" s="156">
        <f>IFERROR(VLOOKUP(A35,Tabla4[#All],9,FALSE),"no encontrado")</f>
        <v>2</v>
      </c>
      <c r="J35" s="158" t="str">
        <f>IFERROR(VLOOKUP(A35,Tabla4[#All],$J$7,FALSE),"no encontrado")</f>
        <v xml:space="preserve">$ - </v>
      </c>
      <c r="K35" s="158" t="str">
        <f>IFERROR(VLOOKUP(A35,Tabla4[#All],$K$7,FALSE),"no encontrado")</f>
        <v xml:space="preserve"> $ - </v>
      </c>
      <c r="L35" s="158">
        <f>IFERROR(VLOOKUP(A35,Tabla4[#All],$L$7,FALSE),"no encontrado")</f>
        <v>21224611</v>
      </c>
      <c r="M35" s="160">
        <f>IFERROR(VLOOKUP(A35,Tabla4[#All],$M$7,FALSE),"no encontrado")</f>
        <v>62562457</v>
      </c>
      <c r="O35" s="169" t="s">
        <v>34</v>
      </c>
      <c r="T35">
        <v>8</v>
      </c>
      <c r="AA35">
        <v>8</v>
      </c>
    </row>
    <row r="36" spans="1:27">
      <c r="A36" s="92" t="s">
        <v>33</v>
      </c>
      <c r="B36" s="137" t="s">
        <v>333</v>
      </c>
      <c r="C36" s="24" t="s">
        <v>13</v>
      </c>
      <c r="D36" s="24" t="s">
        <v>25</v>
      </c>
      <c r="E36" s="24" t="str">
        <f>IFERROR(VLOOKUP(A36,bdbuscarv!$A$1:$M$101,5,FALSE),"no encontrado")</f>
        <v>Trabajo</v>
      </c>
      <c r="F36" s="24" t="str">
        <f>IFERROR(VLOOKUP(A36,Tabla4[#All],6,FALSE),"no encontrado")</f>
        <v>Ofreciendo trabajo</v>
      </c>
      <c r="G36" s="143" t="str">
        <f>IFERROR(VLOOKUP(A36,Tabla4[#All],7,FALSE),"no encontrado")</f>
        <v>NO</v>
      </c>
      <c r="H36" s="24">
        <f>IFERROR(VLOOKUP(A36,Tabla4[#All],8,FALSE),"no encontrado")</f>
        <v>9</v>
      </c>
      <c r="I36" s="156">
        <f>IFERROR(VLOOKUP(A36,Tabla4[#All],9,FALSE),"no encontrado")</f>
        <v>9</v>
      </c>
      <c r="J36" s="158" t="str">
        <f>IFERROR(VLOOKUP(A36,Tabla4[#All],$J$7,FALSE),"no encontrado")</f>
        <v xml:space="preserve">$ - </v>
      </c>
      <c r="K36" s="158" t="str">
        <f>IFERROR(VLOOKUP(A36,Tabla4[#All],$K$7,FALSE),"no encontrado")</f>
        <v xml:space="preserve"> $ - </v>
      </c>
      <c r="L36" s="158">
        <f>IFERROR(VLOOKUP(A36,Tabla4[#All],$L$7,FALSE),"no encontrado")</f>
        <v>85434615</v>
      </c>
      <c r="M36" s="160">
        <f>IFERROR(VLOOKUP(A36,Tabla4[#All],$M$7,FALSE),"no encontrado")</f>
        <v>79508333</v>
      </c>
      <c r="O36" s="169" t="s">
        <v>44</v>
      </c>
      <c r="T36">
        <v>9</v>
      </c>
      <c r="AA36">
        <v>9</v>
      </c>
    </row>
    <row r="37" spans="1:27">
      <c r="A37" s="92" t="s">
        <v>85</v>
      </c>
      <c r="B37" s="137" t="s">
        <v>334</v>
      </c>
      <c r="C37" s="24" t="s">
        <v>13</v>
      </c>
      <c r="D37" s="24" t="s">
        <v>21</v>
      </c>
      <c r="E37" s="24" t="str">
        <f>IFERROR(VLOOKUP(A37,bdbuscarv!$A$1:$M$101,5,FALSE),"no encontrado")</f>
        <v>Inversión</v>
      </c>
      <c r="F37" s="24" t="str">
        <f>IFERROR(VLOOKUP(A37,Tabla4[#All],6,FALSE),"no encontrado")</f>
        <v>Socio de proyecto</v>
      </c>
      <c r="G37" s="143" t="str">
        <f>IFERROR(VLOOKUP(A37,Tabla4[#All],7,FALSE),"no encontrado")</f>
        <v>NO</v>
      </c>
      <c r="H37" s="24">
        <f>IFERROR(VLOOKUP(A37,Tabla4[#All],8,FALSE),"no encontrado")</f>
        <v>8</v>
      </c>
      <c r="I37" s="156">
        <f>IFERROR(VLOOKUP(A37,Tabla4[#All],9,FALSE),"no encontrado")</f>
        <v>7</v>
      </c>
      <c r="J37" s="158">
        <f>IFERROR(VLOOKUP(A37,Tabla4[#All],$J$7,FALSE),"no encontrado")</f>
        <v>90000000</v>
      </c>
      <c r="K37" s="158">
        <f>IFERROR(VLOOKUP(A37,Tabla4[#All],$K$7,FALSE),"no encontrado")</f>
        <v>23888885</v>
      </c>
      <c r="L37" s="158">
        <f>IFERROR(VLOOKUP(A37,Tabla4[#All],$L$7,FALSE),"no encontrado")</f>
        <v>68725539</v>
      </c>
      <c r="M37" s="160">
        <f>IFERROR(VLOOKUP(A37,Tabla4[#All],$M$7,FALSE),"no encontrado")</f>
        <v>78613526</v>
      </c>
      <c r="O37" s="169" t="s">
        <v>51</v>
      </c>
      <c r="T37">
        <v>7</v>
      </c>
      <c r="AA37">
        <v>7</v>
      </c>
    </row>
    <row r="38" spans="1:27">
      <c r="A38" s="92" t="s">
        <v>110</v>
      </c>
      <c r="B38" s="137" t="s">
        <v>335</v>
      </c>
      <c r="C38" s="23" t="s">
        <v>13</v>
      </c>
      <c r="D38" s="23" t="s">
        <v>25</v>
      </c>
      <c r="E38" s="24" t="str">
        <f>IFERROR(VLOOKUP(A38,bdbuscarv!$A$1:$M$101,5,FALSE),"no encontrado")</f>
        <v>Inversión</v>
      </c>
      <c r="F38" s="24" t="str">
        <f>IFERROR(VLOOKUP(A38,Tabla4[#All],6,FALSE),"no encontrado")</f>
        <v>Socio capitalista</v>
      </c>
      <c r="G38" s="143" t="str">
        <f>IFERROR(VLOOKUP(A38,Tabla4[#All],7,FALSE),"no encontrado")</f>
        <v>SI</v>
      </c>
      <c r="H38" s="24">
        <f>IFERROR(VLOOKUP(A38,Tabla4[#All],8,FALSE),"no encontrado")</f>
        <v>8</v>
      </c>
      <c r="I38" s="156">
        <f>IFERROR(VLOOKUP(A38,Tabla4[#All],9,FALSE),"no encontrado")</f>
        <v>8</v>
      </c>
      <c r="J38" s="158">
        <f>IFERROR(VLOOKUP(A38,Tabla4[#All],$J$7,FALSE),"no encontrado")</f>
        <v>10000000</v>
      </c>
      <c r="K38" s="158">
        <f>IFERROR(VLOOKUP(A38,Tabla4[#All],$K$7,FALSE),"no encontrado")</f>
        <v>23464528</v>
      </c>
      <c r="L38" s="158">
        <f>IFERROR(VLOOKUP(A38,Tabla4[#All],$L$7,FALSE),"no encontrado")</f>
        <v>904543</v>
      </c>
      <c r="M38" s="160" t="str">
        <f>IFERROR(VLOOKUP(A38,Tabla4[#All],$M$7,FALSE),"no encontrado")</f>
        <v xml:space="preserve"> $ - </v>
      </c>
      <c r="O38" s="169" t="s">
        <v>85</v>
      </c>
      <c r="T38">
        <v>7</v>
      </c>
      <c r="AA38">
        <v>7</v>
      </c>
    </row>
    <row r="39" spans="1:27">
      <c r="A39" s="92" t="s">
        <v>132</v>
      </c>
      <c r="B39" s="137" t="s">
        <v>336</v>
      </c>
      <c r="C39" s="24" t="s">
        <v>13</v>
      </c>
      <c r="D39" s="24" t="s">
        <v>15</v>
      </c>
      <c r="E39" s="24" t="str">
        <f>IFERROR(VLOOKUP(A39,bdbuscarv!$A$1:$M$101,5,FALSE),"no encontrado")</f>
        <v>Trabajo</v>
      </c>
      <c r="F39" s="24" t="str">
        <f>IFERROR(VLOOKUP(A39,Tabla4[#All],6,FALSE),"no encontrado")</f>
        <v>Ofreciendo trabajo</v>
      </c>
      <c r="G39" s="143" t="str">
        <f>IFERROR(VLOOKUP(A39,Tabla4[#All],7,FALSE),"no encontrado")</f>
        <v>NO</v>
      </c>
      <c r="H39" s="24">
        <f>IFERROR(VLOOKUP(A39,Tabla4[#All],8,FALSE),"no encontrado")</f>
        <v>6</v>
      </c>
      <c r="I39" s="156">
        <f>IFERROR(VLOOKUP(A39,Tabla4[#All],9,FALSE),"no encontrado")</f>
        <v>8</v>
      </c>
      <c r="J39" s="158" t="str">
        <f>IFERROR(VLOOKUP(A39,Tabla4[#All],$J$7,FALSE),"no encontrado")</f>
        <v xml:space="preserve">$ - </v>
      </c>
      <c r="K39" s="158" t="str">
        <f>IFERROR(VLOOKUP(A39,Tabla4[#All],$K$7,FALSE),"no encontrado")</f>
        <v xml:space="preserve"> $ - </v>
      </c>
      <c r="L39" s="158">
        <f>IFERROR(VLOOKUP(A39,Tabla4[#All],$L$7,FALSE),"no encontrado")</f>
        <v>66204884</v>
      </c>
      <c r="M39" s="160">
        <f>IFERROR(VLOOKUP(A39,Tabla4[#All],$M$7,FALSE),"no encontrado")</f>
        <v>27801447</v>
      </c>
      <c r="O39" s="169" t="s">
        <v>90</v>
      </c>
      <c r="T39">
        <v>7</v>
      </c>
      <c r="AA39">
        <v>7</v>
      </c>
    </row>
    <row r="40" spans="1:27">
      <c r="A40" s="92" t="s">
        <v>91</v>
      </c>
      <c r="B40" s="137" t="s">
        <v>337</v>
      </c>
      <c r="C40" s="24" t="s">
        <v>32</v>
      </c>
      <c r="D40" s="24" t="s">
        <v>25</v>
      </c>
      <c r="E40" s="24" t="str">
        <f>IFERROR(VLOOKUP(A40,bdbuscarv!$A$1:$M$101,5,FALSE),"no encontrado")</f>
        <v>Trabajo</v>
      </c>
      <c r="F40" s="24" t="str">
        <f>IFERROR(VLOOKUP(A40,Tabla4[#All],6,FALSE),"no encontrado")</f>
        <v>Buscando trabajo</v>
      </c>
      <c r="G40" s="143" t="str">
        <f>IFERROR(VLOOKUP(A40,Tabla4[#All],7,FALSE),"no encontrado")</f>
        <v>SI</v>
      </c>
      <c r="H40" s="24">
        <f>IFERROR(VLOOKUP(A40,Tabla4[#All],8,FALSE),"no encontrado")</f>
        <v>3</v>
      </c>
      <c r="I40" s="156">
        <f>IFERROR(VLOOKUP(A40,Tabla4[#All],9,FALSE),"no encontrado")</f>
        <v>5</v>
      </c>
      <c r="J40" s="158" t="str">
        <f>IFERROR(VLOOKUP(A40,Tabla4[#All],$J$7,FALSE),"no encontrado")</f>
        <v xml:space="preserve">$ - </v>
      </c>
      <c r="K40" s="158" t="str">
        <f>IFERROR(VLOOKUP(A40,Tabla4[#All],$K$7,FALSE),"no encontrado")</f>
        <v xml:space="preserve"> $ - </v>
      </c>
      <c r="L40" s="158">
        <f>IFERROR(VLOOKUP(A40,Tabla4[#All],$L$7,FALSE),"no encontrado")</f>
        <v>30987169</v>
      </c>
      <c r="M40" s="160">
        <f>IFERROR(VLOOKUP(A40,Tabla4[#All],$M$7,FALSE),"no encontrado")</f>
        <v>7339680</v>
      </c>
      <c r="O40" s="169" t="s">
        <v>48</v>
      </c>
      <c r="T40">
        <v>5</v>
      </c>
      <c r="AA40">
        <v>5</v>
      </c>
    </row>
    <row r="41" spans="1:27">
      <c r="A41" s="92" t="s">
        <v>109</v>
      </c>
      <c r="B41" s="137" t="s">
        <v>338</v>
      </c>
      <c r="C41" s="24" t="s">
        <v>13</v>
      </c>
      <c r="D41" s="24" t="s">
        <v>21</v>
      </c>
      <c r="E41" s="24" t="str">
        <f>IFERROR(VLOOKUP(A41,bdbuscarv!$A$1:$M$101,5,FALSE),"no encontrado")</f>
        <v>Inversión</v>
      </c>
      <c r="F41" s="24" t="str">
        <f>IFERROR(VLOOKUP(A41,Tabla4[#All],6,FALSE),"no encontrado")</f>
        <v>Socio capitalista</v>
      </c>
      <c r="G41" s="143" t="str">
        <f>IFERROR(VLOOKUP(A41,Tabla4[#All],7,FALSE),"no encontrado")</f>
        <v>NO</v>
      </c>
      <c r="H41" s="24">
        <f>IFERROR(VLOOKUP(A41,Tabla4[#All],8,FALSE),"no encontrado")</f>
        <v>6</v>
      </c>
      <c r="I41" s="156">
        <f>IFERROR(VLOOKUP(A41,Tabla4[#All],9,FALSE),"no encontrado")</f>
        <v>7</v>
      </c>
      <c r="J41" s="158">
        <f>IFERROR(VLOOKUP(A41,Tabla4[#All],$J$7,FALSE),"no encontrado")</f>
        <v>10000000</v>
      </c>
      <c r="K41" s="158">
        <f>IFERROR(VLOOKUP(A41,Tabla4[#All],$K$7,FALSE),"no encontrado")</f>
        <v>22390348</v>
      </c>
      <c r="L41" s="158">
        <f>IFERROR(VLOOKUP(A41,Tabla4[#All],$L$7,FALSE),"no encontrado")</f>
        <v>24476166</v>
      </c>
      <c r="M41" s="160" t="str">
        <f>IFERROR(VLOOKUP(A41,Tabla4[#All],$M$7,FALSE),"no encontrado")</f>
        <v xml:space="preserve"> $ - </v>
      </c>
      <c r="O41" s="169" t="s">
        <v>68</v>
      </c>
      <c r="R41">
        <v>8</v>
      </c>
      <c r="AA41">
        <v>8</v>
      </c>
    </row>
    <row r="42" spans="1:27">
      <c r="A42" s="92" t="s">
        <v>127</v>
      </c>
      <c r="B42" s="137" t="s">
        <v>339</v>
      </c>
      <c r="C42" s="24" t="s">
        <v>13</v>
      </c>
      <c r="D42" s="24" t="s">
        <v>25</v>
      </c>
      <c r="E42" s="24" t="str">
        <f>IFERROR(VLOOKUP(A42,bdbuscarv!$A$1:$M$101,5,FALSE),"no encontrado")</f>
        <v>Inversión</v>
      </c>
      <c r="F42" s="24" t="str">
        <f>IFERROR(VLOOKUP(A42,Tabla4[#All],6,FALSE),"no encontrado")</f>
        <v>Socio de proyecto</v>
      </c>
      <c r="G42" s="143" t="str">
        <f>IFERROR(VLOOKUP(A42,Tabla4[#All],7,FALSE),"no encontrado")</f>
        <v>NO</v>
      </c>
      <c r="H42" s="24">
        <f>IFERROR(VLOOKUP(A42,Tabla4[#All],8,FALSE),"no encontrado")</f>
        <v>6</v>
      </c>
      <c r="I42" s="156">
        <f>IFERROR(VLOOKUP(A42,Tabla4[#All],9,FALSE),"no encontrado")</f>
        <v>10</v>
      </c>
      <c r="J42" s="158">
        <f>IFERROR(VLOOKUP(A42,Tabla4[#All],$J$7,FALSE),"no encontrado")</f>
        <v>20000000</v>
      </c>
      <c r="K42" s="158">
        <f>IFERROR(VLOOKUP(A42,Tabla4[#All],$K$7,FALSE),"no encontrado")</f>
        <v>31670482</v>
      </c>
      <c r="L42" s="158">
        <f>IFERROR(VLOOKUP(A42,Tabla4[#All],$L$7,FALSE),"no encontrado")</f>
        <v>15619630</v>
      </c>
      <c r="M42" s="160">
        <f>IFERROR(VLOOKUP(A42,Tabla4[#All],$M$7,FALSE),"no encontrado")</f>
        <v>59838390</v>
      </c>
      <c r="O42" s="169" t="s">
        <v>62</v>
      </c>
      <c r="T42">
        <v>7</v>
      </c>
      <c r="AA42">
        <v>7</v>
      </c>
    </row>
    <row r="43" spans="1:27">
      <c r="A43" s="92" t="s">
        <v>48</v>
      </c>
      <c r="B43" s="137" t="s">
        <v>340</v>
      </c>
      <c r="C43" s="24" t="s">
        <v>13</v>
      </c>
      <c r="D43" s="24" t="s">
        <v>9</v>
      </c>
      <c r="E43" s="24" t="str">
        <f>IFERROR(VLOOKUP(A43,bdbuscarv!$A$1:$M$101,5,FALSE),"no encontrado")</f>
        <v>Inversión</v>
      </c>
      <c r="F43" s="24" t="str">
        <f>IFERROR(VLOOKUP(A43,Tabla4[#All],6,FALSE),"no encontrado")</f>
        <v>Socio de proyecto</v>
      </c>
      <c r="G43" s="143" t="str">
        <f>IFERROR(VLOOKUP(A43,Tabla4[#All],7,FALSE),"no encontrado")</f>
        <v>NO</v>
      </c>
      <c r="H43" s="24">
        <f>IFERROR(VLOOKUP(A43,Tabla4[#All],8,FALSE),"no encontrado")</f>
        <v>8</v>
      </c>
      <c r="I43" s="156">
        <f>IFERROR(VLOOKUP(A43,Tabla4[#All],9,FALSE),"no encontrado")</f>
        <v>5</v>
      </c>
      <c r="J43" s="158">
        <f>IFERROR(VLOOKUP(A43,Tabla4[#All],$J$7,FALSE),"no encontrado")</f>
        <v>20000000</v>
      </c>
      <c r="K43" s="158">
        <f>IFERROR(VLOOKUP(A43,Tabla4[#All],$K$7,FALSE),"no encontrado")</f>
        <v>81056910</v>
      </c>
      <c r="L43" s="158">
        <f>IFERROR(VLOOKUP(A43,Tabla4[#All],$L$7,FALSE),"no encontrado")</f>
        <v>96438403</v>
      </c>
      <c r="M43" s="160">
        <f>IFERROR(VLOOKUP(A43,Tabla4[#All],$M$7,FALSE),"no encontrado")</f>
        <v>90723423</v>
      </c>
      <c r="O43" s="169" t="s">
        <v>19</v>
      </c>
      <c r="T43">
        <v>6</v>
      </c>
      <c r="AA43">
        <v>6</v>
      </c>
    </row>
    <row r="44" spans="1:27">
      <c r="A44" s="92" t="s">
        <v>79</v>
      </c>
      <c r="B44" s="137" t="s">
        <v>341</v>
      </c>
      <c r="C44" s="24" t="s">
        <v>13</v>
      </c>
      <c r="D44" s="24" t="s">
        <v>21</v>
      </c>
      <c r="E44" s="24" t="str">
        <f>IFERROR(VLOOKUP(A44,bdbuscarv!$A$1:$M$101,5,FALSE),"no encontrado")</f>
        <v>Conocimiento</v>
      </c>
      <c r="F44" s="24" t="str">
        <f>IFERROR(VLOOKUP(A44,Tabla4[#All],6,FALSE),"no encontrado")</f>
        <v>Otro tipo</v>
      </c>
      <c r="G44" s="143" t="str">
        <f>IFERROR(VLOOKUP(A44,Tabla4[#All],7,FALSE),"no encontrado")</f>
        <v>NO</v>
      </c>
      <c r="H44" s="24">
        <f>IFERROR(VLOOKUP(A44,Tabla4[#All],8,FALSE),"no encontrado")</f>
        <v>5</v>
      </c>
      <c r="I44" s="156">
        <f>IFERROR(VLOOKUP(A44,Tabla4[#All],9,FALSE),"no encontrado")</f>
        <v>7</v>
      </c>
      <c r="J44" s="158" t="str">
        <f>IFERROR(VLOOKUP(A44,Tabla4[#All],$J$7,FALSE),"no encontrado")</f>
        <v xml:space="preserve">$ - </v>
      </c>
      <c r="K44" s="158" t="str">
        <f>IFERROR(VLOOKUP(A44,Tabla4[#All],$K$7,FALSE),"no encontrado")</f>
        <v xml:space="preserve"> $ - </v>
      </c>
      <c r="L44" s="158" t="str">
        <f>IFERROR(VLOOKUP(A44,Tabla4[#All],$L$7,FALSE),"no encontrado")</f>
        <v xml:space="preserve"> $ - </v>
      </c>
      <c r="M44" s="160">
        <f>IFERROR(VLOOKUP(A44,Tabla4[#All],$M$7,FALSE),"no encontrado")</f>
        <v>52936315</v>
      </c>
      <c r="O44" s="169" t="s">
        <v>39</v>
      </c>
      <c r="T44">
        <v>8</v>
      </c>
      <c r="AA44">
        <v>8</v>
      </c>
    </row>
    <row r="45" spans="1:27">
      <c r="A45" s="92" t="s">
        <v>113</v>
      </c>
      <c r="B45" s="137" t="s">
        <v>342</v>
      </c>
      <c r="C45" s="24" t="s">
        <v>13</v>
      </c>
      <c r="D45" s="24" t="s">
        <v>21</v>
      </c>
      <c r="E45" s="24" t="str">
        <f>IFERROR(VLOOKUP(A45,bdbuscarv!$A$1:$M$101,5,FALSE),"no encontrado")</f>
        <v>Inversión</v>
      </c>
      <c r="F45" s="24" t="str">
        <f>IFERROR(VLOOKUP(A45,Tabla4[#All],6,FALSE),"no encontrado")</f>
        <v>Socio capitalista</v>
      </c>
      <c r="G45" s="143" t="str">
        <f>IFERROR(VLOOKUP(A45,Tabla4[#All],7,FALSE),"no encontrado")</f>
        <v>NO</v>
      </c>
      <c r="H45" s="24">
        <f>IFERROR(VLOOKUP(A45,Tabla4[#All],8,FALSE),"no encontrado")</f>
        <v>9</v>
      </c>
      <c r="I45" s="156">
        <f>IFERROR(VLOOKUP(A45,Tabla4[#All],9,FALSE),"no encontrado")</f>
        <v>7</v>
      </c>
      <c r="J45" s="158">
        <f>IFERROR(VLOOKUP(A45,Tabla4[#All],$J$7,FALSE),"no encontrado")</f>
        <v>30000000</v>
      </c>
      <c r="K45" s="158">
        <f>IFERROR(VLOOKUP(A45,Tabla4[#All],$K$7,FALSE),"no encontrado")</f>
        <v>91413171</v>
      </c>
      <c r="L45" s="158">
        <f>IFERROR(VLOOKUP(A45,Tabla4[#All],$L$7,FALSE),"no encontrado")</f>
        <v>13211402</v>
      </c>
      <c r="M45" s="160" t="str">
        <f>IFERROR(VLOOKUP(A45,Tabla4[#All],$M$7,FALSE),"no encontrado")</f>
        <v xml:space="preserve"> $ - </v>
      </c>
      <c r="O45" s="169" t="s">
        <v>135</v>
      </c>
      <c r="T45">
        <v>4</v>
      </c>
      <c r="AA45">
        <v>4</v>
      </c>
    </row>
    <row r="46" spans="1:27">
      <c r="A46" s="92" t="s">
        <v>36</v>
      </c>
      <c r="B46" s="137" t="s">
        <v>343</v>
      </c>
      <c r="C46" s="24" t="s">
        <v>13</v>
      </c>
      <c r="D46" s="24" t="s">
        <v>9</v>
      </c>
      <c r="E46" s="24" t="str">
        <f>IFERROR(VLOOKUP(A46,bdbuscarv!$A$1:$M$101,5,FALSE),"no encontrado")</f>
        <v>Inversión</v>
      </c>
      <c r="F46" s="24" t="str">
        <f>IFERROR(VLOOKUP(A46,Tabla4[#All],6,FALSE),"no encontrado")</f>
        <v>Socio de proyecto</v>
      </c>
      <c r="G46" s="143" t="str">
        <f>IFERROR(VLOOKUP(A46,Tabla4[#All],7,FALSE),"no encontrado")</f>
        <v>NO</v>
      </c>
      <c r="H46" s="24">
        <f>IFERROR(VLOOKUP(A46,Tabla4[#All],8,FALSE),"no encontrado")</f>
        <v>4</v>
      </c>
      <c r="I46" s="156">
        <f>IFERROR(VLOOKUP(A46,Tabla4[#All],9,FALSE),"no encontrado")</f>
        <v>7</v>
      </c>
      <c r="J46" s="158">
        <f>IFERROR(VLOOKUP(A46,Tabla4[#All],$J$7,FALSE),"no encontrado")</f>
        <v>1000000</v>
      </c>
      <c r="K46" s="158">
        <f>IFERROR(VLOOKUP(A46,Tabla4[#All],$K$7,FALSE),"no encontrado")</f>
        <v>87347043</v>
      </c>
      <c r="L46" s="158">
        <f>IFERROR(VLOOKUP(A46,Tabla4[#All],$L$7,FALSE),"no encontrado")</f>
        <v>50796112</v>
      </c>
      <c r="M46" s="160">
        <f>IFERROR(VLOOKUP(A46,Tabla4[#All],$M$7,FALSE),"no encontrado")</f>
        <v>72757830</v>
      </c>
      <c r="O46" s="169" t="s">
        <v>125</v>
      </c>
      <c r="T46">
        <v>7</v>
      </c>
      <c r="AA46">
        <v>7</v>
      </c>
    </row>
    <row r="47" spans="1:27">
      <c r="A47" s="92" t="s">
        <v>44</v>
      </c>
      <c r="B47" s="137" t="s">
        <v>344</v>
      </c>
      <c r="C47" s="24" t="s">
        <v>13</v>
      </c>
      <c r="D47" s="24" t="s">
        <v>25</v>
      </c>
      <c r="E47" s="24" t="str">
        <f>IFERROR(VLOOKUP(A47,bdbuscarv!$A$1:$M$101,5,FALSE),"no encontrado")</f>
        <v>Trabajo</v>
      </c>
      <c r="F47" s="24" t="str">
        <f>IFERROR(VLOOKUP(A47,Tabla4[#All],6,FALSE),"no encontrado")</f>
        <v>Buscando trabajo</v>
      </c>
      <c r="G47" s="143" t="str">
        <f>IFERROR(VLOOKUP(A47,Tabla4[#All],7,FALSE),"no encontrado")</f>
        <v>NO</v>
      </c>
      <c r="H47" s="24">
        <f>IFERROR(VLOOKUP(A47,Tabla4[#All],8,FALSE),"no encontrado")</f>
        <v>4</v>
      </c>
      <c r="I47" s="156">
        <f>IFERROR(VLOOKUP(A47,Tabla4[#All],9,FALSE),"no encontrado")</f>
        <v>9</v>
      </c>
      <c r="J47" s="158" t="str">
        <f>IFERROR(VLOOKUP(A47,Tabla4[#All],$J$7,FALSE),"no encontrado")</f>
        <v xml:space="preserve">$ - </v>
      </c>
      <c r="K47" s="158" t="str">
        <f>IFERROR(VLOOKUP(A47,Tabla4[#All],$K$7,FALSE),"no encontrado")</f>
        <v xml:space="preserve"> $ - </v>
      </c>
      <c r="L47" s="158">
        <f>IFERROR(VLOOKUP(A47,Tabla4[#All],$L$7,FALSE),"no encontrado")</f>
        <v>38721754</v>
      </c>
      <c r="M47" s="160">
        <f>IFERROR(VLOOKUP(A47,Tabla4[#All],$M$7,FALSE),"no encontrado")</f>
        <v>77230635</v>
      </c>
      <c r="O47" s="169" t="s">
        <v>113</v>
      </c>
      <c r="T47">
        <v>7</v>
      </c>
      <c r="AA47">
        <v>7</v>
      </c>
    </row>
    <row r="48" spans="1:27">
      <c r="A48" s="92" t="s">
        <v>100</v>
      </c>
      <c r="B48" s="137" t="s">
        <v>345</v>
      </c>
      <c r="C48" s="24" t="s">
        <v>13</v>
      </c>
      <c r="D48" s="24" t="s">
        <v>21</v>
      </c>
      <c r="E48" s="24" t="str">
        <f>IFERROR(VLOOKUP(A48,bdbuscarv!$A$1:$M$101,5,FALSE),"no encontrado")</f>
        <v>Inversión</v>
      </c>
      <c r="F48" s="24" t="str">
        <f>IFERROR(VLOOKUP(A48,Tabla4[#All],6,FALSE),"no encontrado")</f>
        <v>Socio de proyecto</v>
      </c>
      <c r="G48" s="143" t="str">
        <f>IFERROR(VLOOKUP(A48,Tabla4[#All],7,FALSE),"no encontrado")</f>
        <v>NO</v>
      </c>
      <c r="H48" s="24">
        <f>IFERROR(VLOOKUP(A48,Tabla4[#All],8,FALSE),"no encontrado")</f>
        <v>9</v>
      </c>
      <c r="I48" s="156">
        <f>IFERROR(VLOOKUP(A48,Tabla4[#All],9,FALSE),"no encontrado")</f>
        <v>5</v>
      </c>
      <c r="J48" s="158">
        <f>IFERROR(VLOOKUP(A48,Tabla4[#All],$J$7,FALSE),"no encontrado")</f>
        <v>10000000</v>
      </c>
      <c r="K48" s="158">
        <f>IFERROR(VLOOKUP(A48,Tabla4[#All],$K$7,FALSE),"no encontrado")</f>
        <v>43538967</v>
      </c>
      <c r="L48" s="158">
        <f>IFERROR(VLOOKUP(A48,Tabla4[#All],$L$7,FALSE),"no encontrado")</f>
        <v>5161300</v>
      </c>
      <c r="M48" s="160">
        <f>IFERROR(VLOOKUP(A48,Tabla4[#All],$M$7,FALSE),"no encontrado")</f>
        <v>85417673</v>
      </c>
      <c r="O48" s="169" t="s">
        <v>94</v>
      </c>
      <c r="T48">
        <v>10</v>
      </c>
      <c r="AA48">
        <v>10</v>
      </c>
    </row>
    <row r="49" spans="1:27">
      <c r="A49" s="92" t="s">
        <v>42</v>
      </c>
      <c r="B49" s="137" t="s">
        <v>346</v>
      </c>
      <c r="C49" s="24" t="s">
        <v>13</v>
      </c>
      <c r="D49" s="24" t="s">
        <v>21</v>
      </c>
      <c r="E49" s="24" t="str">
        <f>IFERROR(VLOOKUP(A49,bdbuscarv!$A$1:$M$101,5,FALSE),"no encontrado")</f>
        <v>Inversión</v>
      </c>
      <c r="F49" s="24" t="str">
        <f>IFERROR(VLOOKUP(A49,Tabla4[#All],6,FALSE),"no encontrado")</f>
        <v>Socio de proyecto</v>
      </c>
      <c r="G49" s="143" t="str">
        <f>IFERROR(VLOOKUP(A49,Tabla4[#All],7,FALSE),"no encontrado")</f>
        <v>SI</v>
      </c>
      <c r="H49" s="24">
        <f>IFERROR(VLOOKUP(A49,Tabla4[#All],8,FALSE),"no encontrado")</f>
        <v>6</v>
      </c>
      <c r="I49" s="156">
        <f>IFERROR(VLOOKUP(A49,Tabla4[#All],9,FALSE),"no encontrado")</f>
        <v>10</v>
      </c>
      <c r="J49" s="158">
        <f>IFERROR(VLOOKUP(A49,Tabla4[#All],$J$7,FALSE),"no encontrado")</f>
        <v>1000000</v>
      </c>
      <c r="K49" s="158">
        <f>IFERROR(VLOOKUP(A49,Tabla4[#All],$K$7,FALSE),"no encontrado")</f>
        <v>95899452</v>
      </c>
      <c r="L49" s="158">
        <f>IFERROR(VLOOKUP(A49,Tabla4[#All],$L$7,FALSE),"no encontrado")</f>
        <v>2565664</v>
      </c>
      <c r="M49" s="160">
        <f>IFERROR(VLOOKUP(A49,Tabla4[#All],$M$7,FALSE),"no encontrado")</f>
        <v>39602953</v>
      </c>
      <c r="O49" s="169" t="s">
        <v>14</v>
      </c>
      <c r="T49">
        <v>6</v>
      </c>
      <c r="AA49">
        <v>6</v>
      </c>
    </row>
    <row r="50" spans="1:27">
      <c r="A50" s="92" t="s">
        <v>39</v>
      </c>
      <c r="B50" s="137" t="s">
        <v>347</v>
      </c>
      <c r="C50" s="24" t="s">
        <v>13</v>
      </c>
      <c r="D50" s="24" t="s">
        <v>21</v>
      </c>
      <c r="E50" s="24" t="str">
        <f>IFERROR(VLOOKUP(A50,bdbuscarv!$A$1:$M$101,5,FALSE),"no encontrado")</f>
        <v>Inversión</v>
      </c>
      <c r="F50" s="24" t="str">
        <f>IFERROR(VLOOKUP(A50,Tabla4[#All],6,FALSE),"no encontrado")</f>
        <v>Socio de proyecto</v>
      </c>
      <c r="G50" s="143" t="str">
        <f>IFERROR(VLOOKUP(A50,Tabla4[#All],7,FALSE),"no encontrado")</f>
        <v>SI</v>
      </c>
      <c r="H50" s="24">
        <f>IFERROR(VLOOKUP(A50,Tabla4[#All],8,FALSE),"no encontrado")</f>
        <v>8</v>
      </c>
      <c r="I50" s="156">
        <f>IFERROR(VLOOKUP(A50,Tabla4[#All],9,FALSE),"no encontrado")</f>
        <v>8</v>
      </c>
      <c r="J50" s="158">
        <f>IFERROR(VLOOKUP(A50,Tabla4[#All],$J$7,FALSE),"no encontrado")</f>
        <v>1000000</v>
      </c>
      <c r="K50" s="158">
        <f>IFERROR(VLOOKUP(A50,Tabla4[#All],$K$7,FALSE),"no encontrado")</f>
        <v>81347428</v>
      </c>
      <c r="L50" s="158">
        <f>IFERROR(VLOOKUP(A50,Tabla4[#All],$L$7,FALSE),"no encontrado")</f>
        <v>10860215</v>
      </c>
      <c r="M50" s="160">
        <f>IFERROR(VLOOKUP(A50,Tabla4[#All],$M$7,FALSE),"no encontrado")</f>
        <v>28637290</v>
      </c>
      <c r="O50" s="169" t="s">
        <v>84</v>
      </c>
      <c r="T50">
        <v>10</v>
      </c>
      <c r="AA50">
        <v>10</v>
      </c>
    </row>
    <row r="51" spans="1:27">
      <c r="A51" s="92" t="s">
        <v>120</v>
      </c>
      <c r="B51" s="137" t="s">
        <v>348</v>
      </c>
      <c r="C51" s="24" t="s">
        <v>13</v>
      </c>
      <c r="D51" s="24" t="s">
        <v>25</v>
      </c>
      <c r="E51" s="24" t="str">
        <f>IFERROR(VLOOKUP(A51,bdbuscarv!$A$1:$M$101,5,FALSE),"no encontrado")</f>
        <v>Inversión</v>
      </c>
      <c r="F51" s="24" t="str">
        <f>IFERROR(VLOOKUP(A51,Tabla4[#All],6,FALSE),"no encontrado")</f>
        <v>Socio de proyecto</v>
      </c>
      <c r="G51" s="143" t="str">
        <f>IFERROR(VLOOKUP(A51,Tabla4[#All],7,FALSE),"no encontrado")</f>
        <v>SI</v>
      </c>
      <c r="H51" s="24">
        <f>IFERROR(VLOOKUP(A51,Tabla4[#All],8,FALSE),"no encontrado")</f>
        <v>6</v>
      </c>
      <c r="I51" s="156">
        <f>IFERROR(VLOOKUP(A51,Tabla4[#All],9,FALSE),"no encontrado")</f>
        <v>10</v>
      </c>
      <c r="J51" s="158">
        <f>IFERROR(VLOOKUP(A51,Tabla4[#All],$J$7,FALSE),"no encontrado")</f>
        <v>30000000</v>
      </c>
      <c r="K51" s="158">
        <f>IFERROR(VLOOKUP(A51,Tabla4[#All],$K$7,FALSE),"no encontrado")</f>
        <v>52442860</v>
      </c>
      <c r="L51" s="158">
        <f>IFERROR(VLOOKUP(A51,Tabla4[#All],$L$7,FALSE),"no encontrado")</f>
        <v>2659881</v>
      </c>
      <c r="M51" s="160">
        <f>IFERROR(VLOOKUP(A51,Tabla4[#All],$M$7,FALSE),"no encontrado")</f>
        <v>80287314</v>
      </c>
      <c r="O51" s="169" t="s">
        <v>60</v>
      </c>
      <c r="T51">
        <v>8</v>
      </c>
      <c r="AA51">
        <v>8</v>
      </c>
    </row>
    <row r="52" spans="1:27">
      <c r="A52" s="92" t="s">
        <v>43</v>
      </c>
      <c r="B52" s="137" t="s">
        <v>349</v>
      </c>
      <c r="C52" s="24" t="s">
        <v>13</v>
      </c>
      <c r="D52" s="24" t="s">
        <v>21</v>
      </c>
      <c r="E52" s="24" t="str">
        <f>IFERROR(VLOOKUP(A52,bdbuscarv!$A$1:$M$101,5,FALSE),"no encontrado")</f>
        <v>Inversión</v>
      </c>
      <c r="F52" s="24" t="str">
        <f>IFERROR(VLOOKUP(A52,Tabla4[#All],6,FALSE),"no encontrado")</f>
        <v>Socio de proyecto</v>
      </c>
      <c r="G52" s="143" t="str">
        <f>IFERROR(VLOOKUP(A52,Tabla4[#All],7,FALSE),"no encontrado")</f>
        <v>SI</v>
      </c>
      <c r="H52" s="24">
        <f>IFERROR(VLOOKUP(A52,Tabla4[#All],8,FALSE),"no encontrado")</f>
        <v>7</v>
      </c>
      <c r="I52" s="156">
        <f>IFERROR(VLOOKUP(A52,Tabla4[#All],9,FALSE),"no encontrado")</f>
        <v>5</v>
      </c>
      <c r="J52" s="158">
        <f>IFERROR(VLOOKUP(A52,Tabla4[#All],$J$7,FALSE),"no encontrado")</f>
        <v>10000000</v>
      </c>
      <c r="K52" s="158">
        <f>IFERROR(VLOOKUP(A52,Tabla4[#All],$K$7,FALSE),"no encontrado")</f>
        <v>96199053</v>
      </c>
      <c r="L52" s="158">
        <f>IFERROR(VLOOKUP(A52,Tabla4[#All],$L$7,FALSE),"no encontrado")</f>
        <v>31746355</v>
      </c>
      <c r="M52" s="160">
        <f>IFERROR(VLOOKUP(A52,Tabla4[#All],$M$7,FALSE),"no encontrado")</f>
        <v>80063468</v>
      </c>
      <c r="O52" s="169" t="s">
        <v>112</v>
      </c>
      <c r="T52">
        <v>7</v>
      </c>
      <c r="AA52">
        <v>7</v>
      </c>
    </row>
    <row r="53" spans="1:27">
      <c r="A53" s="92" t="s">
        <v>106</v>
      </c>
      <c r="B53" s="137" t="s">
        <v>350</v>
      </c>
      <c r="C53" s="24" t="s">
        <v>13</v>
      </c>
      <c r="D53" s="24" t="s">
        <v>21</v>
      </c>
      <c r="E53" s="24" t="str">
        <f>IFERROR(VLOOKUP(A53,bdbuscarv!$A$1:$M$101,5,FALSE),"no encontrado")</f>
        <v>Inversión</v>
      </c>
      <c r="F53" s="24" t="str">
        <f>IFERROR(VLOOKUP(A53,Tabla4[#All],6,FALSE),"no encontrado")</f>
        <v>Socio de proyecto</v>
      </c>
      <c r="G53" s="143" t="str">
        <f>IFERROR(VLOOKUP(A53,Tabla4[#All],7,FALSE),"no encontrado")</f>
        <v>NO</v>
      </c>
      <c r="H53" s="24">
        <f>IFERROR(VLOOKUP(A53,Tabla4[#All],8,FALSE),"no encontrado")</f>
        <v>5</v>
      </c>
      <c r="I53" s="156">
        <f>IFERROR(VLOOKUP(A53,Tabla4[#All],9,FALSE),"no encontrado")</f>
        <v>7</v>
      </c>
      <c r="J53" s="158">
        <f>IFERROR(VLOOKUP(A53,Tabla4[#All],$J$7,FALSE),"no encontrado")</f>
        <v>1000000</v>
      </c>
      <c r="K53" s="158">
        <f>IFERROR(VLOOKUP(A53,Tabla4[#All],$K$7,FALSE),"no encontrado")</f>
        <v>71783742</v>
      </c>
      <c r="L53" s="158">
        <f>IFERROR(VLOOKUP(A53,Tabla4[#All],$L$7,FALSE),"no encontrado")</f>
        <v>64667814</v>
      </c>
      <c r="M53" s="160">
        <f>IFERROR(VLOOKUP(A53,Tabla4[#All],$M$7,FALSE),"no encontrado")</f>
        <v>70653180</v>
      </c>
      <c r="O53" s="169" t="s">
        <v>35</v>
      </c>
      <c r="T53">
        <v>10</v>
      </c>
      <c r="AA53">
        <v>10</v>
      </c>
    </row>
    <row r="54" spans="1:27">
      <c r="A54" s="92" t="s">
        <v>122</v>
      </c>
      <c r="B54" s="137" t="s">
        <v>351</v>
      </c>
      <c r="C54" s="24" t="s">
        <v>13</v>
      </c>
      <c r="D54" s="24" t="s">
        <v>25</v>
      </c>
      <c r="E54" s="24" t="str">
        <f>IFERROR(VLOOKUP(A54,bdbuscarv!$A$1:$M$101,5,FALSE),"no encontrado")</f>
        <v>Inversión</v>
      </c>
      <c r="F54" s="24" t="str">
        <f>IFERROR(VLOOKUP(A54,Tabla4[#All],6,FALSE),"no encontrado")</f>
        <v>Socio de proyecto</v>
      </c>
      <c r="G54" s="143" t="str">
        <f>IFERROR(VLOOKUP(A54,Tabla4[#All],7,FALSE),"no encontrado")</f>
        <v>NO</v>
      </c>
      <c r="H54" s="24">
        <f>IFERROR(VLOOKUP(A54,Tabla4[#All],8,FALSE),"no encontrado")</f>
        <v>3</v>
      </c>
      <c r="I54" s="156">
        <f>IFERROR(VLOOKUP(A54,Tabla4[#All],9,FALSE),"no encontrado")</f>
        <v>8</v>
      </c>
      <c r="J54" s="158">
        <f>IFERROR(VLOOKUP(A54,Tabla4[#All],$J$7,FALSE),"no encontrado")</f>
        <v>90000000</v>
      </c>
      <c r="K54" s="158">
        <f>IFERROR(VLOOKUP(A54,Tabla4[#All],$K$7,FALSE),"no encontrado")</f>
        <v>94913746</v>
      </c>
      <c r="L54" s="158">
        <f>IFERROR(VLOOKUP(A54,Tabla4[#All],$L$7,FALSE),"no encontrado")</f>
        <v>74083223</v>
      </c>
      <c r="M54" s="160">
        <f>IFERROR(VLOOKUP(A54,Tabla4[#All],$M$7,FALSE),"no encontrado")</f>
        <v>31617670</v>
      </c>
      <c r="O54" s="169" t="s">
        <v>69</v>
      </c>
      <c r="R54">
        <v>9</v>
      </c>
      <c r="AA54">
        <v>9</v>
      </c>
    </row>
    <row r="55" spans="1:27">
      <c r="A55" s="92" t="s">
        <v>121</v>
      </c>
      <c r="B55" s="137" t="s">
        <v>352</v>
      </c>
      <c r="C55" s="24" t="s">
        <v>13</v>
      </c>
      <c r="D55" s="24" t="s">
        <v>25</v>
      </c>
      <c r="E55" s="24" t="str">
        <f>IFERROR(VLOOKUP(A55,bdbuscarv!$A$1:$M$101,5,FALSE),"no encontrado")</f>
        <v>Trabajo</v>
      </c>
      <c r="F55" s="24" t="str">
        <f>IFERROR(VLOOKUP(A55,Tabla4[#All],6,FALSE),"no encontrado")</f>
        <v>Ofreciendo trabajo</v>
      </c>
      <c r="G55" s="143" t="str">
        <f>IFERROR(VLOOKUP(A55,Tabla4[#All],7,FALSE),"no encontrado")</f>
        <v>NO</v>
      </c>
      <c r="H55" s="24">
        <f>IFERROR(VLOOKUP(A55,Tabla4[#All],8,FALSE),"no encontrado")</f>
        <v>7</v>
      </c>
      <c r="I55" s="156">
        <f>IFERROR(VLOOKUP(A55,Tabla4[#All],9,FALSE),"no encontrado")</f>
        <v>9</v>
      </c>
      <c r="J55" s="158" t="str">
        <f>IFERROR(VLOOKUP(A55,Tabla4[#All],$J$7,FALSE),"no encontrado")</f>
        <v xml:space="preserve">$ - </v>
      </c>
      <c r="K55" s="158" t="str">
        <f>IFERROR(VLOOKUP(A55,Tabla4[#All],$K$7,FALSE),"no encontrado")</f>
        <v xml:space="preserve"> $ - </v>
      </c>
      <c r="L55" s="158">
        <f>IFERROR(VLOOKUP(A55,Tabla4[#All],$L$7,FALSE),"no encontrado")</f>
        <v>67753952</v>
      </c>
      <c r="M55" s="160">
        <f>IFERROR(VLOOKUP(A55,Tabla4[#All],$M$7,FALSE),"no encontrado")</f>
        <v>77205812</v>
      </c>
      <c r="O55" s="169" t="s">
        <v>81</v>
      </c>
      <c r="T55">
        <v>6</v>
      </c>
      <c r="AA55">
        <v>6</v>
      </c>
    </row>
    <row r="56" spans="1:27">
      <c r="A56" s="92" t="s">
        <v>78</v>
      </c>
      <c r="B56" s="137" t="s">
        <v>353</v>
      </c>
      <c r="C56" s="24" t="s">
        <v>32</v>
      </c>
      <c r="D56" s="24" t="s">
        <v>21</v>
      </c>
      <c r="E56" s="24" t="str">
        <f>IFERROR(VLOOKUP(A56,bdbuscarv!$A$1:$M$101,5,FALSE),"no encontrado")</f>
        <v>Inversión</v>
      </c>
      <c r="F56" s="24" t="str">
        <f>IFERROR(VLOOKUP(A56,Tabla4[#All],6,FALSE),"no encontrado")</f>
        <v>Socio de proyecto</v>
      </c>
      <c r="G56" s="143" t="str">
        <f>IFERROR(VLOOKUP(A56,Tabla4[#All],7,FALSE),"no encontrado")</f>
        <v>SI</v>
      </c>
      <c r="H56" s="24">
        <f>IFERROR(VLOOKUP(A56,Tabla4[#All],8,FALSE),"no encontrado")</f>
        <v>5</v>
      </c>
      <c r="I56" s="156">
        <f>IFERROR(VLOOKUP(A56,Tabla4[#All],9,FALSE),"no encontrado")</f>
        <v>6</v>
      </c>
      <c r="J56" s="158">
        <f>IFERROR(VLOOKUP(A56,Tabla4[#All],$J$7,FALSE),"no encontrado")</f>
        <v>30000000</v>
      </c>
      <c r="K56" s="158">
        <f>IFERROR(VLOOKUP(A56,Tabla4[#All],$K$7,FALSE),"no encontrado")</f>
        <v>33477783</v>
      </c>
      <c r="L56" s="158" t="str">
        <f>IFERROR(VLOOKUP(A56,Tabla4[#All],$L$7,FALSE),"no encontrado")</f>
        <v xml:space="preserve"> $ - </v>
      </c>
      <c r="M56" s="160">
        <f>IFERROR(VLOOKUP(A56,Tabla4[#All],$M$7,FALSE),"no encontrado")</f>
        <v>27651635</v>
      </c>
      <c r="O56" s="169" t="s">
        <v>83</v>
      </c>
      <c r="T56">
        <v>10</v>
      </c>
      <c r="AA56">
        <v>10</v>
      </c>
    </row>
    <row r="57" spans="1:27">
      <c r="A57" s="92" t="s">
        <v>82</v>
      </c>
      <c r="B57" s="137" t="s">
        <v>354</v>
      </c>
      <c r="C57" s="24" t="s">
        <v>13</v>
      </c>
      <c r="D57" s="24" t="s">
        <v>9</v>
      </c>
      <c r="E57" s="24" t="str">
        <f>IFERROR(VLOOKUP(A57,bdbuscarv!$A$1:$M$101,5,FALSE),"no encontrado")</f>
        <v>Inversión</v>
      </c>
      <c r="F57" s="24" t="str">
        <f>IFERROR(VLOOKUP(A57,Tabla4[#All],6,FALSE),"no encontrado")</f>
        <v>Socio capitalista</v>
      </c>
      <c r="G57" s="143" t="str">
        <f>IFERROR(VLOOKUP(A57,Tabla4[#All],7,FALSE),"no encontrado")</f>
        <v>SI</v>
      </c>
      <c r="H57" s="24">
        <f>IFERROR(VLOOKUP(A57,Tabla4[#All],8,FALSE),"no encontrado")</f>
        <v>9</v>
      </c>
      <c r="I57" s="156">
        <f>IFERROR(VLOOKUP(A57,Tabla4[#All],9,FALSE),"no encontrado")</f>
        <v>9</v>
      </c>
      <c r="J57" s="158">
        <f>IFERROR(VLOOKUP(A57,Tabla4[#All],$J$7,FALSE),"no encontrado")</f>
        <v>50000000</v>
      </c>
      <c r="K57" s="158">
        <f>IFERROR(VLOOKUP(A57,Tabla4[#All],$K$7,FALSE),"no encontrado")</f>
        <v>2702447</v>
      </c>
      <c r="L57" s="158" t="str">
        <f>IFERROR(VLOOKUP(A57,Tabla4[#All],$L$7,FALSE),"no encontrado")</f>
        <v xml:space="preserve"> $ - </v>
      </c>
      <c r="M57" s="160">
        <f>IFERROR(VLOOKUP(A57,Tabla4[#All],$M$7,FALSE),"no encontrado")</f>
        <v>44671760</v>
      </c>
      <c r="O57" s="169" t="s">
        <v>88</v>
      </c>
      <c r="Q57">
        <v>5</v>
      </c>
      <c r="AA57">
        <v>5</v>
      </c>
    </row>
    <row r="58" spans="1:27">
      <c r="A58" s="92" t="s">
        <v>95</v>
      </c>
      <c r="B58" s="137" t="s">
        <v>355</v>
      </c>
      <c r="C58" s="25" t="s">
        <v>96</v>
      </c>
      <c r="D58" s="24" t="s">
        <v>21</v>
      </c>
      <c r="E58" s="24" t="str">
        <f>IFERROR(VLOOKUP(A58,bdbuscarv!$A$1:$M$101,5,FALSE),"no encontrado")</f>
        <v>Inversión</v>
      </c>
      <c r="F58" s="24" t="str">
        <f>IFERROR(VLOOKUP(A58,Tabla4[#All],6,FALSE),"no encontrado")</f>
        <v>Socio capitalista</v>
      </c>
      <c r="G58" s="143" t="str">
        <f>IFERROR(VLOOKUP(A58,Tabla4[#All],7,FALSE),"no encontrado")</f>
        <v>NO</v>
      </c>
      <c r="H58" s="24">
        <f>IFERROR(VLOOKUP(A58,Tabla4[#All],8,FALSE),"no encontrado")</f>
        <v>6</v>
      </c>
      <c r="I58" s="156">
        <f>IFERROR(VLOOKUP(A58,Tabla4[#All],9,FALSE),"no encontrado")</f>
        <v>8</v>
      </c>
      <c r="J58" s="158">
        <f>IFERROR(VLOOKUP(A58,Tabla4[#All],$J$7,FALSE),"no encontrado")</f>
        <v>50000000</v>
      </c>
      <c r="K58" s="158">
        <f>IFERROR(VLOOKUP(A58,Tabla4[#All],$K$7,FALSE),"no encontrado")</f>
        <v>70787848</v>
      </c>
      <c r="L58" s="158">
        <f>IFERROR(VLOOKUP(A58,Tabla4[#All],$L$7,FALSE),"no encontrado")</f>
        <v>33368202</v>
      </c>
      <c r="M58" s="160">
        <f>IFERROR(VLOOKUP(A58,Tabla4[#All],$M$7,FALSE),"no encontrado")</f>
        <v>43277527</v>
      </c>
      <c r="O58" s="169" t="s">
        <v>114</v>
      </c>
      <c r="V58">
        <v>10</v>
      </c>
      <c r="AA58">
        <v>10</v>
      </c>
    </row>
    <row r="59" spans="1:27">
      <c r="A59" s="92" t="s">
        <v>31</v>
      </c>
      <c r="B59" s="137" t="s">
        <v>356</v>
      </c>
      <c r="C59" s="24" t="s">
        <v>32</v>
      </c>
      <c r="D59" s="24" t="s">
        <v>21</v>
      </c>
      <c r="E59" s="24" t="str">
        <f>IFERROR(VLOOKUP(A59,bdbuscarv!$A$1:$M$101,5,FALSE),"no encontrado")</f>
        <v>Trabajo</v>
      </c>
      <c r="F59" s="24" t="str">
        <f>IFERROR(VLOOKUP(A59,Tabla4[#All],6,FALSE),"no encontrado")</f>
        <v>Ofreciendo trabajo</v>
      </c>
      <c r="G59" s="143" t="str">
        <f>IFERROR(VLOOKUP(A59,Tabla4[#All],7,FALSE),"no encontrado")</f>
        <v>SI</v>
      </c>
      <c r="H59" s="24">
        <f>IFERROR(VLOOKUP(A59,Tabla4[#All],8,FALSE),"no encontrado")</f>
        <v>7</v>
      </c>
      <c r="I59" s="156">
        <f>IFERROR(VLOOKUP(A59,Tabla4[#All],9,FALSE),"no encontrado")</f>
        <v>5</v>
      </c>
      <c r="J59" s="158" t="str">
        <f>IFERROR(VLOOKUP(A59,Tabla4[#All],$J$7,FALSE),"no encontrado")</f>
        <v xml:space="preserve">$ - </v>
      </c>
      <c r="K59" s="158" t="str">
        <f>IFERROR(VLOOKUP(A59,Tabla4[#All],$K$7,FALSE),"no encontrado")</f>
        <v xml:space="preserve"> $ - </v>
      </c>
      <c r="L59" s="158">
        <f>IFERROR(VLOOKUP(A59,Tabla4[#All],$L$7,FALSE),"no encontrado")</f>
        <v>46563396</v>
      </c>
      <c r="M59" s="160">
        <f>IFERROR(VLOOKUP(A59,Tabla4[#All],$M$7,FALSE),"no encontrado")</f>
        <v>63313535</v>
      </c>
      <c r="O59" s="169" t="s">
        <v>46</v>
      </c>
      <c r="T59">
        <v>7</v>
      </c>
      <c r="AA59">
        <v>7</v>
      </c>
    </row>
    <row r="60" spans="1:27">
      <c r="A60" s="92" t="s">
        <v>111</v>
      </c>
      <c r="B60" s="137" t="s">
        <v>357</v>
      </c>
      <c r="C60" s="24" t="s">
        <v>72</v>
      </c>
      <c r="D60" s="24" t="s">
        <v>21</v>
      </c>
      <c r="E60" s="24" t="str">
        <f>IFERROR(VLOOKUP(A60,bdbuscarv!$A$1:$M$101,5,FALSE),"no encontrado")</f>
        <v>Inversión</v>
      </c>
      <c r="F60" s="24" t="str">
        <f>IFERROR(VLOOKUP(A60,Tabla4[#All],6,FALSE),"no encontrado")</f>
        <v>Socio capitalista</v>
      </c>
      <c r="G60" s="143" t="str">
        <f>IFERROR(VLOOKUP(A60,Tabla4[#All],7,FALSE),"no encontrado")</f>
        <v>NO</v>
      </c>
      <c r="H60" s="24">
        <f>IFERROR(VLOOKUP(A60,Tabla4[#All],8,FALSE),"no encontrado")</f>
        <v>5</v>
      </c>
      <c r="I60" s="156">
        <f>IFERROR(VLOOKUP(A60,Tabla4[#All],9,FALSE),"no encontrado")</f>
        <v>6</v>
      </c>
      <c r="J60" s="158">
        <f>IFERROR(VLOOKUP(A60,Tabla4[#All],$J$7,FALSE),"no encontrado")</f>
        <v>20000000</v>
      </c>
      <c r="K60" s="158">
        <f>IFERROR(VLOOKUP(A60,Tabla4[#All],$K$7,FALSE),"no encontrado")</f>
        <v>40064620</v>
      </c>
      <c r="L60" s="158">
        <f>IFERROR(VLOOKUP(A60,Tabla4[#All],$L$7,FALSE),"no encontrado")</f>
        <v>98137438</v>
      </c>
      <c r="M60" s="160" t="str">
        <f>IFERROR(VLOOKUP(A60,Tabla4[#All],$M$7,FALSE),"no encontrado")</f>
        <v xml:space="preserve"> $ - </v>
      </c>
      <c r="O60" s="169" t="s">
        <v>98</v>
      </c>
      <c r="T60">
        <v>7</v>
      </c>
      <c r="AA60">
        <v>7</v>
      </c>
    </row>
    <row r="61" spans="1:27">
      <c r="A61" s="92" t="s">
        <v>81</v>
      </c>
      <c r="B61" s="137" t="s">
        <v>358</v>
      </c>
      <c r="C61" s="24" t="s">
        <v>13</v>
      </c>
      <c r="D61" s="24" t="s">
        <v>21</v>
      </c>
      <c r="E61" s="24" t="str">
        <f>IFERROR(VLOOKUP(A61,bdbuscarv!$A$1:$M$101,5,FALSE),"no encontrado")</f>
        <v>Inversión</v>
      </c>
      <c r="F61" s="24" t="str">
        <f>IFERROR(VLOOKUP(A61,Tabla4[#All],6,FALSE),"no encontrado")</f>
        <v>Socio de proyecto</v>
      </c>
      <c r="G61" s="143" t="str">
        <f>IFERROR(VLOOKUP(A61,Tabla4[#All],7,FALSE),"no encontrado")</f>
        <v>NO</v>
      </c>
      <c r="H61" s="24">
        <f>IFERROR(VLOOKUP(A61,Tabla4[#All],8,FALSE),"no encontrado")</f>
        <v>4</v>
      </c>
      <c r="I61" s="156">
        <f>IFERROR(VLOOKUP(A61,Tabla4[#All],9,FALSE),"no encontrado")</f>
        <v>6</v>
      </c>
      <c r="J61" s="158">
        <f>IFERROR(VLOOKUP(A61,Tabla4[#All],$J$7,FALSE),"no encontrado")</f>
        <v>30000000</v>
      </c>
      <c r="K61" s="158">
        <f>IFERROR(VLOOKUP(A61,Tabla4[#All],$K$7,FALSE),"no encontrado")</f>
        <v>45289360</v>
      </c>
      <c r="L61" s="158" t="str">
        <f>IFERROR(VLOOKUP(A61,Tabla4[#All],$L$7,FALSE),"no encontrado")</f>
        <v xml:space="preserve"> $ - </v>
      </c>
      <c r="M61" s="160">
        <f>IFERROR(VLOOKUP(A61,Tabla4[#All],$M$7,FALSE),"no encontrado")</f>
        <v>46980526</v>
      </c>
      <c r="O61" s="169" t="s">
        <v>122</v>
      </c>
      <c r="T61">
        <v>8</v>
      </c>
      <c r="AA61">
        <v>8</v>
      </c>
    </row>
    <row r="62" spans="1:27">
      <c r="A62" s="92" t="s">
        <v>50</v>
      </c>
      <c r="B62" s="137" t="s">
        <v>359</v>
      </c>
      <c r="C62" s="24" t="s">
        <v>13</v>
      </c>
      <c r="D62" s="24" t="s">
        <v>25</v>
      </c>
      <c r="E62" s="24" t="str">
        <f>IFERROR(VLOOKUP(A62,bdbuscarv!$A$1:$M$101,5,FALSE),"no encontrado")</f>
        <v>Inversión</v>
      </c>
      <c r="F62" s="24" t="str">
        <f>IFERROR(VLOOKUP(A62,Tabla4[#All],6,FALSE),"no encontrado")</f>
        <v>Socio de proyecto</v>
      </c>
      <c r="G62" s="143" t="str">
        <f>IFERROR(VLOOKUP(A62,Tabla4[#All],7,FALSE),"no encontrado")</f>
        <v>NO</v>
      </c>
      <c r="H62" s="24">
        <f>IFERROR(VLOOKUP(A62,Tabla4[#All],8,FALSE),"no encontrado")</f>
        <v>7</v>
      </c>
      <c r="I62" s="156">
        <f>IFERROR(VLOOKUP(A62,Tabla4[#All],9,FALSE),"no encontrado")</f>
        <v>5</v>
      </c>
      <c r="J62" s="158">
        <f>IFERROR(VLOOKUP(A62,Tabla4[#All],$J$7,FALSE),"no encontrado")</f>
        <v>30000000</v>
      </c>
      <c r="K62" s="158">
        <f>IFERROR(VLOOKUP(A62,Tabla4[#All],$K$7,FALSE),"no encontrado")</f>
        <v>34397393</v>
      </c>
      <c r="L62" s="158">
        <f>IFERROR(VLOOKUP(A62,Tabla4[#All],$L$7,FALSE),"no encontrado")</f>
        <v>72192037</v>
      </c>
      <c r="M62" s="160">
        <f>IFERROR(VLOOKUP(A62,Tabla4[#All],$M$7,FALSE),"no encontrado")</f>
        <v>21247716</v>
      </c>
      <c r="O62" s="169" t="s">
        <v>105</v>
      </c>
      <c r="T62">
        <v>7</v>
      </c>
      <c r="AA62">
        <v>7</v>
      </c>
    </row>
    <row r="63" spans="1:27">
      <c r="A63" s="92" t="s">
        <v>123</v>
      </c>
      <c r="B63" s="137" t="s">
        <v>360</v>
      </c>
      <c r="C63" s="24" t="s">
        <v>13</v>
      </c>
      <c r="D63" s="24" t="s">
        <v>21</v>
      </c>
      <c r="E63" s="24" t="str">
        <f>IFERROR(VLOOKUP(A63,bdbuscarv!$A$1:$M$101,5,FALSE),"no encontrado")</f>
        <v>Trabajo</v>
      </c>
      <c r="F63" s="24" t="str">
        <f>IFERROR(VLOOKUP(A63,Tabla4[#All],6,FALSE),"no encontrado")</f>
        <v>Buscando trabajo</v>
      </c>
      <c r="G63" s="143" t="str">
        <f>IFERROR(VLOOKUP(A63,Tabla4[#All],7,FALSE),"no encontrado")</f>
        <v>SI</v>
      </c>
      <c r="H63" s="24">
        <f>IFERROR(VLOOKUP(A63,Tabla4[#All],8,FALSE),"no encontrado")</f>
        <v>3</v>
      </c>
      <c r="I63" s="156">
        <f>IFERROR(VLOOKUP(A63,Tabla4[#All],9,FALSE),"no encontrado")</f>
        <v>9</v>
      </c>
      <c r="J63" s="158" t="str">
        <f>IFERROR(VLOOKUP(A63,Tabla4[#All],$J$7,FALSE),"no encontrado")</f>
        <v xml:space="preserve">$ - </v>
      </c>
      <c r="K63" s="158" t="str">
        <f>IFERROR(VLOOKUP(A63,Tabla4[#All],$K$7,FALSE),"no encontrado")</f>
        <v xml:space="preserve"> $ - </v>
      </c>
      <c r="L63" s="158">
        <f>IFERROR(VLOOKUP(A63,Tabla4[#All],$L$7,FALSE),"no encontrado")</f>
        <v>69870077</v>
      </c>
      <c r="M63" s="160">
        <f>IFERROR(VLOOKUP(A63,Tabla4[#All],$M$7,FALSE),"no encontrado")</f>
        <v>98441580</v>
      </c>
      <c r="O63" s="169" t="s">
        <v>64</v>
      </c>
      <c r="T63">
        <v>6</v>
      </c>
      <c r="AA63">
        <v>6</v>
      </c>
    </row>
    <row r="64" spans="1:27">
      <c r="A64" s="92" t="s">
        <v>26</v>
      </c>
      <c r="B64" s="137" t="s">
        <v>361</v>
      </c>
      <c r="C64" s="25" t="s">
        <v>28</v>
      </c>
      <c r="D64" s="24" t="s">
        <v>25</v>
      </c>
      <c r="E64" s="24" t="str">
        <f>IFERROR(VLOOKUP(A64,bdbuscarv!$A$1:$M$101,5,FALSE),"no encontrado")</f>
        <v>Inversión</v>
      </c>
      <c r="F64" s="24" t="str">
        <f>IFERROR(VLOOKUP(A64,Tabla4[#All],6,FALSE),"no encontrado")</f>
        <v>Socio de proyecto</v>
      </c>
      <c r="G64" s="143" t="str">
        <f>IFERROR(VLOOKUP(A64,Tabla4[#All],7,FALSE),"no encontrado")</f>
        <v>NO</v>
      </c>
      <c r="H64" s="24">
        <f>IFERROR(VLOOKUP(A64,Tabla4[#All],8,FALSE),"no encontrado")</f>
        <v>3</v>
      </c>
      <c r="I64" s="156">
        <f>IFERROR(VLOOKUP(A64,Tabla4[#All],9,FALSE),"no encontrado")</f>
        <v>6</v>
      </c>
      <c r="J64" s="158">
        <f>IFERROR(VLOOKUP(A64,Tabla4[#All],$J$7,FALSE),"no encontrado")</f>
        <v>1000000</v>
      </c>
      <c r="K64" s="158">
        <f>IFERROR(VLOOKUP(A64,Tabla4[#All],$K$7,FALSE),"no encontrado")</f>
        <v>34126405</v>
      </c>
      <c r="L64" s="158">
        <f>IFERROR(VLOOKUP(A64,Tabla4[#All],$L$7,FALSE),"no encontrado")</f>
        <v>88265167</v>
      </c>
      <c r="M64" s="160">
        <f>IFERROR(VLOOKUP(A64,Tabla4[#All],$M$7,FALSE),"no encontrado")</f>
        <v>56002928</v>
      </c>
      <c r="O64" s="169" t="s">
        <v>58</v>
      </c>
      <c r="S64">
        <v>9</v>
      </c>
      <c r="AA64">
        <v>9</v>
      </c>
    </row>
    <row r="65" spans="1:27">
      <c r="A65" s="92" t="s">
        <v>41</v>
      </c>
      <c r="B65" s="137" t="s">
        <v>362</v>
      </c>
      <c r="C65" s="24" t="s">
        <v>13</v>
      </c>
      <c r="D65" s="24" t="s">
        <v>21</v>
      </c>
      <c r="E65" s="24" t="str">
        <f>IFERROR(VLOOKUP(A65,bdbuscarv!$A$1:$M$101,5,FALSE),"no encontrado")</f>
        <v>Inversión</v>
      </c>
      <c r="F65" s="24" t="str">
        <f>IFERROR(VLOOKUP(A65,Tabla4[#All],6,FALSE),"no encontrado")</f>
        <v>Socio capitalista</v>
      </c>
      <c r="G65" s="143" t="str">
        <f>IFERROR(VLOOKUP(A65,Tabla4[#All],7,FALSE),"no encontrado")</f>
        <v>NO</v>
      </c>
      <c r="H65" s="24">
        <f>IFERROR(VLOOKUP(A65,Tabla4[#All],8,FALSE),"no encontrado")</f>
        <v>7</v>
      </c>
      <c r="I65" s="156">
        <f>IFERROR(VLOOKUP(A65,Tabla4[#All],9,FALSE),"no encontrado")</f>
        <v>10</v>
      </c>
      <c r="J65" s="158">
        <f>IFERROR(VLOOKUP(A65,Tabla4[#All],$J$7,FALSE),"no encontrado")</f>
        <v>1000000</v>
      </c>
      <c r="K65" s="158">
        <f>IFERROR(VLOOKUP(A65,Tabla4[#All],$K$7,FALSE),"no encontrado")</f>
        <v>53008255</v>
      </c>
      <c r="L65" s="158">
        <f>IFERROR(VLOOKUP(A65,Tabla4[#All],$L$7,FALSE),"no encontrado")</f>
        <v>46917910</v>
      </c>
      <c r="M65" s="160">
        <f>IFERROR(VLOOKUP(A65,Tabla4[#All],$M$7,FALSE),"no encontrado")</f>
        <v>47557281</v>
      </c>
      <c r="O65" s="169" t="s">
        <v>126</v>
      </c>
      <c r="T65">
        <v>6</v>
      </c>
      <c r="AA65">
        <v>6</v>
      </c>
    </row>
    <row r="66" spans="1:27">
      <c r="A66" s="92" t="s">
        <v>73</v>
      </c>
      <c r="B66" s="137" t="s">
        <v>363</v>
      </c>
      <c r="C66" s="24" t="s">
        <v>13</v>
      </c>
      <c r="D66" s="24" t="s">
        <v>21</v>
      </c>
      <c r="E66" s="24" t="str">
        <f>IFERROR(VLOOKUP(A66,bdbuscarv!$A$1:$M$101,5,FALSE),"no encontrado")</f>
        <v>Trabajo</v>
      </c>
      <c r="F66" s="24" t="str">
        <f>IFERROR(VLOOKUP(A66,Tabla4[#All],6,FALSE),"no encontrado")</f>
        <v>Buscando trabajo</v>
      </c>
      <c r="G66" s="143" t="str">
        <f>IFERROR(VLOOKUP(A66,Tabla4[#All],7,FALSE),"no encontrado")</f>
        <v>NO</v>
      </c>
      <c r="H66" s="24">
        <f>IFERROR(VLOOKUP(A66,Tabla4[#All],8,FALSE),"no encontrado")</f>
        <v>5</v>
      </c>
      <c r="I66" s="156">
        <f>IFERROR(VLOOKUP(A66,Tabla4[#All],9,FALSE),"no encontrado")</f>
        <v>9</v>
      </c>
      <c r="J66" s="158" t="str">
        <f>IFERROR(VLOOKUP(A66,Tabla4[#All],$J$7,FALSE),"no encontrado")</f>
        <v xml:space="preserve">$ - </v>
      </c>
      <c r="K66" s="158" t="str">
        <f>IFERROR(VLOOKUP(A66,Tabla4[#All],$K$7,FALSE),"no encontrado")</f>
        <v xml:space="preserve"> $ - </v>
      </c>
      <c r="L66" s="158" t="str">
        <f>IFERROR(VLOOKUP(A66,Tabla4[#All],$L$7,FALSE),"no encontrado")</f>
        <v xml:space="preserve"> $ - </v>
      </c>
      <c r="M66" s="160">
        <f>IFERROR(VLOOKUP(A66,Tabla4[#All],$M$7,FALSE),"no encontrado")</f>
        <v>22675260</v>
      </c>
      <c r="O66" s="169" t="s">
        <v>16</v>
      </c>
      <c r="T66">
        <v>9</v>
      </c>
      <c r="AA66">
        <v>9</v>
      </c>
    </row>
    <row r="67" spans="1:27">
      <c r="A67" s="92" t="s">
        <v>88</v>
      </c>
      <c r="B67" s="137" t="s">
        <v>364</v>
      </c>
      <c r="C67" s="25" t="s">
        <v>89</v>
      </c>
      <c r="D67" s="24" t="s">
        <v>21</v>
      </c>
      <c r="E67" s="24" t="str">
        <f>IFERROR(VLOOKUP(A67,bdbuscarv!$A$1:$M$101,5,FALSE),"no encontrado")</f>
        <v>Inversión</v>
      </c>
      <c r="F67" s="24" t="str">
        <f>IFERROR(VLOOKUP(A67,Tabla4[#All],6,FALSE),"no encontrado")</f>
        <v>Socio capitalista</v>
      </c>
      <c r="G67" s="143" t="str">
        <f>IFERROR(VLOOKUP(A67,Tabla4[#All],7,FALSE),"no encontrado")</f>
        <v>NO</v>
      </c>
      <c r="H67" s="24">
        <f>IFERROR(VLOOKUP(A67,Tabla4[#All],8,FALSE),"no encontrado")</f>
        <v>9</v>
      </c>
      <c r="I67" s="156">
        <f>IFERROR(VLOOKUP(A67,Tabla4[#All],9,FALSE),"no encontrado")</f>
        <v>5</v>
      </c>
      <c r="J67" s="158">
        <f>IFERROR(VLOOKUP(A67,Tabla4[#All],$J$7,FALSE),"no encontrado")</f>
        <v>100000000</v>
      </c>
      <c r="K67" s="158">
        <f>IFERROR(VLOOKUP(A67,Tabla4[#All],$K$7,FALSE),"no encontrado")</f>
        <v>94688720</v>
      </c>
      <c r="L67" s="158">
        <f>IFERROR(VLOOKUP(A67,Tabla4[#All],$L$7,FALSE),"no encontrado")</f>
        <v>86323763</v>
      </c>
      <c r="M67" s="160">
        <f>IFERROR(VLOOKUP(A67,Tabla4[#All],$M$7,FALSE),"no encontrado")</f>
        <v>20929788</v>
      </c>
      <c r="O67" s="169" t="s">
        <v>79</v>
      </c>
      <c r="T67">
        <v>7</v>
      </c>
      <c r="AA67">
        <v>7</v>
      </c>
    </row>
    <row r="68" spans="1:27">
      <c r="A68" s="92" t="s">
        <v>133</v>
      </c>
      <c r="B68" s="137" t="s">
        <v>365</v>
      </c>
      <c r="C68" s="24" t="s">
        <v>13</v>
      </c>
      <c r="D68" s="24" t="s">
        <v>54</v>
      </c>
      <c r="E68" s="24" t="str">
        <f>IFERROR(VLOOKUP(A68,bdbuscarv!$A$1:$M$101,5,FALSE),"no encontrado")</f>
        <v>Conocimiento</v>
      </c>
      <c r="F68" s="24" t="str">
        <f>IFERROR(VLOOKUP(A68,Tabla4[#All],6,FALSE),"no encontrado")</f>
        <v>Académico</v>
      </c>
      <c r="G68" s="143" t="str">
        <f>IFERROR(VLOOKUP(A68,Tabla4[#All],7,FALSE),"no encontrado")</f>
        <v>NO</v>
      </c>
      <c r="H68" s="24">
        <f>IFERROR(VLOOKUP(A68,Tabla4[#All],8,FALSE),"no encontrado")</f>
        <v>4</v>
      </c>
      <c r="I68" s="156">
        <f>IFERROR(VLOOKUP(A68,Tabla4[#All],9,FALSE),"no encontrado")</f>
        <v>8</v>
      </c>
      <c r="J68" s="158" t="str">
        <f>IFERROR(VLOOKUP(A68,Tabla4[#All],$J$7,FALSE),"no encontrado")</f>
        <v xml:space="preserve">$ - </v>
      </c>
      <c r="K68" s="158" t="str">
        <f>IFERROR(VLOOKUP(A68,Tabla4[#All],$K$7,FALSE),"no encontrado")</f>
        <v xml:space="preserve"> $ - </v>
      </c>
      <c r="L68" s="158">
        <f>IFERROR(VLOOKUP(A68,Tabla4[#All],$L$7,FALSE),"no encontrado")</f>
        <v>96750826</v>
      </c>
      <c r="M68" s="160">
        <f>IFERROR(VLOOKUP(A68,Tabla4[#All],$M$7,FALSE),"no encontrado")</f>
        <v>31435769</v>
      </c>
      <c r="O68" s="169" t="s">
        <v>42</v>
      </c>
      <c r="T68">
        <v>10</v>
      </c>
      <c r="AA68">
        <v>10</v>
      </c>
    </row>
    <row r="69" spans="1:27">
      <c r="A69" s="92" t="s">
        <v>67</v>
      </c>
      <c r="B69" s="137" t="s">
        <v>366</v>
      </c>
      <c r="C69" s="24" t="s">
        <v>13</v>
      </c>
      <c r="D69" s="24" t="s">
        <v>25</v>
      </c>
      <c r="E69" s="24" t="str">
        <f>IFERROR(VLOOKUP(A69,bdbuscarv!$A$1:$M$101,5,FALSE),"no encontrado")</f>
        <v>Inversión</v>
      </c>
      <c r="F69" s="24" t="str">
        <f>IFERROR(VLOOKUP(A69,Tabla4[#All],6,FALSE),"no encontrado")</f>
        <v>Socio capitalista</v>
      </c>
      <c r="G69" s="143" t="str">
        <f>IFERROR(VLOOKUP(A69,Tabla4[#All],7,FALSE),"no encontrado")</f>
        <v>NO</v>
      </c>
      <c r="H69" s="24">
        <f>IFERROR(VLOOKUP(A69,Tabla4[#All],8,FALSE),"no encontrado")</f>
        <v>5</v>
      </c>
      <c r="I69" s="156">
        <f>IFERROR(VLOOKUP(A69,Tabla4[#All],9,FALSE),"no encontrado")</f>
        <v>10</v>
      </c>
      <c r="J69" s="158">
        <f>IFERROR(VLOOKUP(A69,Tabla4[#All],$J$7,FALSE),"no encontrado")</f>
        <v>10000000</v>
      </c>
      <c r="K69" s="158">
        <f>IFERROR(VLOOKUP(A69,Tabla4[#All],$K$7,FALSE),"no encontrado")</f>
        <v>89686683</v>
      </c>
      <c r="L69" s="158">
        <f>IFERROR(VLOOKUP(A69,Tabla4[#All],$L$7,FALSE),"no encontrado")</f>
        <v>62448793</v>
      </c>
      <c r="M69" s="160">
        <f>IFERROR(VLOOKUP(A69,Tabla4[#All],$M$7,FALSE),"no encontrado")</f>
        <v>26812600</v>
      </c>
      <c r="O69" s="169" t="s">
        <v>131</v>
      </c>
      <c r="T69">
        <v>9</v>
      </c>
      <c r="AA69">
        <v>9</v>
      </c>
    </row>
    <row r="70" spans="1:27">
      <c r="A70" s="92" t="s">
        <v>84</v>
      </c>
      <c r="B70" s="137" t="s">
        <v>367</v>
      </c>
      <c r="C70" s="24" t="s">
        <v>13</v>
      </c>
      <c r="D70" s="24" t="s">
        <v>21</v>
      </c>
      <c r="E70" s="24" t="str">
        <f>IFERROR(VLOOKUP(A70,bdbuscarv!$A$1:$M$101,5,FALSE),"no encontrado")</f>
        <v>Inversión</v>
      </c>
      <c r="F70" s="24" t="str">
        <f>IFERROR(VLOOKUP(A70,Tabla4[#All],6,FALSE),"no encontrado")</f>
        <v>Socio de proyecto</v>
      </c>
      <c r="G70" s="143" t="str">
        <f>IFERROR(VLOOKUP(A70,Tabla4[#All],7,FALSE),"no encontrado")</f>
        <v>NO</v>
      </c>
      <c r="H70" s="24">
        <f>IFERROR(VLOOKUP(A70,Tabla4[#All],8,FALSE),"no encontrado")</f>
        <v>3</v>
      </c>
      <c r="I70" s="156">
        <f>IFERROR(VLOOKUP(A70,Tabla4[#All],9,FALSE),"no encontrado")</f>
        <v>10</v>
      </c>
      <c r="J70" s="158">
        <f>IFERROR(VLOOKUP(A70,Tabla4[#All],$J$7,FALSE),"no encontrado")</f>
        <v>30000000</v>
      </c>
      <c r="K70" s="158">
        <f>IFERROR(VLOOKUP(A70,Tabla4[#All],$K$7,FALSE),"no encontrado")</f>
        <v>32890743</v>
      </c>
      <c r="L70" s="158" t="str">
        <f>IFERROR(VLOOKUP(A70,Tabla4[#All],$L$7,FALSE),"no encontrado")</f>
        <v xml:space="preserve"> $ - </v>
      </c>
      <c r="M70" s="160">
        <f>IFERROR(VLOOKUP(A70,Tabla4[#All],$M$7,FALSE),"no encontrado")</f>
        <v>39864620</v>
      </c>
      <c r="O70" s="169" t="s">
        <v>45</v>
      </c>
      <c r="T70">
        <v>10</v>
      </c>
      <c r="AA70">
        <v>10</v>
      </c>
    </row>
    <row r="71" spans="1:27">
      <c r="A71" s="92" t="s">
        <v>38</v>
      </c>
      <c r="B71" s="137" t="s">
        <v>368</v>
      </c>
      <c r="C71" s="24" t="s">
        <v>13</v>
      </c>
      <c r="D71" s="24" t="s">
        <v>25</v>
      </c>
      <c r="E71" s="24" t="str">
        <f>IFERROR(VLOOKUP(A71,bdbuscarv!$A$1:$M$101,5,FALSE),"no encontrado")</f>
        <v>Inversión</v>
      </c>
      <c r="F71" s="24" t="str">
        <f>IFERROR(VLOOKUP(A71,Tabla4[#All],6,FALSE),"no encontrado")</f>
        <v>Socio capitalista</v>
      </c>
      <c r="G71" s="143" t="str">
        <f>IFERROR(VLOOKUP(A71,Tabla4[#All],7,FALSE),"no encontrado")</f>
        <v>NO</v>
      </c>
      <c r="H71" s="24">
        <f>IFERROR(VLOOKUP(A71,Tabla4[#All],8,FALSE),"no encontrado")</f>
        <v>3</v>
      </c>
      <c r="I71" s="156">
        <f>IFERROR(VLOOKUP(A71,Tabla4[#All],9,FALSE),"no encontrado")</f>
        <v>10</v>
      </c>
      <c r="J71" s="158">
        <f>IFERROR(VLOOKUP(A71,Tabla4[#All],$J$7,FALSE),"no encontrado")</f>
        <v>10000000</v>
      </c>
      <c r="K71" s="158">
        <f>IFERROR(VLOOKUP(A71,Tabla4[#All],$K$7,FALSE),"no encontrado")</f>
        <v>32370896</v>
      </c>
      <c r="L71" s="158">
        <f>IFERROR(VLOOKUP(A71,Tabla4[#All],$L$7,FALSE),"no encontrado")</f>
        <v>96066942</v>
      </c>
      <c r="M71" s="160">
        <f>IFERROR(VLOOKUP(A71,Tabla4[#All],$M$7,FALSE),"no encontrado")</f>
        <v>3767736</v>
      </c>
      <c r="O71" s="169" t="s">
        <v>103</v>
      </c>
      <c r="T71">
        <v>10</v>
      </c>
      <c r="AA71">
        <v>10</v>
      </c>
    </row>
    <row r="72" spans="1:27">
      <c r="A72" s="92" t="s">
        <v>24</v>
      </c>
      <c r="B72" s="137" t="s">
        <v>369</v>
      </c>
      <c r="C72" s="24" t="s">
        <v>13</v>
      </c>
      <c r="D72" s="24" t="s">
        <v>25</v>
      </c>
      <c r="E72" s="24" t="str">
        <f>IFERROR(VLOOKUP(A72,bdbuscarv!$A$1:$M$101,5,FALSE),"no encontrado")</f>
        <v>Trabajo</v>
      </c>
      <c r="F72" s="24" t="str">
        <f>IFERROR(VLOOKUP(A72,Tabla4[#All],6,FALSE),"no encontrado")</f>
        <v>Ofreciendo trabajo</v>
      </c>
      <c r="G72" s="143" t="str">
        <f>IFERROR(VLOOKUP(A72,Tabla4[#All],7,FALSE),"no encontrado")</f>
        <v>NO</v>
      </c>
      <c r="H72" s="24">
        <f>IFERROR(VLOOKUP(A72,Tabla4[#All],8,FALSE),"no encontrado")</f>
        <v>5</v>
      </c>
      <c r="I72" s="156">
        <f>IFERROR(VLOOKUP(A72,Tabla4[#All],9,FALSE),"no encontrado")</f>
        <v>5</v>
      </c>
      <c r="J72" s="158" t="str">
        <f>IFERROR(VLOOKUP(A72,Tabla4[#All],$J$7,FALSE),"no encontrado")</f>
        <v xml:space="preserve">$ - </v>
      </c>
      <c r="K72" s="158" t="str">
        <f>IFERROR(VLOOKUP(A72,Tabla4[#All],$K$7,FALSE),"no encontrado")</f>
        <v xml:space="preserve"> $ - </v>
      </c>
      <c r="L72" s="158">
        <f>IFERROR(VLOOKUP(A72,Tabla4[#All],$L$7,FALSE),"no encontrado")</f>
        <v>24514428</v>
      </c>
      <c r="M72" s="160">
        <f>IFERROR(VLOOKUP(A72,Tabla4[#All],$M$7,FALSE),"no encontrado")</f>
        <v>27890231</v>
      </c>
      <c r="O72" s="169" t="s">
        <v>128</v>
      </c>
      <c r="T72">
        <v>9</v>
      </c>
      <c r="AA72">
        <v>9</v>
      </c>
    </row>
    <row r="73" spans="1:27">
      <c r="A73" s="92" t="s">
        <v>37</v>
      </c>
      <c r="B73" s="137" t="s">
        <v>370</v>
      </c>
      <c r="C73" s="24" t="s">
        <v>13</v>
      </c>
      <c r="D73" s="24" t="s">
        <v>21</v>
      </c>
      <c r="E73" s="24" t="str">
        <f>IFERROR(VLOOKUP(A73,bdbuscarv!$A$1:$M$101,5,FALSE),"no encontrado")</f>
        <v>Inversión</v>
      </c>
      <c r="F73" s="24" t="str">
        <f>IFERROR(VLOOKUP(A73,Tabla4[#All],6,FALSE),"no encontrado")</f>
        <v>Socio capitalista</v>
      </c>
      <c r="G73" s="143" t="str">
        <f>IFERROR(VLOOKUP(A73,Tabla4[#All],7,FALSE),"no encontrado")</f>
        <v>SI</v>
      </c>
      <c r="H73" s="24">
        <f>IFERROR(VLOOKUP(A73,Tabla4[#All],8,FALSE),"no encontrado")</f>
        <v>7</v>
      </c>
      <c r="I73" s="156">
        <f>IFERROR(VLOOKUP(A73,Tabla4[#All],9,FALSE),"no encontrado")</f>
        <v>7</v>
      </c>
      <c r="J73" s="158">
        <f>IFERROR(VLOOKUP(A73,Tabla4[#All],$J$7,FALSE),"no encontrado")</f>
        <v>10000000</v>
      </c>
      <c r="K73" s="158">
        <f>IFERROR(VLOOKUP(A73,Tabla4[#All],$K$7,FALSE),"no encontrado")</f>
        <v>31953589</v>
      </c>
      <c r="L73" s="158">
        <f>IFERROR(VLOOKUP(A73,Tabla4[#All],$L$7,FALSE),"no encontrado")</f>
        <v>40068224</v>
      </c>
      <c r="M73" s="160">
        <f>IFERROR(VLOOKUP(A73,Tabla4[#All],$M$7,FALSE),"no encontrado")</f>
        <v>80951038</v>
      </c>
      <c r="O73" s="169" t="s">
        <v>129</v>
      </c>
      <c r="Z73">
        <v>5</v>
      </c>
      <c r="AA73">
        <v>5</v>
      </c>
    </row>
    <row r="74" spans="1:27">
      <c r="A74" s="92" t="s">
        <v>49</v>
      </c>
      <c r="B74" s="137" t="s">
        <v>371</v>
      </c>
      <c r="C74" s="24" t="s">
        <v>13</v>
      </c>
      <c r="D74" s="24" t="s">
        <v>21</v>
      </c>
      <c r="E74" s="24" t="str">
        <f>IFERROR(VLOOKUP(A74,bdbuscarv!$A$1:$M$101,5,FALSE),"no encontrado")</f>
        <v>Inversión</v>
      </c>
      <c r="F74" s="24" t="str">
        <f>IFERROR(VLOOKUP(A74,Tabla4[#All],6,FALSE),"no encontrado")</f>
        <v>Socio capitalista</v>
      </c>
      <c r="G74" s="143" t="str">
        <f>IFERROR(VLOOKUP(A74,Tabla4[#All],7,FALSE),"no encontrado")</f>
        <v>NO</v>
      </c>
      <c r="H74" s="24">
        <f>IFERROR(VLOOKUP(A74,Tabla4[#All],8,FALSE),"no encontrado")</f>
        <v>7</v>
      </c>
      <c r="I74" s="156">
        <f>IFERROR(VLOOKUP(A74,Tabla4[#All],9,FALSE),"no encontrado")</f>
        <v>5</v>
      </c>
      <c r="J74" s="158">
        <f>IFERROR(VLOOKUP(A74,Tabla4[#All],$J$7,FALSE),"no encontrado")</f>
        <v>50000000</v>
      </c>
      <c r="K74" s="158">
        <f>IFERROR(VLOOKUP(A74,Tabla4[#All],$K$7,FALSE),"no encontrado")</f>
        <v>78205651</v>
      </c>
      <c r="L74" s="158">
        <f>IFERROR(VLOOKUP(A74,Tabla4[#All],$L$7,FALSE),"no encontrado")</f>
        <v>62381180</v>
      </c>
      <c r="M74" s="160">
        <f>IFERROR(VLOOKUP(A74,Tabla4[#All],$M$7,FALSE),"no encontrado")</f>
        <v>6508585</v>
      </c>
      <c r="O74" s="169" t="s">
        <v>101</v>
      </c>
      <c r="P74">
        <v>5</v>
      </c>
      <c r="AA74">
        <v>5</v>
      </c>
    </row>
    <row r="75" spans="1:27">
      <c r="A75" s="92" t="s">
        <v>119</v>
      </c>
      <c r="B75" s="137" t="s">
        <v>372</v>
      </c>
      <c r="C75" s="24" t="s">
        <v>13</v>
      </c>
      <c r="D75" s="24" t="s">
        <v>15</v>
      </c>
      <c r="E75" s="24" t="str">
        <f>IFERROR(VLOOKUP(A75,bdbuscarv!$A$1:$M$101,5,FALSE),"no encontrado")</f>
        <v>Trabajo</v>
      </c>
      <c r="F75" s="24" t="str">
        <f>IFERROR(VLOOKUP(A75,Tabla4[#All],6,FALSE),"no encontrado")</f>
        <v>Buscando trabajo</v>
      </c>
      <c r="G75" s="143" t="str">
        <f>IFERROR(VLOOKUP(A75,Tabla4[#All],7,FALSE),"no encontrado")</f>
        <v>NO</v>
      </c>
      <c r="H75" s="24">
        <f>IFERROR(VLOOKUP(A75,Tabla4[#All],8,FALSE),"no encontrado")</f>
        <v>5</v>
      </c>
      <c r="I75" s="156">
        <f>IFERROR(VLOOKUP(A75,Tabla4[#All],9,FALSE),"no encontrado")</f>
        <v>4</v>
      </c>
      <c r="J75" s="158" t="str">
        <f>IFERROR(VLOOKUP(A75,Tabla4[#All],$J$7,FALSE),"no encontrado")</f>
        <v xml:space="preserve">$ - </v>
      </c>
      <c r="K75" s="158" t="str">
        <f>IFERROR(VLOOKUP(A75,Tabla4[#All],$K$7,FALSE),"no encontrado")</f>
        <v xml:space="preserve"> $ - </v>
      </c>
      <c r="L75" s="158">
        <f>IFERROR(VLOOKUP(A75,Tabla4[#All],$L$7,FALSE),"no encontrado")</f>
        <v>34584522</v>
      </c>
      <c r="M75" s="160" t="str">
        <f>IFERROR(VLOOKUP(A75,Tabla4[#All],$M$7,FALSE),"no encontrado")</f>
        <v xml:space="preserve"> $ - </v>
      </c>
      <c r="O75" s="169" t="s">
        <v>120</v>
      </c>
      <c r="T75">
        <v>10</v>
      </c>
      <c r="AA75">
        <v>10</v>
      </c>
    </row>
    <row r="76" spans="1:27">
      <c r="A76" s="92" t="s">
        <v>86</v>
      </c>
      <c r="B76" s="137" t="s">
        <v>373</v>
      </c>
      <c r="C76" s="25" t="s">
        <v>87</v>
      </c>
      <c r="D76" s="24" t="s">
        <v>21</v>
      </c>
      <c r="E76" s="24" t="str">
        <f>IFERROR(VLOOKUP(A76,bdbuscarv!$A$1:$M$101,5,FALSE),"no encontrado")</f>
        <v>Conocimiento</v>
      </c>
      <c r="F76" s="24" t="str">
        <f>IFERROR(VLOOKUP(A76,Tabla4[#All],6,FALSE),"no encontrado")</f>
        <v>Otro tipo</v>
      </c>
      <c r="G76" s="143" t="str">
        <f>IFERROR(VLOOKUP(A76,Tabla4[#All],7,FALSE),"no encontrado")</f>
        <v>NO</v>
      </c>
      <c r="H76" s="24">
        <f>IFERROR(VLOOKUP(A76,Tabla4[#All],8,FALSE),"no encontrado")</f>
        <v>7</v>
      </c>
      <c r="I76" s="156">
        <f>IFERROR(VLOOKUP(A76,Tabla4[#All],9,FALSE),"no encontrado")</f>
        <v>7</v>
      </c>
      <c r="J76" s="158" t="str">
        <f>IFERROR(VLOOKUP(A76,Tabla4[#All],$J$7,FALSE),"no encontrado")</f>
        <v xml:space="preserve">$ - </v>
      </c>
      <c r="K76" s="158" t="str">
        <f>IFERROR(VLOOKUP(A76,Tabla4[#All],$K$7,FALSE),"no encontrado")</f>
        <v xml:space="preserve"> $ - </v>
      </c>
      <c r="L76" s="158">
        <f>IFERROR(VLOOKUP(A76,Tabla4[#All],$L$7,FALSE),"no encontrado")</f>
        <v>76942676</v>
      </c>
      <c r="M76" s="160">
        <f>IFERROR(VLOOKUP(A76,Tabla4[#All],$M$7,FALSE),"no encontrado")</f>
        <v>74216691</v>
      </c>
      <c r="O76" s="169" t="s">
        <v>86</v>
      </c>
      <c r="X76">
        <v>7</v>
      </c>
      <c r="AA76">
        <v>7</v>
      </c>
    </row>
    <row r="77" spans="1:27">
      <c r="A77" s="92" t="s">
        <v>47</v>
      </c>
      <c r="B77" s="137" t="s">
        <v>374</v>
      </c>
      <c r="C77" s="24" t="s">
        <v>32</v>
      </c>
      <c r="D77" s="24" t="s">
        <v>25</v>
      </c>
      <c r="E77" s="24" t="str">
        <f>IFERROR(VLOOKUP(A77,bdbuscarv!$A$1:$M$101,5,FALSE),"no encontrado")</f>
        <v>Inversión</v>
      </c>
      <c r="F77" s="24" t="str">
        <f>IFERROR(VLOOKUP(A77,Tabla4[#All],6,FALSE),"no encontrado")</f>
        <v>Socio de proyecto</v>
      </c>
      <c r="G77" s="143" t="str">
        <f>IFERROR(VLOOKUP(A77,Tabla4[#All],7,FALSE),"no encontrado")</f>
        <v>SI</v>
      </c>
      <c r="H77" s="24">
        <f>IFERROR(VLOOKUP(A77,Tabla4[#All],8,FALSE),"no encontrado")</f>
        <v>8</v>
      </c>
      <c r="I77" s="156">
        <f>IFERROR(VLOOKUP(A77,Tabla4[#All],9,FALSE),"no encontrado")</f>
        <v>9</v>
      </c>
      <c r="J77" s="158">
        <f>IFERROR(VLOOKUP(A77,Tabla4[#All],$J$7,FALSE),"no encontrado")</f>
        <v>5000000</v>
      </c>
      <c r="K77" s="158">
        <f>IFERROR(VLOOKUP(A77,Tabla4[#All],$K$7,FALSE),"no encontrado")</f>
        <v>70270294</v>
      </c>
      <c r="L77" s="158">
        <f>IFERROR(VLOOKUP(A77,Tabla4[#All],$L$7,FALSE),"no encontrado")</f>
        <v>19588762</v>
      </c>
      <c r="M77" s="160">
        <f>IFERROR(VLOOKUP(A77,Tabla4[#All],$M$7,FALSE),"no encontrado")</f>
        <v>78634577</v>
      </c>
      <c r="O77" s="169" t="s">
        <v>91</v>
      </c>
      <c r="R77">
        <v>5</v>
      </c>
      <c r="AA77">
        <v>5</v>
      </c>
    </row>
    <row r="78" spans="1:27">
      <c r="A78" s="92" t="s">
        <v>59</v>
      </c>
      <c r="B78" s="137" t="s">
        <v>375</v>
      </c>
      <c r="C78" s="24" t="s">
        <v>13</v>
      </c>
      <c r="D78" s="24" t="s">
        <v>15</v>
      </c>
      <c r="E78" s="24" t="str">
        <f>IFERROR(VLOOKUP(A78,bdbuscarv!$A$1:$M$101,5,FALSE),"no encontrado")</f>
        <v>Trabajo</v>
      </c>
      <c r="F78" s="24" t="str">
        <f>IFERROR(VLOOKUP(A78,Tabla4[#All],6,FALSE),"no encontrado")</f>
        <v>Buscando trabajo</v>
      </c>
      <c r="G78" s="143" t="str">
        <f>IFERROR(VLOOKUP(A78,Tabla4[#All],7,FALSE),"no encontrado")</f>
        <v>NO</v>
      </c>
      <c r="H78" s="24">
        <f>IFERROR(VLOOKUP(A78,Tabla4[#All],8,FALSE),"no encontrado")</f>
        <v>3</v>
      </c>
      <c r="I78" s="156">
        <f>IFERROR(VLOOKUP(A78,Tabla4[#All],9,FALSE),"no encontrado")</f>
        <v>5</v>
      </c>
      <c r="J78" s="158" t="str">
        <f>IFERROR(VLOOKUP(A78,Tabla4[#All],$J$7,FALSE),"no encontrado")</f>
        <v xml:space="preserve">$ - </v>
      </c>
      <c r="K78" s="158" t="str">
        <f>IFERROR(VLOOKUP(A78,Tabla4[#All],$K$7,FALSE),"no encontrado")</f>
        <v xml:space="preserve"> $ - </v>
      </c>
      <c r="L78" s="158">
        <f>IFERROR(VLOOKUP(A78,Tabla4[#All],$L$7,FALSE),"no encontrado")</f>
        <v>85955846</v>
      </c>
      <c r="M78" s="160">
        <f>IFERROR(VLOOKUP(A78,Tabla4[#All],$M$7,FALSE),"no encontrado")</f>
        <v>25891596</v>
      </c>
      <c r="O78" s="169" t="s">
        <v>61</v>
      </c>
      <c r="T78">
        <v>9</v>
      </c>
      <c r="AA78">
        <v>9</v>
      </c>
    </row>
    <row r="79" spans="1:27">
      <c r="A79" s="92" t="s">
        <v>94</v>
      </c>
      <c r="B79" s="137" t="s">
        <v>376</v>
      </c>
      <c r="C79" s="24" t="s">
        <v>13</v>
      </c>
      <c r="D79" s="24" t="s">
        <v>15</v>
      </c>
      <c r="E79" s="24" t="str">
        <f>IFERROR(VLOOKUP(A79,bdbuscarv!$A$1:$M$101,5,FALSE),"no encontrado")</f>
        <v>Inversión</v>
      </c>
      <c r="F79" s="24" t="str">
        <f>IFERROR(VLOOKUP(A79,Tabla4[#All],6,FALSE),"no encontrado")</f>
        <v>Socio de proyecto</v>
      </c>
      <c r="G79" s="143" t="str">
        <f>IFERROR(VLOOKUP(A79,Tabla4[#All],7,FALSE),"no encontrado")</f>
        <v>SI</v>
      </c>
      <c r="H79" s="24">
        <f>IFERROR(VLOOKUP(A79,Tabla4[#All],8,FALSE),"no encontrado")</f>
        <v>8</v>
      </c>
      <c r="I79" s="156">
        <f>IFERROR(VLOOKUP(A79,Tabla4[#All],9,FALSE),"no encontrado")</f>
        <v>10</v>
      </c>
      <c r="J79" s="158">
        <f>IFERROR(VLOOKUP(A79,Tabla4[#All],$J$7,FALSE),"no encontrado")</f>
        <v>20000000</v>
      </c>
      <c r="K79" s="158">
        <f>IFERROR(VLOOKUP(A79,Tabla4[#All],$K$7,FALSE),"no encontrado")</f>
        <v>62745331</v>
      </c>
      <c r="L79" s="158">
        <f>IFERROR(VLOOKUP(A79,Tabla4[#All],$L$7,FALSE),"no encontrado")</f>
        <v>39843357</v>
      </c>
      <c r="M79" s="160">
        <f>IFERROR(VLOOKUP(A79,Tabla4[#All],$M$7,FALSE),"no encontrado")</f>
        <v>64840967</v>
      </c>
      <c r="O79" s="169" t="s">
        <v>65</v>
      </c>
      <c r="T79">
        <v>10</v>
      </c>
      <c r="AA79">
        <v>10</v>
      </c>
    </row>
    <row r="80" spans="1:27">
      <c r="A80" s="92" t="s">
        <v>46</v>
      </c>
      <c r="B80" s="137" t="s">
        <v>377</v>
      </c>
      <c r="C80" s="24" t="s">
        <v>13</v>
      </c>
      <c r="D80" s="24" t="s">
        <v>21</v>
      </c>
      <c r="E80" s="24" t="str">
        <f>IFERROR(VLOOKUP(A80,bdbuscarv!$A$1:$M$101,5,FALSE),"no encontrado")</f>
        <v>Trabajo</v>
      </c>
      <c r="F80" s="24" t="str">
        <f>IFERROR(VLOOKUP(A80,Tabla4[#All],6,FALSE),"no encontrado")</f>
        <v>Ofreciendo trabajo</v>
      </c>
      <c r="G80" s="143" t="str">
        <f>IFERROR(VLOOKUP(A80,Tabla4[#All],7,FALSE),"no encontrado")</f>
        <v>NO</v>
      </c>
      <c r="H80" s="24">
        <f>IFERROR(VLOOKUP(A80,Tabla4[#All],8,FALSE),"no encontrado")</f>
        <v>5</v>
      </c>
      <c r="I80" s="156">
        <f>IFERROR(VLOOKUP(A80,Tabla4[#All],9,FALSE),"no encontrado")</f>
        <v>7</v>
      </c>
      <c r="J80" s="158" t="str">
        <f>IFERROR(VLOOKUP(A80,Tabla4[#All],$J$7,FALSE),"no encontrado")</f>
        <v xml:space="preserve">$ - </v>
      </c>
      <c r="K80" s="158" t="str">
        <f>IFERROR(VLOOKUP(A80,Tabla4[#All],$K$7,FALSE),"no encontrado")</f>
        <v xml:space="preserve"> $ - </v>
      </c>
      <c r="L80" s="158">
        <f>IFERROR(VLOOKUP(A80,Tabla4[#All],$L$7,FALSE),"no encontrado")</f>
        <v>82583322</v>
      </c>
      <c r="M80" s="160">
        <f>IFERROR(VLOOKUP(A80,Tabla4[#All],$M$7,FALSE),"no encontrado")</f>
        <v>809058</v>
      </c>
      <c r="O80" s="169" t="s">
        <v>121</v>
      </c>
      <c r="T80">
        <v>9</v>
      </c>
      <c r="AA80">
        <v>9</v>
      </c>
    </row>
    <row r="81" spans="1:27">
      <c r="A81" s="92" t="s">
        <v>116</v>
      </c>
      <c r="B81" s="137" t="s">
        <v>378</v>
      </c>
      <c r="C81" s="24" t="s">
        <v>13</v>
      </c>
      <c r="D81" s="24" t="s">
        <v>21</v>
      </c>
      <c r="E81" s="24" t="str">
        <f>IFERROR(VLOOKUP(A81,bdbuscarv!$A$1:$M$101,5,FALSE),"no encontrado")</f>
        <v>Inversión</v>
      </c>
      <c r="F81" s="24" t="str">
        <f>IFERROR(VLOOKUP(A81,Tabla4[#All],6,FALSE),"no encontrado")</f>
        <v>Socio de proyecto</v>
      </c>
      <c r="G81" s="143" t="str">
        <f>IFERROR(VLOOKUP(A81,Tabla4[#All],7,FALSE),"no encontrado")</f>
        <v>SI</v>
      </c>
      <c r="H81" s="24">
        <f>IFERROR(VLOOKUP(A81,Tabla4[#All],8,FALSE),"no encontrado")</f>
        <v>6</v>
      </c>
      <c r="I81" s="156">
        <f>IFERROR(VLOOKUP(A81,Tabla4[#All],9,FALSE),"no encontrado")</f>
        <v>6</v>
      </c>
      <c r="J81" s="158">
        <f>IFERROR(VLOOKUP(A81,Tabla4[#All],$J$7,FALSE),"no encontrado")</f>
        <v>10000000</v>
      </c>
      <c r="K81" s="158">
        <f>IFERROR(VLOOKUP(A81,Tabla4[#All],$K$7,FALSE),"no encontrado")</f>
        <v>59890317</v>
      </c>
      <c r="L81" s="158">
        <f>IFERROR(VLOOKUP(A81,Tabla4[#All],$L$7,FALSE),"no encontrado")</f>
        <v>42451842</v>
      </c>
      <c r="M81" s="160" t="str">
        <f>IFERROR(VLOOKUP(A81,Tabla4[#All],$M$7,FALSE),"no encontrado")</f>
        <v xml:space="preserve"> $ - </v>
      </c>
      <c r="O81" s="169" t="s">
        <v>109</v>
      </c>
      <c r="T81">
        <v>7</v>
      </c>
      <c r="AA81">
        <v>7</v>
      </c>
    </row>
    <row r="82" spans="1:27">
      <c r="A82" s="92" t="s">
        <v>14</v>
      </c>
      <c r="B82" s="137" t="s">
        <v>379</v>
      </c>
      <c r="C82" s="24" t="s">
        <v>13</v>
      </c>
      <c r="D82" s="24" t="s">
        <v>15</v>
      </c>
      <c r="E82" s="24" t="str">
        <f>IFERROR(VLOOKUP(A82,bdbuscarv!$A$1:$M$101,5,FALSE),"no encontrado")</f>
        <v>Inversión</v>
      </c>
      <c r="F82" s="24" t="str">
        <f>IFERROR(VLOOKUP(A82,Tabla4[#All],6,FALSE),"no encontrado")</f>
        <v>Socio capitalista</v>
      </c>
      <c r="G82" s="143" t="str">
        <f>IFERROR(VLOOKUP(A82,Tabla4[#All],7,FALSE),"no encontrado")</f>
        <v>NO</v>
      </c>
      <c r="H82" s="24">
        <f>IFERROR(VLOOKUP(A82,Tabla4[#All],8,FALSE),"no encontrado")</f>
        <v>3</v>
      </c>
      <c r="I82" s="156">
        <f>IFERROR(VLOOKUP(A82,Tabla4[#All],9,FALSE),"no encontrado")</f>
        <v>6</v>
      </c>
      <c r="J82" s="158">
        <f>IFERROR(VLOOKUP(A82,Tabla4[#All],$J$7,FALSE),"no encontrado")</f>
        <v>10000000</v>
      </c>
      <c r="K82" s="158">
        <f>IFERROR(VLOOKUP(A82,Tabla4[#All],$K$7,FALSE),"no encontrado")</f>
        <v>97449662</v>
      </c>
      <c r="L82" s="158">
        <f>IFERROR(VLOOKUP(A82,Tabla4[#All],$L$7,FALSE),"no encontrado")</f>
        <v>49624160</v>
      </c>
      <c r="M82" s="160">
        <f>IFERROR(VLOOKUP(A82,Tabla4[#All],$M$7,FALSE),"no encontrado")</f>
        <v>17854677</v>
      </c>
      <c r="O82" s="169" t="s">
        <v>40</v>
      </c>
      <c r="T82">
        <v>5</v>
      </c>
      <c r="AA82">
        <v>5</v>
      </c>
    </row>
    <row r="83" spans="1:27">
      <c r="A83" s="92" t="s">
        <v>22</v>
      </c>
      <c r="B83" s="137" t="s">
        <v>380</v>
      </c>
      <c r="C83" s="24" t="s">
        <v>13</v>
      </c>
      <c r="D83" s="24" t="s">
        <v>9</v>
      </c>
      <c r="E83" s="24" t="str">
        <f>IFERROR(VLOOKUP(A83,bdbuscarv!$A$1:$M$101,5,FALSE),"no encontrado")</f>
        <v>Trabajo</v>
      </c>
      <c r="F83" s="24" t="str">
        <f>IFERROR(VLOOKUP(A83,Tabla4[#All],6,FALSE),"no encontrado")</f>
        <v>Ofreciendo trabajo</v>
      </c>
      <c r="G83" s="143" t="str">
        <f>IFERROR(VLOOKUP(A83,Tabla4[#All],7,FALSE),"no encontrado")</f>
        <v>NO</v>
      </c>
      <c r="H83" s="24">
        <f>IFERROR(VLOOKUP(A83,Tabla4[#All],8,FALSE),"no encontrado")</f>
        <v>8</v>
      </c>
      <c r="I83" s="156">
        <f>IFERROR(VLOOKUP(A83,Tabla4[#All],9,FALSE),"no encontrado")</f>
        <v>10</v>
      </c>
      <c r="J83" s="158" t="str">
        <f>IFERROR(VLOOKUP(A83,Tabla4[#All],$J$7,FALSE),"no encontrado")</f>
        <v xml:space="preserve">$ - </v>
      </c>
      <c r="K83" s="158" t="str">
        <f>IFERROR(VLOOKUP(A83,Tabla4[#All],$K$7,FALSE),"no encontrado")</f>
        <v xml:space="preserve"> $ - </v>
      </c>
      <c r="L83" s="158">
        <f>IFERROR(VLOOKUP(A83,Tabla4[#All],$L$7,FALSE),"no encontrado")</f>
        <v>44422091</v>
      </c>
      <c r="M83" s="160">
        <f>IFERROR(VLOOKUP(A83,Tabla4[#All],$M$7,FALSE),"no encontrado")</f>
        <v>8898260</v>
      </c>
      <c r="O83" s="169" t="s">
        <v>71</v>
      </c>
      <c r="Y83">
        <v>7</v>
      </c>
      <c r="AA83">
        <v>7</v>
      </c>
    </row>
    <row r="84" spans="1:27">
      <c r="A84" s="92" t="s">
        <v>71</v>
      </c>
      <c r="B84" s="137" t="s">
        <v>381</v>
      </c>
      <c r="C84" s="25" t="s">
        <v>72</v>
      </c>
      <c r="D84" s="24" t="s">
        <v>21</v>
      </c>
      <c r="E84" s="24" t="str">
        <f>IFERROR(VLOOKUP(A84,bdbuscarv!$A$1:$M$101,5,FALSE),"no encontrado")</f>
        <v>Trabajo</v>
      </c>
      <c r="F84" s="24" t="str">
        <f>IFERROR(VLOOKUP(A84,Tabla4[#All],6,FALSE),"no encontrado")</f>
        <v>Buscando trabajo</v>
      </c>
      <c r="G84" s="143" t="str">
        <f>IFERROR(VLOOKUP(A84,Tabla4[#All],7,FALSE),"no encontrado")</f>
        <v>NO</v>
      </c>
      <c r="H84" s="24">
        <f>IFERROR(VLOOKUP(A84,Tabla4[#All],8,FALSE),"no encontrado")</f>
        <v>5</v>
      </c>
      <c r="I84" s="156">
        <f>IFERROR(VLOOKUP(A84,Tabla4[#All],9,FALSE),"no encontrado")</f>
        <v>7</v>
      </c>
      <c r="J84" s="158" t="str">
        <f>IFERROR(VLOOKUP(A84,Tabla4[#All],$J$7,FALSE),"no encontrado")</f>
        <v xml:space="preserve">$ - </v>
      </c>
      <c r="K84" s="158" t="str">
        <f>IFERROR(VLOOKUP(A84,Tabla4[#All],$K$7,FALSE),"no encontrado")</f>
        <v xml:space="preserve"> $ - </v>
      </c>
      <c r="L84" s="158" t="str">
        <f>IFERROR(VLOOKUP(A84,Tabla4[#All],$L$7,FALSE),"no encontrado")</f>
        <v xml:space="preserve"> $ - </v>
      </c>
      <c r="M84" s="160">
        <f>IFERROR(VLOOKUP(A84,Tabla4[#All],$M$7,FALSE),"no encontrado")</f>
        <v>63436099</v>
      </c>
      <c r="O84" s="169" t="s">
        <v>29</v>
      </c>
      <c r="T84">
        <v>10</v>
      </c>
      <c r="AA84">
        <v>10</v>
      </c>
    </row>
    <row r="85" spans="1:27">
      <c r="A85" s="92" t="s">
        <v>131</v>
      </c>
      <c r="B85" s="137" t="s">
        <v>382</v>
      </c>
      <c r="C85" s="24" t="s">
        <v>13</v>
      </c>
      <c r="D85" s="24" t="s">
        <v>21</v>
      </c>
      <c r="E85" s="24" t="str">
        <f>IFERROR(VLOOKUP(A85,bdbuscarv!$A$1:$M$101,5,FALSE),"no encontrado")</f>
        <v>Inversión</v>
      </c>
      <c r="F85" s="24" t="str">
        <f>IFERROR(VLOOKUP(A85,Tabla4[#All],6,FALSE),"no encontrado")</f>
        <v>Socio capitalista</v>
      </c>
      <c r="G85" s="143" t="str">
        <f>IFERROR(VLOOKUP(A85,Tabla4[#All],7,FALSE),"no encontrado")</f>
        <v>SI</v>
      </c>
      <c r="H85" s="24">
        <f>IFERROR(VLOOKUP(A85,Tabla4[#All],8,FALSE),"no encontrado")</f>
        <v>8</v>
      </c>
      <c r="I85" s="156">
        <f>IFERROR(VLOOKUP(A85,Tabla4[#All],9,FALSE),"no encontrado")</f>
        <v>9</v>
      </c>
      <c r="J85" s="158">
        <f>IFERROR(VLOOKUP(A85,Tabla4[#All],$J$7,FALSE),"no encontrado")</f>
        <v>10000000</v>
      </c>
      <c r="K85" s="158">
        <f>IFERROR(VLOOKUP(A85,Tabla4[#All],$K$7,FALSE),"no encontrado")</f>
        <v>99989764</v>
      </c>
      <c r="L85" s="158">
        <f>IFERROR(VLOOKUP(A85,Tabla4[#All],$L$7,FALSE),"no encontrado")</f>
        <v>8030175</v>
      </c>
      <c r="M85" s="160">
        <f>IFERROR(VLOOKUP(A85,Tabla4[#All],$M$7,FALSE),"no encontrado")</f>
        <v>37676206</v>
      </c>
      <c r="O85" s="169" t="s">
        <v>119</v>
      </c>
      <c r="T85">
        <v>4</v>
      </c>
      <c r="AA85">
        <v>4</v>
      </c>
    </row>
    <row r="86" spans="1:27">
      <c r="A86" s="92" t="s">
        <v>66</v>
      </c>
      <c r="B86" s="137" t="s">
        <v>383</v>
      </c>
      <c r="C86" s="24" t="s">
        <v>13</v>
      </c>
      <c r="D86" s="24" t="s">
        <v>21</v>
      </c>
      <c r="E86" s="24" t="str">
        <f>IFERROR(VLOOKUP(A86,bdbuscarv!$A$1:$M$101,5,FALSE),"no encontrado")</f>
        <v>Trabajo</v>
      </c>
      <c r="F86" s="24" t="str">
        <f>IFERROR(VLOOKUP(A86,Tabla4[#All],6,FALSE),"no encontrado")</f>
        <v>Buscando trabajo</v>
      </c>
      <c r="G86" s="143" t="str">
        <f>IFERROR(VLOOKUP(A86,Tabla4[#All],7,FALSE),"no encontrado")</f>
        <v>SI</v>
      </c>
      <c r="H86" s="24">
        <f>IFERROR(VLOOKUP(A86,Tabla4[#All],8,FALSE),"no encontrado")</f>
        <v>4</v>
      </c>
      <c r="I86" s="156">
        <f>IFERROR(VLOOKUP(A86,Tabla4[#All],9,FALSE),"no encontrado")</f>
        <v>5</v>
      </c>
      <c r="J86" s="158" t="str">
        <f>IFERROR(VLOOKUP(A86,Tabla4[#All],$J$7,FALSE),"no encontrado")</f>
        <v xml:space="preserve">$ - </v>
      </c>
      <c r="K86" s="158" t="str">
        <f>IFERROR(VLOOKUP(A86,Tabla4[#All],$K$7,FALSE),"no encontrado")</f>
        <v xml:space="preserve"> $ - </v>
      </c>
      <c r="L86" s="158">
        <f>IFERROR(VLOOKUP(A86,Tabla4[#All],$L$7,FALSE),"no encontrado")</f>
        <v>12862402</v>
      </c>
      <c r="M86" s="160">
        <f>IFERROR(VLOOKUP(A86,Tabla4[#All],$M$7,FALSE),"no encontrado")</f>
        <v>68922404</v>
      </c>
      <c r="O86" s="169" t="s">
        <v>67</v>
      </c>
      <c r="T86">
        <v>10</v>
      </c>
      <c r="AA86">
        <v>10</v>
      </c>
    </row>
    <row r="87" spans="1:27">
      <c r="A87" s="92" t="s">
        <v>99</v>
      </c>
      <c r="B87" s="137" t="s">
        <v>384</v>
      </c>
      <c r="C87" s="24" t="s">
        <v>13</v>
      </c>
      <c r="D87" s="24" t="s">
        <v>25</v>
      </c>
      <c r="E87" s="24" t="str">
        <f>IFERROR(VLOOKUP(A87,bdbuscarv!$A$1:$M$101,5,FALSE),"no encontrado")</f>
        <v>Trabajo</v>
      </c>
      <c r="F87" s="24" t="str">
        <f>IFERROR(VLOOKUP(A87,Tabla4[#All],6,FALSE),"no encontrado")</f>
        <v>Buscando trabajo</v>
      </c>
      <c r="G87" s="143" t="str">
        <f>IFERROR(VLOOKUP(A87,Tabla4[#All],7,FALSE),"no encontrado")</f>
        <v>SI</v>
      </c>
      <c r="H87" s="24">
        <f>IFERROR(VLOOKUP(A87,Tabla4[#All],8,FALSE),"no encontrado")</f>
        <v>9</v>
      </c>
      <c r="I87" s="156">
        <f>IFERROR(VLOOKUP(A87,Tabla4[#All],9,FALSE),"no encontrado")</f>
        <v>9</v>
      </c>
      <c r="J87" s="158" t="str">
        <f>IFERROR(VLOOKUP(A87,Tabla4[#All],$J$7,FALSE),"no encontrado")</f>
        <v xml:space="preserve">$ - </v>
      </c>
      <c r="K87" s="158" t="str">
        <f>IFERROR(VLOOKUP(A87,Tabla4[#All],$K$7,FALSE),"no encontrado")</f>
        <v xml:space="preserve"> $ - </v>
      </c>
      <c r="L87" s="158">
        <f>IFERROR(VLOOKUP(A87,Tabla4[#All],$L$7,FALSE),"no encontrado")</f>
        <v>46914257</v>
      </c>
      <c r="M87" s="160">
        <f>IFERROR(VLOOKUP(A87,Tabla4[#All],$M$7,FALSE),"no encontrado")</f>
        <v>43734508</v>
      </c>
      <c r="O87" s="169" t="s">
        <v>26</v>
      </c>
      <c r="S87">
        <v>6</v>
      </c>
      <c r="AA87">
        <v>6</v>
      </c>
    </row>
    <row r="88" spans="1:27">
      <c r="A88" s="92" t="s">
        <v>114</v>
      </c>
      <c r="B88" s="137" t="s">
        <v>385</v>
      </c>
      <c r="C88" s="56" t="s">
        <v>115</v>
      </c>
      <c r="D88" s="24" t="s">
        <v>54</v>
      </c>
      <c r="E88" s="24" t="str">
        <f>IFERROR(VLOOKUP(A88,bdbuscarv!$A$1:$M$101,5,FALSE),"no encontrado")</f>
        <v>Conocimiento</v>
      </c>
      <c r="F88" s="24" t="str">
        <f>IFERROR(VLOOKUP(A88,Tabla4[#All],6,FALSE),"no encontrado")</f>
        <v>Académico</v>
      </c>
      <c r="G88" s="143" t="str">
        <f>IFERROR(VLOOKUP(A88,Tabla4[#All],7,FALSE),"no encontrado")</f>
        <v>NO</v>
      </c>
      <c r="H88" s="24">
        <f>IFERROR(VLOOKUP(A88,Tabla4[#All],8,FALSE),"no encontrado")</f>
        <v>6</v>
      </c>
      <c r="I88" s="156">
        <f>IFERROR(VLOOKUP(A88,Tabla4[#All],9,FALSE),"no encontrado")</f>
        <v>10</v>
      </c>
      <c r="J88" s="158" t="str">
        <f>IFERROR(VLOOKUP(A88,Tabla4[#All],$J$7,FALSE),"no encontrado")</f>
        <v xml:space="preserve">$ - </v>
      </c>
      <c r="K88" s="158" t="str">
        <f>IFERROR(VLOOKUP(A88,Tabla4[#All],$K$7,FALSE),"no encontrado")</f>
        <v xml:space="preserve"> $ - </v>
      </c>
      <c r="L88" s="158">
        <f>IFERROR(VLOOKUP(A88,Tabla4[#All],$L$7,FALSE),"no encontrado")</f>
        <v>95212463</v>
      </c>
      <c r="M88" s="160" t="str">
        <f>IFERROR(VLOOKUP(A88,Tabla4[#All],$M$7,FALSE),"no encontrado")</f>
        <v xml:space="preserve"> $ - </v>
      </c>
      <c r="O88" s="169" t="s">
        <v>78</v>
      </c>
      <c r="R88">
        <v>6</v>
      </c>
      <c r="AA88">
        <v>6</v>
      </c>
    </row>
    <row r="89" spans="1:27">
      <c r="A89" s="92" t="s">
        <v>58</v>
      </c>
      <c r="B89" s="137" t="s">
        <v>386</v>
      </c>
      <c r="C89" s="25" t="s">
        <v>28</v>
      </c>
      <c r="D89" s="24" t="s">
        <v>21</v>
      </c>
      <c r="E89" s="24" t="str">
        <f>IFERROR(VLOOKUP(A89,bdbuscarv!$A$1:$M$101,5,FALSE),"no encontrado")</f>
        <v>Inversión</v>
      </c>
      <c r="F89" s="24" t="str">
        <f>IFERROR(VLOOKUP(A89,Tabla4[#All],6,FALSE),"no encontrado")</f>
        <v>Socio capitalista</v>
      </c>
      <c r="G89" s="143" t="str">
        <f>IFERROR(VLOOKUP(A89,Tabla4[#All],7,FALSE),"no encontrado")</f>
        <v>NO</v>
      </c>
      <c r="H89" s="24">
        <f>IFERROR(VLOOKUP(A89,Tabla4[#All],8,FALSE),"no encontrado")</f>
        <v>3</v>
      </c>
      <c r="I89" s="156">
        <f>IFERROR(VLOOKUP(A89,Tabla4[#All],9,FALSE),"no encontrado")</f>
        <v>9</v>
      </c>
      <c r="J89" s="158">
        <f>IFERROR(VLOOKUP(A89,Tabla4[#All],$J$7,FALSE),"no encontrado")</f>
        <v>5000000</v>
      </c>
      <c r="K89" s="158">
        <f>IFERROR(VLOOKUP(A89,Tabla4[#All],$K$7,FALSE),"no encontrado")</f>
        <v>32915397</v>
      </c>
      <c r="L89" s="158">
        <f>IFERROR(VLOOKUP(A89,Tabla4[#All],$L$7,FALSE),"no encontrado")</f>
        <v>74493461</v>
      </c>
      <c r="M89" s="160">
        <f>IFERROR(VLOOKUP(A89,Tabla4[#All],$M$7,FALSE),"no encontrado")</f>
        <v>151779</v>
      </c>
      <c r="O89" s="169" t="s">
        <v>97</v>
      </c>
      <c r="T89">
        <v>10</v>
      </c>
      <c r="AA89">
        <v>10</v>
      </c>
    </row>
    <row r="90" spans="1:27">
      <c r="A90" s="92" t="s">
        <v>117</v>
      </c>
      <c r="B90" s="137" t="s">
        <v>387</v>
      </c>
      <c r="C90" s="24" t="s">
        <v>13</v>
      </c>
      <c r="D90" s="24" t="s">
        <v>25</v>
      </c>
      <c r="E90" s="24" t="str">
        <f>IFERROR(VLOOKUP(A90,bdbuscarv!$A$1:$M$101,5,FALSE),"no encontrado")</f>
        <v>Trabajo</v>
      </c>
      <c r="F90" s="24" t="str">
        <f>IFERROR(VLOOKUP(A90,Tabla4[#All],6,FALSE),"no encontrado")</f>
        <v>Buscando trabajo</v>
      </c>
      <c r="G90" s="143" t="str">
        <f>IFERROR(VLOOKUP(A90,Tabla4[#All],7,FALSE),"no encontrado")</f>
        <v>NO</v>
      </c>
      <c r="H90" s="24">
        <f>IFERROR(VLOOKUP(A90,Tabla4[#All],8,FALSE),"no encontrado")</f>
        <v>3</v>
      </c>
      <c r="I90" s="156">
        <f>IFERROR(VLOOKUP(A90,Tabla4[#All],9,FALSE),"no encontrado")</f>
        <v>7</v>
      </c>
      <c r="J90" s="158" t="str">
        <f>IFERROR(VLOOKUP(A90,Tabla4[#All],$J$7,FALSE),"no encontrado")</f>
        <v xml:space="preserve">$ - </v>
      </c>
      <c r="K90" s="158" t="str">
        <f>IFERROR(VLOOKUP(A90,Tabla4[#All],$K$7,FALSE),"no encontrado")</f>
        <v xml:space="preserve"> $ - </v>
      </c>
      <c r="L90" s="158">
        <f>IFERROR(VLOOKUP(A90,Tabla4[#All],$L$7,FALSE),"no encontrado")</f>
        <v>43223505</v>
      </c>
      <c r="M90" s="160" t="str">
        <f>IFERROR(VLOOKUP(A90,Tabla4[#All],$M$7,FALSE),"no encontrado")</f>
        <v xml:space="preserve"> $ - </v>
      </c>
      <c r="O90" s="169" t="s">
        <v>53</v>
      </c>
      <c r="S90">
        <v>5</v>
      </c>
      <c r="AA90">
        <v>5</v>
      </c>
    </row>
    <row r="91" spans="1:27">
      <c r="A91" s="92" t="s">
        <v>65</v>
      </c>
      <c r="B91" s="137" t="s">
        <v>388</v>
      </c>
      <c r="C91" s="24" t="s">
        <v>13</v>
      </c>
      <c r="D91" s="24" t="s">
        <v>21</v>
      </c>
      <c r="E91" s="24" t="str">
        <f>IFERROR(VLOOKUP(A91,bdbuscarv!$A$1:$M$101,5,FALSE),"no encontrado")</f>
        <v>Trabajo</v>
      </c>
      <c r="F91" s="24" t="str">
        <f>IFERROR(VLOOKUP(A91,Tabla4[#All],6,FALSE),"no encontrado")</f>
        <v>Buscando trabajo</v>
      </c>
      <c r="G91" s="143" t="str">
        <f>IFERROR(VLOOKUP(A91,Tabla4[#All],7,FALSE),"no encontrado")</f>
        <v>NO</v>
      </c>
      <c r="H91" s="24">
        <f>IFERROR(VLOOKUP(A91,Tabla4[#All],8,FALSE),"no encontrado")</f>
        <v>7</v>
      </c>
      <c r="I91" s="156">
        <f>IFERROR(VLOOKUP(A91,Tabla4[#All],9,FALSE),"no encontrado")</f>
        <v>10</v>
      </c>
      <c r="J91" s="158" t="str">
        <f>IFERROR(VLOOKUP(A91,Tabla4[#All],$J$7,FALSE),"no encontrado")</f>
        <v xml:space="preserve">$ - </v>
      </c>
      <c r="K91" s="158" t="str">
        <f>IFERROR(VLOOKUP(A91,Tabla4[#All],$K$7,FALSE),"no encontrado")</f>
        <v xml:space="preserve"> $ - </v>
      </c>
      <c r="L91" s="158">
        <f>IFERROR(VLOOKUP(A91,Tabla4[#All],$L$7,FALSE),"no encontrado")</f>
        <v>14141858</v>
      </c>
      <c r="M91" s="160">
        <f>IFERROR(VLOOKUP(A91,Tabla4[#All],$M$7,FALSE),"no encontrado")</f>
        <v>87162317</v>
      </c>
      <c r="O91" s="169" t="s">
        <v>110</v>
      </c>
      <c r="T91">
        <v>8</v>
      </c>
      <c r="AA91">
        <v>8</v>
      </c>
    </row>
    <row r="92" spans="1:27">
      <c r="A92" s="92" t="s">
        <v>112</v>
      </c>
      <c r="B92" s="137" t="s">
        <v>389</v>
      </c>
      <c r="C92" s="24" t="s">
        <v>13</v>
      </c>
      <c r="D92" s="24" t="s">
        <v>21</v>
      </c>
      <c r="E92" s="24" t="str">
        <f>IFERROR(VLOOKUP(A92,bdbuscarv!$A$1:$M$101,5,FALSE),"no encontrado")</f>
        <v>Trabajo</v>
      </c>
      <c r="F92" s="24" t="str">
        <f>IFERROR(VLOOKUP(A92,Tabla4[#All],6,FALSE),"no encontrado")</f>
        <v>Buscando trabajo</v>
      </c>
      <c r="G92" s="143" t="str">
        <f>IFERROR(VLOOKUP(A92,Tabla4[#All],7,FALSE),"no encontrado")</f>
        <v>NO</v>
      </c>
      <c r="H92" s="24">
        <f>IFERROR(VLOOKUP(A92,Tabla4[#All],8,FALSE),"no encontrado")</f>
        <v>3</v>
      </c>
      <c r="I92" s="156">
        <f>IFERROR(VLOOKUP(A92,Tabla4[#All],9,FALSE),"no encontrado")</f>
        <v>7</v>
      </c>
      <c r="J92" s="158" t="str">
        <f>IFERROR(VLOOKUP(A92,Tabla4[#All],$J$7,FALSE),"no encontrado")</f>
        <v xml:space="preserve">$ - </v>
      </c>
      <c r="K92" s="158" t="str">
        <f>IFERROR(VLOOKUP(A92,Tabla4[#All],$K$7,FALSE),"no encontrado")</f>
        <v xml:space="preserve"> $ - </v>
      </c>
      <c r="L92" s="158">
        <f>IFERROR(VLOOKUP(A92,Tabla4[#All],$L$7,FALSE),"no encontrado")</f>
        <v>29525162</v>
      </c>
      <c r="M92" s="160" t="str">
        <f>IFERROR(VLOOKUP(A92,Tabla4[#All],$M$7,FALSE),"no encontrado")</f>
        <v xml:space="preserve"> $ - </v>
      </c>
      <c r="O92" s="169" t="s">
        <v>59</v>
      </c>
      <c r="T92">
        <v>5</v>
      </c>
      <c r="AA92">
        <v>5</v>
      </c>
    </row>
    <row r="93" spans="1:27">
      <c r="A93" s="92" t="s">
        <v>135</v>
      </c>
      <c r="B93" s="137" t="s">
        <v>390</v>
      </c>
      <c r="C93" s="24" t="s">
        <v>13</v>
      </c>
      <c r="D93" s="24" t="s">
        <v>21</v>
      </c>
      <c r="E93" s="24" t="str">
        <f>IFERROR(VLOOKUP(A93,bdbuscarv!$A$1:$M$101,5,FALSE),"no encontrado")</f>
        <v>Trabajo</v>
      </c>
      <c r="F93" s="24" t="str">
        <f>IFERROR(VLOOKUP(A93,Tabla4[#All],6,FALSE),"no encontrado")</f>
        <v>Ofreciendo trabajo</v>
      </c>
      <c r="G93" s="143" t="str">
        <f>IFERROR(VLOOKUP(A93,Tabla4[#All],7,FALSE),"no encontrado")</f>
        <v>SI</v>
      </c>
      <c r="H93" s="24">
        <f>IFERROR(VLOOKUP(A93,Tabla4[#All],8,FALSE),"no encontrado")</f>
        <v>7</v>
      </c>
      <c r="I93" s="156">
        <f>IFERROR(VLOOKUP(A93,Tabla4[#All],9,FALSE),"no encontrado")</f>
        <v>4</v>
      </c>
      <c r="J93" s="158" t="str">
        <f>IFERROR(VLOOKUP(A93,Tabla4[#All],$J$7,FALSE),"no encontrado")</f>
        <v xml:space="preserve">$ - </v>
      </c>
      <c r="K93" s="158" t="str">
        <f>IFERROR(VLOOKUP(A93,Tabla4[#All],$K$7,FALSE),"no encontrado")</f>
        <v xml:space="preserve"> $ - </v>
      </c>
      <c r="L93" s="158">
        <f>IFERROR(VLOOKUP(A93,Tabla4[#All],$L$7,FALSE),"no encontrado")</f>
        <v>29366791</v>
      </c>
      <c r="M93" s="160">
        <f>IFERROR(VLOOKUP(A93,Tabla4[#All],$M$7,FALSE),"no encontrado")</f>
        <v>89805774</v>
      </c>
      <c r="O93" s="169" t="s">
        <v>31</v>
      </c>
      <c r="R93">
        <v>5</v>
      </c>
      <c r="AA93">
        <v>5</v>
      </c>
    </row>
    <row r="94" spans="1:27">
      <c r="A94" s="92" t="s">
        <v>40</v>
      </c>
      <c r="B94" s="137" t="s">
        <v>391</v>
      </c>
      <c r="C94" s="24" t="s">
        <v>13</v>
      </c>
      <c r="D94" s="24" t="s">
        <v>21</v>
      </c>
      <c r="E94" s="24" t="str">
        <f>IFERROR(VLOOKUP(A94,bdbuscarv!$A$1:$M$101,5,FALSE),"no encontrado")</f>
        <v>Trabajo</v>
      </c>
      <c r="F94" s="24" t="str">
        <f>IFERROR(VLOOKUP(A94,Tabla4[#All],6,FALSE),"no encontrado")</f>
        <v>Buscando trabajo</v>
      </c>
      <c r="G94" s="143" t="str">
        <f>IFERROR(VLOOKUP(A94,Tabla4[#All],7,FALSE),"no encontrado")</f>
        <v>SI</v>
      </c>
      <c r="H94" s="24">
        <f>IFERROR(VLOOKUP(A94,Tabla4[#All],8,FALSE),"no encontrado")</f>
        <v>9</v>
      </c>
      <c r="I94" s="156">
        <f>IFERROR(VLOOKUP(A94,Tabla4[#All],9,FALSE),"no encontrado")</f>
        <v>5</v>
      </c>
      <c r="J94" s="158" t="str">
        <f>IFERROR(VLOOKUP(A94,Tabla4[#All],$J$7,FALSE),"no encontrado")</f>
        <v xml:space="preserve">$ - </v>
      </c>
      <c r="K94" s="158" t="str">
        <f>IFERROR(VLOOKUP(A94,Tabla4[#All],$K$7,FALSE),"no encontrado")</f>
        <v xml:space="preserve"> $ - </v>
      </c>
      <c r="L94" s="158">
        <f>IFERROR(VLOOKUP(A94,Tabla4[#All],$L$7,FALSE),"no encontrado")</f>
        <v>73195518</v>
      </c>
      <c r="M94" s="160">
        <f>IFERROR(VLOOKUP(A94,Tabla4[#All],$M$7,FALSE),"no encontrado")</f>
        <v>10695678</v>
      </c>
      <c r="O94" s="169" t="s">
        <v>38</v>
      </c>
      <c r="T94">
        <v>10</v>
      </c>
      <c r="AA94">
        <v>10</v>
      </c>
    </row>
    <row r="95" spans="1:27">
      <c r="A95" s="92" t="s">
        <v>19</v>
      </c>
      <c r="B95" s="137" t="s">
        <v>392</v>
      </c>
      <c r="C95" s="24" t="s">
        <v>13</v>
      </c>
      <c r="D95" s="24" t="s">
        <v>21</v>
      </c>
      <c r="E95" s="24" t="str">
        <f>IFERROR(VLOOKUP(A95,bdbuscarv!$A$1:$M$101,5,FALSE),"no encontrado")</f>
        <v>Trabajo</v>
      </c>
      <c r="F95" s="24" t="str">
        <f>IFERROR(VLOOKUP(A95,Tabla4[#All],6,FALSE),"no encontrado")</f>
        <v>Buscando trabajo</v>
      </c>
      <c r="G95" s="143" t="str">
        <f>IFERROR(VLOOKUP(A95,Tabla4[#All],7,FALSE),"no encontrado")</f>
        <v>NO</v>
      </c>
      <c r="H95" s="24">
        <f>IFERROR(VLOOKUP(A95,Tabla4[#All],8,FALSE),"no encontrado")</f>
        <v>3</v>
      </c>
      <c r="I95" s="156">
        <f>IFERROR(VLOOKUP(A95,Tabla4[#All],9,FALSE),"no encontrado")</f>
        <v>6</v>
      </c>
      <c r="J95" s="158" t="str">
        <f>IFERROR(VLOOKUP(A95,Tabla4[#All],$J$7,FALSE),"no encontrado")</f>
        <v xml:space="preserve">$ - </v>
      </c>
      <c r="K95" s="158" t="str">
        <f>IFERROR(VLOOKUP(A95,Tabla4[#All],$K$7,FALSE),"no encontrado")</f>
        <v xml:space="preserve"> $ - </v>
      </c>
      <c r="L95" s="158">
        <f>IFERROR(VLOOKUP(A95,Tabla4[#All],$L$7,FALSE),"no encontrado")</f>
        <v>1432950</v>
      </c>
      <c r="M95" s="160">
        <f>IFERROR(VLOOKUP(A95,Tabla4[#All],$M$7,FALSE),"no encontrado")</f>
        <v>29672451</v>
      </c>
      <c r="O95" s="169" t="s">
        <v>43</v>
      </c>
      <c r="T95">
        <v>5</v>
      </c>
      <c r="AA95">
        <v>5</v>
      </c>
    </row>
    <row r="96" spans="1:27">
      <c r="A96" s="92" t="s">
        <v>70</v>
      </c>
      <c r="B96" s="137" t="s">
        <v>393</v>
      </c>
      <c r="C96" s="24" t="s">
        <v>13</v>
      </c>
      <c r="D96" s="24" t="s">
        <v>21</v>
      </c>
      <c r="E96" s="24" t="str">
        <f>IFERROR(VLOOKUP(A96,bdbuscarv!$A$1:$M$101,5,FALSE),"no encontrado")</f>
        <v>Inversión</v>
      </c>
      <c r="F96" s="24" t="str">
        <f>IFERROR(VLOOKUP(A96,Tabla4[#All],6,FALSE),"no encontrado")</f>
        <v>Socio capitalista</v>
      </c>
      <c r="G96" s="143" t="str">
        <f>IFERROR(VLOOKUP(A96,Tabla4[#All],7,FALSE),"no encontrado")</f>
        <v>SI</v>
      </c>
      <c r="H96" s="24">
        <f>IFERROR(VLOOKUP(A96,Tabla4[#All],8,FALSE),"no encontrado")</f>
        <v>8</v>
      </c>
      <c r="I96" s="156">
        <f>IFERROR(VLOOKUP(A96,Tabla4[#All],9,FALSE),"no encontrado")</f>
        <v>7</v>
      </c>
      <c r="J96" s="158">
        <f>IFERROR(VLOOKUP(A96,Tabla4[#All],$J$7,FALSE),"no encontrado")</f>
        <v>1000000</v>
      </c>
      <c r="K96" s="158">
        <f>IFERROR(VLOOKUP(A96,Tabla4[#All],$K$7,FALSE),"no encontrado")</f>
        <v>77159264</v>
      </c>
      <c r="L96" s="158" t="str">
        <f>IFERROR(VLOOKUP(A96,Tabla4[#All],$L$7,FALSE),"no encontrado")</f>
        <v xml:space="preserve"> $ - </v>
      </c>
      <c r="M96" s="160">
        <f>IFERROR(VLOOKUP(A96,Tabla4[#All],$M$7,FALSE),"no encontrado")</f>
        <v>97234303</v>
      </c>
      <c r="O96" s="169" t="s">
        <v>99</v>
      </c>
      <c r="T96">
        <v>9</v>
      </c>
      <c r="AA96">
        <v>9</v>
      </c>
    </row>
    <row r="97" spans="1:27">
      <c r="A97" s="92" t="s">
        <v>104</v>
      </c>
      <c r="B97" s="137" t="s">
        <v>394</v>
      </c>
      <c r="C97" s="25" t="s">
        <v>28</v>
      </c>
      <c r="D97" s="24" t="s">
        <v>21</v>
      </c>
      <c r="E97" s="24" t="str">
        <f>IFERROR(VLOOKUP(A97,bdbuscarv!$A$1:$M$101,5,FALSE),"no encontrado")</f>
        <v>Inversión</v>
      </c>
      <c r="F97" s="24" t="str">
        <f>IFERROR(VLOOKUP(A97,Tabla4[#All],6,FALSE),"no encontrado")</f>
        <v>Socio capitalista</v>
      </c>
      <c r="G97" s="143" t="str">
        <f>IFERROR(VLOOKUP(A97,Tabla4[#All],7,FALSE),"no encontrado")</f>
        <v>NO</v>
      </c>
      <c r="H97" s="24">
        <f>IFERROR(VLOOKUP(A97,Tabla4[#All],8,FALSE),"no encontrado")</f>
        <v>7</v>
      </c>
      <c r="I97" s="156">
        <f>IFERROR(VLOOKUP(A97,Tabla4[#All],9,FALSE),"no encontrado")</f>
        <v>10</v>
      </c>
      <c r="J97" s="158">
        <f>IFERROR(VLOOKUP(A97,Tabla4[#All],$J$7,FALSE),"no encontrado")</f>
        <v>100000000</v>
      </c>
      <c r="K97" s="158">
        <f>IFERROR(VLOOKUP(A97,Tabla4[#All],$K$7,FALSE),"no encontrado")</f>
        <v>12451199</v>
      </c>
      <c r="L97" s="158">
        <f>IFERROR(VLOOKUP(A97,Tabla4[#All],$L$7,FALSE),"no encontrado")</f>
        <v>74231711</v>
      </c>
      <c r="M97" s="160">
        <f>IFERROR(VLOOKUP(A97,Tabla4[#All],$M$7,FALSE),"no encontrado")</f>
        <v>42951226</v>
      </c>
      <c r="O97" s="169" t="s">
        <v>37</v>
      </c>
      <c r="T97">
        <v>7</v>
      </c>
      <c r="AA97">
        <v>7</v>
      </c>
    </row>
    <row r="98" spans="1:27">
      <c r="A98" s="92" t="s">
        <v>128</v>
      </c>
      <c r="B98" s="137" t="s">
        <v>395</v>
      </c>
      <c r="C98" s="24" t="s">
        <v>13</v>
      </c>
      <c r="D98" s="24" t="s">
        <v>9</v>
      </c>
      <c r="E98" s="24" t="str">
        <f>IFERROR(VLOOKUP(A98,bdbuscarv!$A$1:$M$101,5,FALSE),"no encontrado")</f>
        <v>Inversión</v>
      </c>
      <c r="F98" s="24" t="str">
        <f>IFERROR(VLOOKUP(A98,Tabla4[#All],6,FALSE),"no encontrado")</f>
        <v>Socio capitalista</v>
      </c>
      <c r="G98" s="143" t="str">
        <f>IFERROR(VLOOKUP(A98,Tabla4[#All],7,FALSE),"no encontrado")</f>
        <v>SI</v>
      </c>
      <c r="H98" s="24">
        <f>IFERROR(VLOOKUP(A98,Tabla4[#All],8,FALSE),"no encontrado")</f>
        <v>3</v>
      </c>
      <c r="I98" s="156">
        <f>IFERROR(VLOOKUP(A98,Tabla4[#All],9,FALSE),"no encontrado")</f>
        <v>9</v>
      </c>
      <c r="J98" s="158">
        <f>IFERROR(VLOOKUP(A98,Tabla4[#All],$J$7,FALSE),"no encontrado")</f>
        <v>90000000</v>
      </c>
      <c r="K98" s="158">
        <f>IFERROR(VLOOKUP(A98,Tabla4[#All],$K$7,FALSE),"no encontrado")</f>
        <v>13287929</v>
      </c>
      <c r="L98" s="158">
        <f>IFERROR(VLOOKUP(A98,Tabla4[#All],$L$7,FALSE),"no encontrado")</f>
        <v>27090183</v>
      </c>
      <c r="M98" s="160">
        <f>IFERROR(VLOOKUP(A98,Tabla4[#All],$M$7,FALSE),"no encontrado")</f>
        <v>79518711</v>
      </c>
      <c r="O98" s="169" t="s">
        <v>75</v>
      </c>
      <c r="T98">
        <v>10</v>
      </c>
      <c r="AA98">
        <v>10</v>
      </c>
    </row>
    <row r="99" spans="1:27">
      <c r="A99" s="92" t="s">
        <v>53</v>
      </c>
      <c r="B99" s="137" t="s">
        <v>396</v>
      </c>
      <c r="C99" s="25" t="s">
        <v>28</v>
      </c>
      <c r="D99" s="24" t="s">
        <v>54</v>
      </c>
      <c r="E99" s="24" t="str">
        <f>IFERROR(VLOOKUP(A99,bdbuscarv!$A$1:$M$101,5,FALSE),"no encontrado")</f>
        <v>Conocimiento</v>
      </c>
      <c r="F99" s="24" t="str">
        <f>IFERROR(VLOOKUP(A99,Tabla4[#All],6,FALSE),"no encontrado")</f>
        <v>Académico</v>
      </c>
      <c r="G99" s="143" t="str">
        <f>IFERROR(VLOOKUP(A99,Tabla4[#All],7,FALSE),"no encontrado")</f>
        <v>NO</v>
      </c>
      <c r="H99" s="24">
        <f>IFERROR(VLOOKUP(A99,Tabla4[#All],8,FALSE),"no encontrado")</f>
        <v>6</v>
      </c>
      <c r="I99" s="156">
        <f>IFERROR(VLOOKUP(A99,Tabla4[#All],9,FALSE),"no encontrado")</f>
        <v>5</v>
      </c>
      <c r="J99" s="158" t="str">
        <f>IFERROR(VLOOKUP(A99,Tabla4[#All],$J$7,FALSE),"no encontrado")</f>
        <v xml:space="preserve">$ - </v>
      </c>
      <c r="K99" s="158" t="str">
        <f>IFERROR(VLOOKUP(A99,Tabla4[#All],$K$7,FALSE),"no encontrado")</f>
        <v xml:space="preserve"> $ - </v>
      </c>
      <c r="L99" s="158">
        <f>IFERROR(VLOOKUP(A99,Tabla4[#All],$L$7,FALSE),"no encontrado")</f>
        <v>20898506</v>
      </c>
      <c r="M99" s="160">
        <f>IFERROR(VLOOKUP(A99,Tabla4[#All],$M$7,FALSE),"no encontrado")</f>
        <v>24525645</v>
      </c>
      <c r="O99" s="169" t="s">
        <v>50</v>
      </c>
      <c r="T99">
        <v>5</v>
      </c>
      <c r="AA99">
        <v>5</v>
      </c>
    </row>
    <row r="100" spans="1:27">
      <c r="A100" s="92" t="s">
        <v>51</v>
      </c>
      <c r="B100" s="137" t="s">
        <v>397</v>
      </c>
      <c r="C100" s="24" t="s">
        <v>13</v>
      </c>
      <c r="D100" s="24" t="s">
        <v>21</v>
      </c>
      <c r="E100" s="24" t="str">
        <f>IFERROR(VLOOKUP(A100,bdbuscarv!$A$1:$M$101,5,FALSE),"no encontrado")</f>
        <v>Inversión</v>
      </c>
      <c r="F100" s="24" t="str">
        <f>IFERROR(VLOOKUP(A100,Tabla4[#All],6,FALSE),"no encontrado")</f>
        <v>Socio capitalista</v>
      </c>
      <c r="G100" s="143" t="str">
        <f>IFERROR(VLOOKUP(A100,Tabla4[#All],7,FALSE),"no encontrado")</f>
        <v>NO</v>
      </c>
      <c r="H100" s="24">
        <f>IFERROR(VLOOKUP(A100,Tabla4[#All],8,FALSE),"no encontrado")</f>
        <v>8</v>
      </c>
      <c r="I100" s="156">
        <f>IFERROR(VLOOKUP(A100,Tabla4[#All],9,FALSE),"no encontrado")</f>
        <v>7</v>
      </c>
      <c r="J100" s="158">
        <f>IFERROR(VLOOKUP(A100,Tabla4[#All],$J$7,FALSE),"no encontrado")</f>
        <v>5000000</v>
      </c>
      <c r="K100" s="158">
        <f>IFERROR(VLOOKUP(A100,Tabla4[#All],$K$7,FALSE),"no encontrado")</f>
        <v>37959268</v>
      </c>
      <c r="L100" s="158">
        <f>IFERROR(VLOOKUP(A100,Tabla4[#All],$L$7,FALSE),"no encontrado")</f>
        <v>69132389</v>
      </c>
      <c r="M100" s="160">
        <f>IFERROR(VLOOKUP(A100,Tabla4[#All],$M$7,FALSE),"no encontrado")</f>
        <v>99564796</v>
      </c>
      <c r="O100" s="169" t="s">
        <v>104</v>
      </c>
      <c r="S100">
        <v>10</v>
      </c>
      <c r="AA100">
        <v>10</v>
      </c>
    </row>
    <row r="101" spans="1:27">
      <c r="A101" s="92" t="s">
        <v>63</v>
      </c>
      <c r="B101" s="137" t="s">
        <v>398</v>
      </c>
      <c r="C101" s="24" t="s">
        <v>13</v>
      </c>
      <c r="D101" s="24" t="s">
        <v>21</v>
      </c>
      <c r="E101" s="24" t="str">
        <f>IFERROR(VLOOKUP(A101,bdbuscarv!$A$1:$M$101,5,FALSE),"no encontrado")</f>
        <v>Trabajo</v>
      </c>
      <c r="F101" s="24" t="str">
        <f>IFERROR(VLOOKUP(A101,Tabla4[#All],6,FALSE),"no encontrado")</f>
        <v>Buscando trabajo</v>
      </c>
      <c r="G101" s="143" t="str">
        <f>IFERROR(VLOOKUP(A101,Tabla4[#All],7,FALSE),"no encontrado")</f>
        <v>SI</v>
      </c>
      <c r="H101" s="24">
        <f>IFERROR(VLOOKUP(A101,Tabla4[#All],8,FALSE),"no encontrado")</f>
        <v>3</v>
      </c>
      <c r="I101" s="156">
        <f>IFERROR(VLOOKUP(A101,Tabla4[#All],9,FALSE),"no encontrado")</f>
        <v>6</v>
      </c>
      <c r="J101" s="158" t="str">
        <f>IFERROR(VLOOKUP(A101,Tabla4[#All],$J$7,FALSE),"no encontrado")</f>
        <v xml:space="preserve">$ - </v>
      </c>
      <c r="K101" s="158" t="str">
        <f>IFERROR(VLOOKUP(A101,Tabla4[#All],$K$7,FALSE),"no encontrado")</f>
        <v xml:space="preserve"> $ - </v>
      </c>
      <c r="L101" s="158">
        <f>IFERROR(VLOOKUP(A101,Tabla4[#All],$L$7,FALSE),"no encontrado")</f>
        <v>26450622</v>
      </c>
      <c r="M101" s="160">
        <f>IFERROR(VLOOKUP(A101,Tabla4[#All],$M$7,FALSE),"no encontrado")</f>
        <v>4227264</v>
      </c>
      <c r="O101" s="169" t="s">
        <v>49</v>
      </c>
      <c r="T101">
        <v>5</v>
      </c>
      <c r="AA101">
        <v>5</v>
      </c>
    </row>
    <row r="102" spans="1:27">
      <c r="A102" s="92" t="s">
        <v>76</v>
      </c>
      <c r="B102" s="137" t="s">
        <v>399</v>
      </c>
      <c r="C102" s="25" t="s">
        <v>77</v>
      </c>
      <c r="D102" s="24" t="s">
        <v>21</v>
      </c>
      <c r="E102" s="24" t="str">
        <f>IFERROR(VLOOKUP(A102,bdbuscarv!$A$1:$M$101,5,FALSE),"no encontrado")</f>
        <v>Trabajo</v>
      </c>
      <c r="F102" s="24" t="str">
        <f>IFERROR(VLOOKUP(A102,Tabla4[#All],6,FALSE),"no encontrado")</f>
        <v>Buscando trabajo</v>
      </c>
      <c r="G102" s="143" t="str">
        <f>IFERROR(VLOOKUP(A102,Tabla4[#All],7,FALSE),"no encontrado")</f>
        <v>SI</v>
      </c>
      <c r="H102" s="24">
        <f>IFERROR(VLOOKUP(A102,Tabla4[#All],8,FALSE),"no encontrado")</f>
        <v>6</v>
      </c>
      <c r="I102" s="156">
        <f>IFERROR(VLOOKUP(A102,Tabla4[#All],9,FALSE),"no encontrado")</f>
        <v>5</v>
      </c>
      <c r="J102" s="158" t="str">
        <f>IFERROR(VLOOKUP(A102,Tabla4[#All],$J$7,FALSE),"no encontrado")</f>
        <v xml:space="preserve">$ - </v>
      </c>
      <c r="K102" s="158" t="str">
        <f>IFERROR(VLOOKUP(A102,Tabla4[#All],$K$7,FALSE),"no encontrado")</f>
        <v xml:space="preserve"> $ - </v>
      </c>
      <c r="L102" s="158" t="str">
        <f>IFERROR(VLOOKUP(A102,Tabla4[#All],$L$7,FALSE),"no encontrado")</f>
        <v xml:space="preserve"> $ - </v>
      </c>
      <c r="M102" s="160">
        <f>IFERROR(VLOOKUP(A102,Tabla4[#All],$M$7,FALSE),"no encontrado")</f>
        <v>54376640</v>
      </c>
      <c r="O102" s="169" t="s">
        <v>47</v>
      </c>
      <c r="R102">
        <v>9</v>
      </c>
      <c r="AA102">
        <v>9</v>
      </c>
    </row>
    <row r="103" spans="1:27">
      <c r="A103" s="92" t="s">
        <v>134</v>
      </c>
      <c r="B103" s="137" t="s">
        <v>400</v>
      </c>
      <c r="C103" s="24" t="s">
        <v>13</v>
      </c>
      <c r="D103" s="24" t="s">
        <v>21</v>
      </c>
      <c r="E103" s="24" t="str">
        <f>IFERROR(VLOOKUP(A103,bdbuscarv!$A$1:$M$101,5,FALSE),"no encontrado")</f>
        <v>Inversión</v>
      </c>
      <c r="F103" s="24" t="str">
        <f>IFERROR(VLOOKUP(A103,Tabla4[#All],6,FALSE),"no encontrado")</f>
        <v>Socio de proyecto</v>
      </c>
      <c r="G103" s="143" t="str">
        <f>IFERROR(VLOOKUP(A103,Tabla4[#All],7,FALSE),"no encontrado")</f>
        <v>NO</v>
      </c>
      <c r="H103" s="24">
        <f>IFERROR(VLOOKUP(A103,Tabla4[#All],8,FALSE),"no encontrado")</f>
        <v>7</v>
      </c>
      <c r="I103" s="156">
        <f>IFERROR(VLOOKUP(A103,Tabla4[#All],9,FALSE),"no encontrado")</f>
        <v>9</v>
      </c>
      <c r="J103" s="158">
        <f>IFERROR(VLOOKUP(A103,Tabla4[#All],$J$7,FALSE),"no encontrado")</f>
        <v>90000000</v>
      </c>
      <c r="K103" s="158">
        <f>IFERROR(VLOOKUP(A103,Tabla4[#All],$K$7,FALSE),"no encontrado")</f>
        <v>29991873</v>
      </c>
      <c r="L103" s="158">
        <f>IFERROR(VLOOKUP(A103,Tabla4[#All],$L$7,FALSE),"no encontrado")</f>
        <v>39252741</v>
      </c>
      <c r="M103" s="160">
        <f>IFERROR(VLOOKUP(A103,Tabla4[#All],$M$7,FALSE),"no encontrado")</f>
        <v>15542722</v>
      </c>
      <c r="O103" s="169" t="s">
        <v>132</v>
      </c>
      <c r="T103">
        <v>8</v>
      </c>
      <c r="AA103">
        <v>8</v>
      </c>
    </row>
    <row r="104" spans="1:27">
      <c r="A104" s="92" t="s">
        <v>52</v>
      </c>
      <c r="B104" s="137" t="s">
        <v>401</v>
      </c>
      <c r="C104" s="24" t="s">
        <v>13</v>
      </c>
      <c r="D104" s="24" t="s">
        <v>21</v>
      </c>
      <c r="E104" s="24" t="str">
        <f>IFERROR(VLOOKUP(A104,bdbuscarv!$A$1:$M$101,5,FALSE),"no encontrado")</f>
        <v>Inversión</v>
      </c>
      <c r="F104" s="24" t="str">
        <f>IFERROR(VLOOKUP(A104,Tabla4[#All],6,FALSE),"no encontrado")</f>
        <v>Socio de proyecto</v>
      </c>
      <c r="G104" s="143" t="str">
        <f>IFERROR(VLOOKUP(A104,Tabla4[#All],7,FALSE),"no encontrado")</f>
        <v>NO</v>
      </c>
      <c r="H104" s="24">
        <f>IFERROR(VLOOKUP(A104,Tabla4[#All],8,FALSE),"no encontrado")</f>
        <v>6</v>
      </c>
      <c r="I104" s="156">
        <f>IFERROR(VLOOKUP(A104,Tabla4[#All],9,FALSE),"no encontrado")</f>
        <v>10</v>
      </c>
      <c r="J104" s="158">
        <f>IFERROR(VLOOKUP(A104,Tabla4[#All],$J$7,FALSE),"no encontrado")</f>
        <v>10000000</v>
      </c>
      <c r="K104" s="158">
        <f>IFERROR(VLOOKUP(A104,Tabla4[#All],$K$7,FALSE),"no encontrado")</f>
        <v>7303129</v>
      </c>
      <c r="L104" s="158">
        <f>IFERROR(VLOOKUP(A104,Tabla4[#All],$L$7,FALSE),"no encontrado")</f>
        <v>3765621</v>
      </c>
      <c r="M104" s="160">
        <f>IFERROR(VLOOKUP(A104,Tabla4[#All],$M$7,FALSE),"no encontrado")</f>
        <v>18125151</v>
      </c>
      <c r="O104" s="169" t="s">
        <v>8</v>
      </c>
      <c r="T104">
        <v>9</v>
      </c>
      <c r="AA104">
        <v>9</v>
      </c>
    </row>
    <row r="105" spans="1:27">
      <c r="A105" s="92" t="s">
        <v>69</v>
      </c>
      <c r="B105" s="137" t="s">
        <v>402</v>
      </c>
      <c r="C105" s="25" t="s">
        <v>32</v>
      </c>
      <c r="D105" s="24" t="s">
        <v>21</v>
      </c>
      <c r="E105" s="24" t="str">
        <f>IFERROR(VLOOKUP(A105,bdbuscarv!$A$1:$M$101,5,FALSE),"no encontrado")</f>
        <v>Inversión</v>
      </c>
      <c r="F105" s="24" t="str">
        <f>IFERROR(VLOOKUP(A105,Tabla4[#All],6,FALSE),"no encontrado")</f>
        <v>Socio de proyecto</v>
      </c>
      <c r="G105" s="143" t="str">
        <f>IFERROR(VLOOKUP(A105,Tabla4[#All],7,FALSE),"no encontrado")</f>
        <v>NO</v>
      </c>
      <c r="H105" s="24">
        <f>IFERROR(VLOOKUP(A105,Tabla4[#All],8,FALSE),"no encontrado")</f>
        <v>3</v>
      </c>
      <c r="I105" s="156">
        <f>IFERROR(VLOOKUP(A105,Tabla4[#All],9,FALSE),"no encontrado")</f>
        <v>9</v>
      </c>
      <c r="J105" s="158">
        <f>IFERROR(VLOOKUP(A105,Tabla4[#All],$J$7,FALSE),"no encontrado")</f>
        <v>30000000</v>
      </c>
      <c r="K105" s="158">
        <f>IFERROR(VLOOKUP(A105,Tabla4[#All],$K$7,FALSE),"no encontrado")</f>
        <v>44457754</v>
      </c>
      <c r="L105" s="158" t="str">
        <f>IFERROR(VLOOKUP(A105,Tabla4[#All],$L$7,FALSE),"no encontrado")</f>
        <v xml:space="preserve"> $ - </v>
      </c>
      <c r="M105" s="160">
        <f>IFERROR(VLOOKUP(A105,Tabla4[#All],$M$7,FALSE),"no encontrado")</f>
        <v>62249765</v>
      </c>
      <c r="O105" s="169" t="s">
        <v>107</v>
      </c>
      <c r="T105">
        <v>3</v>
      </c>
      <c r="AA105">
        <v>3</v>
      </c>
    </row>
    <row r="106" spans="1:27">
      <c r="A106" s="92" t="s">
        <v>83</v>
      </c>
      <c r="B106" s="137" t="s">
        <v>403</v>
      </c>
      <c r="C106" s="24" t="s">
        <v>13</v>
      </c>
      <c r="D106" s="24" t="s">
        <v>21</v>
      </c>
      <c r="E106" s="24" t="str">
        <f>IFERROR(VLOOKUP(A106,bdbuscarv!$A$1:$M$101,5,FALSE),"no encontrado")</f>
        <v>Inversión</v>
      </c>
      <c r="F106" s="24" t="str">
        <f>IFERROR(VLOOKUP(A106,Tabla4[#All],6,FALSE),"no encontrado")</f>
        <v>Socio capitalista</v>
      </c>
      <c r="G106" s="143" t="str">
        <f>IFERROR(VLOOKUP(A106,Tabla4[#All],7,FALSE),"no encontrado")</f>
        <v>NO</v>
      </c>
      <c r="H106" s="24">
        <f>IFERROR(VLOOKUP(A106,Tabla4[#All],8,FALSE),"no encontrado")</f>
        <v>4</v>
      </c>
      <c r="I106" s="156">
        <f>IFERROR(VLOOKUP(A106,Tabla4[#All],9,FALSE),"no encontrado")</f>
        <v>10</v>
      </c>
      <c r="J106" s="158">
        <f>IFERROR(VLOOKUP(A106,Tabla4[#All],$J$7,FALSE),"no encontrado")</f>
        <v>10000000</v>
      </c>
      <c r="K106" s="158">
        <f>IFERROR(VLOOKUP(A106,Tabla4[#All],$K$7,FALSE),"no encontrado")</f>
        <v>54467236</v>
      </c>
      <c r="L106" s="158" t="str">
        <f>IFERROR(VLOOKUP(A106,Tabla4[#All],$L$7,FALSE),"no encontrado")</f>
        <v xml:space="preserve"> $ - </v>
      </c>
      <c r="M106" s="160">
        <f>IFERROR(VLOOKUP(A106,Tabla4[#All],$M$7,FALSE),"no encontrado")</f>
        <v>1234692</v>
      </c>
      <c r="O106" s="169" t="s">
        <v>63</v>
      </c>
      <c r="T106">
        <v>6</v>
      </c>
      <c r="AA106">
        <v>6</v>
      </c>
    </row>
    <row r="107" spans="1:27">
      <c r="A107" s="92" t="s">
        <v>75</v>
      </c>
      <c r="B107" s="137" t="s">
        <v>404</v>
      </c>
      <c r="C107" s="24" t="s">
        <v>13</v>
      </c>
      <c r="D107" s="24" t="s">
        <v>21</v>
      </c>
      <c r="E107" s="24" t="str">
        <f>IFERROR(VLOOKUP(A107,bdbuscarv!$A$1:$M$101,5,FALSE),"no encontrado")</f>
        <v>Inversión</v>
      </c>
      <c r="F107" s="24" t="str">
        <f>IFERROR(VLOOKUP(A107,Tabla4[#All],6,FALSE),"no encontrado")</f>
        <v>Socio de proyecto</v>
      </c>
      <c r="G107" s="143" t="str">
        <f>IFERROR(VLOOKUP(A107,Tabla4[#All],7,FALSE),"no encontrado")</f>
        <v>NO</v>
      </c>
      <c r="H107" s="24">
        <f>IFERROR(VLOOKUP(A107,Tabla4[#All],8,FALSE),"no encontrado")</f>
        <v>4</v>
      </c>
      <c r="I107" s="156">
        <f>IFERROR(VLOOKUP(A107,Tabla4[#All],9,FALSE),"no encontrado")</f>
        <v>10</v>
      </c>
      <c r="J107" s="158">
        <f>IFERROR(VLOOKUP(A107,Tabla4[#All],$J$7,FALSE),"no encontrado")</f>
        <v>10000000</v>
      </c>
      <c r="K107" s="158">
        <f>IFERROR(VLOOKUP(A107,Tabla4[#All],$K$7,FALSE),"no encontrado")</f>
        <v>17991607</v>
      </c>
      <c r="L107" s="158" t="str">
        <f>IFERROR(VLOOKUP(A107,Tabla4[#All],$L$7,FALSE),"no encontrado")</f>
        <v xml:space="preserve"> $ - </v>
      </c>
      <c r="M107" s="160">
        <f>IFERROR(VLOOKUP(A107,Tabla4[#All],$M$7,FALSE),"no encontrado")</f>
        <v>174626</v>
      </c>
      <c r="O107" s="169" t="s">
        <v>410</v>
      </c>
      <c r="P107">
        <v>5</v>
      </c>
      <c r="Q107">
        <v>5</v>
      </c>
      <c r="R107">
        <v>42</v>
      </c>
      <c r="S107">
        <v>30</v>
      </c>
      <c r="T107">
        <v>626</v>
      </c>
      <c r="U107">
        <v>8</v>
      </c>
      <c r="V107">
        <v>10</v>
      </c>
      <c r="W107">
        <v>5</v>
      </c>
      <c r="X107">
        <v>7</v>
      </c>
      <c r="Y107">
        <v>13</v>
      </c>
      <c r="Z107">
        <v>5</v>
      </c>
      <c r="AA107">
        <v>756</v>
      </c>
    </row>
    <row r="108" spans="1:27">
      <c r="A108" s="149" t="s">
        <v>92</v>
      </c>
      <c r="B108" s="150" t="s">
        <v>405</v>
      </c>
      <c r="C108" s="151" t="s">
        <v>13</v>
      </c>
      <c r="D108" s="151" t="s">
        <v>21</v>
      </c>
      <c r="E108" s="151" t="str">
        <f>IFERROR(VLOOKUP(A108,bdbuscarv!$A$1:$M$101,5,FALSE),"no encontrado")</f>
        <v>Trabajo</v>
      </c>
      <c r="F108" s="151" t="str">
        <f>IFERROR(VLOOKUP(A108,Tabla4[#All],6,FALSE),"no encontrado")</f>
        <v>Ofreciendo trabajo</v>
      </c>
      <c r="G108" s="164" t="str">
        <f>IFERROR(VLOOKUP(A108,Tabla4[#All],7,FALSE),"no encontrado")</f>
        <v>NO</v>
      </c>
      <c r="H108" s="151">
        <f>IFERROR(VLOOKUP(A108,Tabla4[#All],8,FALSE),"no encontrado")</f>
        <v>5</v>
      </c>
      <c r="I108" s="165">
        <f>IFERROR(VLOOKUP(A108,Tabla4[#All],9,FALSE),"no encontrado")</f>
        <v>10</v>
      </c>
      <c r="J108" s="166" t="str">
        <f>IFERROR(VLOOKUP(A108,Tabla4[#All],$J$7,FALSE),"no encontrado")</f>
        <v xml:space="preserve">$ - </v>
      </c>
      <c r="K108" s="166" t="str">
        <f>IFERROR(VLOOKUP(A108,Tabla4[#All],$K$7,FALSE),"no encontrado")</f>
        <v xml:space="preserve"> $ - </v>
      </c>
      <c r="L108" s="166">
        <f>IFERROR(VLOOKUP(A108,Tabla4[#All],$L$7,FALSE),"no encontrado")</f>
        <v>24965127</v>
      </c>
      <c r="M108" s="167">
        <f>IFERROR(VLOOKUP(A108,Tabla4[#All],$M$7,FALSE),"no encontrado")</f>
        <v>41129782</v>
      </c>
    </row>
  </sheetData>
  <mergeCells count="2">
    <mergeCell ref="E6:F6"/>
    <mergeCell ref="G6:M6"/>
  </mergeCells>
  <hyperlinks>
    <hyperlink ref="B9" r:id="rId2" xr:uid="{971E07CC-A4CD-4C46-8AEA-356D177E1003}"/>
  </hyperlinks>
  <pageMargins left="0.7" right="0.7" top="0.75" bottom="0.75" header="0.3" footer="0.3"/>
  <drawing r:id="rId3"/>
  <tableParts count="1">
    <tablePart r:id="rId4"/>
  </tableParts>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59FD5-62B8-4C27-A9D5-AC86CA608570}">
  <sheetPr codeName="Hoja12"/>
  <dimension ref="A1:O101"/>
  <sheetViews>
    <sheetView topLeftCell="J1" workbookViewId="0">
      <selection activeCell="P8" sqref="P8"/>
    </sheetView>
  </sheetViews>
  <sheetFormatPr baseColWidth="10" defaultRowHeight="15"/>
  <cols>
    <col min="2" max="2" width="26.42578125" bestFit="1" customWidth="1"/>
    <col min="3" max="3" width="15.5703125" customWidth="1"/>
    <col min="5" max="5" width="31.140625" customWidth="1"/>
    <col min="6" max="6" width="18.28515625" customWidth="1"/>
    <col min="7" max="7" width="27.5703125" customWidth="1"/>
    <col min="8" max="8" width="23.7109375" customWidth="1"/>
    <col min="9" max="9" width="28" customWidth="1"/>
    <col min="10" max="10" width="26.42578125" customWidth="1"/>
    <col min="11" max="13" width="19.7109375" customWidth="1"/>
  </cols>
  <sheetData>
    <row r="1" spans="1:15">
      <c r="A1" s="146" t="s">
        <v>0</v>
      </c>
      <c r="B1" s="147" t="s">
        <v>305</v>
      </c>
      <c r="C1" s="147" t="s">
        <v>7</v>
      </c>
      <c r="D1" s="147" t="s">
        <v>3</v>
      </c>
      <c r="E1" s="147" t="s">
        <v>4</v>
      </c>
      <c r="F1" s="147" t="s">
        <v>5</v>
      </c>
      <c r="G1" s="147" t="s">
        <v>6</v>
      </c>
      <c r="H1" s="147" t="s">
        <v>276</v>
      </c>
      <c r="I1" s="147" t="s">
        <v>277</v>
      </c>
      <c r="J1" s="147" t="s">
        <v>175</v>
      </c>
      <c r="K1" s="147" t="s">
        <v>176</v>
      </c>
      <c r="L1" s="147" t="s">
        <v>177</v>
      </c>
      <c r="M1" s="148" t="s">
        <v>178</v>
      </c>
      <c r="O1" t="s">
        <v>496</v>
      </c>
    </row>
    <row r="2" spans="1:15">
      <c r="A2" s="92" t="s">
        <v>57</v>
      </c>
      <c r="B2" s="40" t="s">
        <v>306</v>
      </c>
      <c r="C2" s="24" t="s">
        <v>13</v>
      </c>
      <c r="D2" s="24" t="s">
        <v>54</v>
      </c>
      <c r="E2" s="24" t="s">
        <v>55</v>
      </c>
      <c r="F2" s="24" t="s">
        <v>56</v>
      </c>
      <c r="G2" s="24" t="s">
        <v>12</v>
      </c>
      <c r="H2" s="24">
        <v>3</v>
      </c>
      <c r="I2" s="24">
        <v>8</v>
      </c>
      <c r="J2" s="23" t="s">
        <v>141</v>
      </c>
      <c r="K2" s="23" t="s">
        <v>179</v>
      </c>
      <c r="L2" s="28">
        <v>96781441</v>
      </c>
      <c r="M2" s="144">
        <v>47643060</v>
      </c>
      <c r="O2" t="str">
        <f>CONCATENATE("MD ",Tabla4[[#This Row],[Nombre]],"_",Tabla4[[#This Row],[País de orígen]])</f>
        <v>MD ALBERT_COLOMBIA</v>
      </c>
    </row>
    <row r="3" spans="1:15">
      <c r="A3" s="92" t="s">
        <v>98</v>
      </c>
      <c r="B3" s="137" t="s">
        <v>307</v>
      </c>
      <c r="C3" s="24" t="s">
        <v>13</v>
      </c>
      <c r="D3" s="24" t="s">
        <v>21</v>
      </c>
      <c r="E3" s="24" t="s">
        <v>10</v>
      </c>
      <c r="F3" s="24" t="s">
        <v>11</v>
      </c>
      <c r="G3" s="24" t="s">
        <v>30</v>
      </c>
      <c r="H3" s="24">
        <v>8</v>
      </c>
      <c r="I3" s="24">
        <v>7</v>
      </c>
      <c r="J3" s="28">
        <v>10000000</v>
      </c>
      <c r="K3" s="28">
        <v>40848959</v>
      </c>
      <c r="L3" s="28">
        <v>92963332</v>
      </c>
      <c r="M3" s="144">
        <v>47565587</v>
      </c>
      <c r="O3" t="str">
        <f>CONCATENATE("MD ",Tabla4[[#This Row],[Nombre]],"_",Tabla4[[#This Row],[País de orígen]])</f>
        <v>MD JOAQUIN_COLOMBIA</v>
      </c>
    </row>
    <row r="4" spans="1:15">
      <c r="A4" s="92" t="s">
        <v>118</v>
      </c>
      <c r="B4" s="137" t="s">
        <v>308</v>
      </c>
      <c r="C4" s="24" t="s">
        <v>13</v>
      </c>
      <c r="D4" s="24" t="s">
        <v>9</v>
      </c>
      <c r="E4" s="24" t="s">
        <v>17</v>
      </c>
      <c r="F4" s="25" t="s">
        <v>23</v>
      </c>
      <c r="G4" s="24" t="s">
        <v>12</v>
      </c>
      <c r="H4" s="24">
        <v>5</v>
      </c>
      <c r="I4" s="24">
        <v>10</v>
      </c>
      <c r="J4" s="23" t="s">
        <v>141</v>
      </c>
      <c r="K4" s="23" t="s">
        <v>179</v>
      </c>
      <c r="L4" s="28">
        <v>49599457</v>
      </c>
      <c r="M4" s="145" t="s">
        <v>179</v>
      </c>
      <c r="O4" t="str">
        <f>CONCATENATE("MD ",Tabla4[[#This Row],[Nombre]],"_",Tabla4[[#This Row],[País de orígen]])</f>
        <v>MD CESAR_COLOMBIA</v>
      </c>
    </row>
    <row r="5" spans="1:15">
      <c r="A5" s="92" t="s">
        <v>60</v>
      </c>
      <c r="B5" s="137" t="s">
        <v>309</v>
      </c>
      <c r="C5" s="24" t="s">
        <v>13</v>
      </c>
      <c r="D5" s="24" t="s">
        <v>21</v>
      </c>
      <c r="E5" s="24" t="s">
        <v>10</v>
      </c>
      <c r="F5" s="24" t="s">
        <v>27</v>
      </c>
      <c r="G5" s="24" t="s">
        <v>12</v>
      </c>
      <c r="H5" s="24">
        <v>4</v>
      </c>
      <c r="I5" s="24">
        <v>8</v>
      </c>
      <c r="J5" s="28">
        <v>10000000</v>
      </c>
      <c r="K5" s="28">
        <v>78308880</v>
      </c>
      <c r="L5" s="28">
        <v>3248026</v>
      </c>
      <c r="M5" s="144">
        <v>27143270</v>
      </c>
      <c r="O5" t="str">
        <f>CONCATENATE("MD ",Tabla4[[#This Row],[Nombre]],"_",Tabla4[[#This Row],[País de orígen]])</f>
        <v>MD HUGO_COLOMBIA</v>
      </c>
    </row>
    <row r="6" spans="1:15">
      <c r="A6" s="92" t="s">
        <v>8</v>
      </c>
      <c r="B6" s="137" t="s">
        <v>310</v>
      </c>
      <c r="C6" s="24" t="s">
        <v>13</v>
      </c>
      <c r="D6" s="24" t="s">
        <v>9</v>
      </c>
      <c r="E6" s="24" t="s">
        <v>10</v>
      </c>
      <c r="F6" s="24" t="s">
        <v>11</v>
      </c>
      <c r="G6" s="24" t="s">
        <v>12</v>
      </c>
      <c r="H6" s="24">
        <v>4</v>
      </c>
      <c r="I6" s="24">
        <v>9</v>
      </c>
      <c r="J6" s="28">
        <v>50000000</v>
      </c>
      <c r="K6" s="28">
        <v>2910571</v>
      </c>
      <c r="L6" s="28">
        <v>37561085</v>
      </c>
      <c r="M6" s="144">
        <v>19598007</v>
      </c>
      <c r="O6" t="str">
        <f>CONCATENATE("MD ",Tabla4[[#This Row],[Nombre]],"_",Tabla4[[#This Row],[País de orígen]])</f>
        <v>MD VALENTINA_COLOMBIA</v>
      </c>
    </row>
    <row r="7" spans="1:15">
      <c r="A7" s="92" t="s">
        <v>125</v>
      </c>
      <c r="B7" s="137" t="s">
        <v>311</v>
      </c>
      <c r="C7" s="24" t="s">
        <v>13</v>
      </c>
      <c r="D7" s="24" t="s">
        <v>21</v>
      </c>
      <c r="E7" s="24" t="s">
        <v>10</v>
      </c>
      <c r="F7" s="24" t="s">
        <v>27</v>
      </c>
      <c r="G7" s="24" t="s">
        <v>12</v>
      </c>
      <c r="H7" s="24">
        <v>9</v>
      </c>
      <c r="I7" s="24">
        <v>7</v>
      </c>
      <c r="J7" s="28">
        <v>90000000</v>
      </c>
      <c r="K7" s="28">
        <v>50075523</v>
      </c>
      <c r="L7" s="28">
        <v>59142617</v>
      </c>
      <c r="M7" s="144">
        <v>95314026</v>
      </c>
      <c r="O7" t="str">
        <f>CONCATENATE("MD ",Tabla4[[#This Row],[Nombre]],"_",Tabla4[[#This Row],[País de orígen]])</f>
        <v>MD GERMAN_COLOMBIA</v>
      </c>
    </row>
    <row r="8" spans="1:15">
      <c r="A8" s="92" t="s">
        <v>74</v>
      </c>
      <c r="B8" s="137" t="s">
        <v>312</v>
      </c>
      <c r="C8" s="24" t="s">
        <v>13</v>
      </c>
      <c r="D8" s="24" t="s">
        <v>21</v>
      </c>
      <c r="E8" s="24" t="s">
        <v>17</v>
      </c>
      <c r="F8" s="25" t="s">
        <v>23</v>
      </c>
      <c r="G8" s="24" t="s">
        <v>12</v>
      </c>
      <c r="H8" s="24">
        <v>5</v>
      </c>
      <c r="I8" s="24">
        <v>9</v>
      </c>
      <c r="J8" s="23" t="s">
        <v>141</v>
      </c>
      <c r="K8" s="23" t="s">
        <v>179</v>
      </c>
      <c r="L8" s="23" t="s">
        <v>179</v>
      </c>
      <c r="M8" s="144">
        <v>67714973</v>
      </c>
      <c r="O8" t="str">
        <f>CONCATENATE("MD ",Tabla4[[#This Row],[Nombre]],"_",Tabla4[[#This Row],[País de orígen]])</f>
        <v>MD DAVID_COLOMBIA</v>
      </c>
    </row>
    <row r="9" spans="1:15">
      <c r="A9" s="92" t="s">
        <v>29</v>
      </c>
      <c r="B9" s="137" t="s">
        <v>313</v>
      </c>
      <c r="C9" s="24" t="s">
        <v>13</v>
      </c>
      <c r="D9" s="24" t="s">
        <v>21</v>
      </c>
      <c r="E9" s="24" t="s">
        <v>10</v>
      </c>
      <c r="F9" s="24" t="s">
        <v>11</v>
      </c>
      <c r="G9" s="24" t="s">
        <v>30</v>
      </c>
      <c r="H9" s="24">
        <v>8</v>
      </c>
      <c r="I9" s="24">
        <v>10</v>
      </c>
      <c r="J9" s="28">
        <v>1000000</v>
      </c>
      <c r="K9" s="28">
        <v>5305190</v>
      </c>
      <c r="L9" s="28">
        <v>53291805</v>
      </c>
      <c r="M9" s="144">
        <v>84809282</v>
      </c>
      <c r="O9" t="str">
        <f>CONCATENATE("MD ",Tabla4[[#This Row],[Nombre]],"_",Tabla4[[#This Row],[País de orígen]])</f>
        <v>MD MIGUEL_COLOMBIA</v>
      </c>
    </row>
    <row r="10" spans="1:15">
      <c r="A10" s="92" t="s">
        <v>107</v>
      </c>
      <c r="B10" s="137" t="s">
        <v>314</v>
      </c>
      <c r="C10" s="23" t="s">
        <v>13</v>
      </c>
      <c r="D10" s="23" t="s">
        <v>15</v>
      </c>
      <c r="E10" s="23" t="s">
        <v>17</v>
      </c>
      <c r="F10" s="75" t="s">
        <v>23</v>
      </c>
      <c r="G10" s="23" t="s">
        <v>30</v>
      </c>
      <c r="H10" s="24">
        <v>8</v>
      </c>
      <c r="I10" s="24">
        <v>3</v>
      </c>
      <c r="J10" s="23" t="s">
        <v>141</v>
      </c>
      <c r="K10" s="23" t="s">
        <v>179</v>
      </c>
      <c r="L10" s="28">
        <v>50085574</v>
      </c>
      <c r="M10" s="144">
        <v>42495353</v>
      </c>
      <c r="O10" t="str">
        <f>CONCATENATE("MD ",Tabla4[[#This Row],[Nombre]],"_",Tabla4[[#This Row],[País de orígen]])</f>
        <v>MD VICENTE_COLOMBIA</v>
      </c>
    </row>
    <row r="11" spans="1:15">
      <c r="A11" s="92" t="s">
        <v>108</v>
      </c>
      <c r="B11" s="137" t="s">
        <v>315</v>
      </c>
      <c r="C11" s="24" t="s">
        <v>13</v>
      </c>
      <c r="D11" s="24" t="s">
        <v>25</v>
      </c>
      <c r="E11" s="24" t="s">
        <v>10</v>
      </c>
      <c r="F11" s="24" t="s">
        <v>27</v>
      </c>
      <c r="G11" s="24" t="s">
        <v>12</v>
      </c>
      <c r="H11" s="24">
        <v>5</v>
      </c>
      <c r="I11" s="24">
        <v>9</v>
      </c>
      <c r="J11" s="28">
        <v>10000000</v>
      </c>
      <c r="K11" s="28">
        <v>38941670</v>
      </c>
      <c r="L11" s="28">
        <v>67846781</v>
      </c>
      <c r="M11" s="144">
        <v>87726693</v>
      </c>
      <c r="O11" t="str">
        <f>CONCATENATE("MD ",Tabla4[[#This Row],[Nombre]],"_",Tabla4[[#This Row],[País de orígen]])</f>
        <v>MD ALVARO_COLOMBIA</v>
      </c>
    </row>
    <row r="12" spans="1:15">
      <c r="A12" s="92" t="s">
        <v>129</v>
      </c>
      <c r="B12" s="137" t="s">
        <v>316</v>
      </c>
      <c r="C12" s="25" t="s">
        <v>130</v>
      </c>
      <c r="D12" s="24" t="s">
        <v>21</v>
      </c>
      <c r="E12" s="24" t="s">
        <v>10</v>
      </c>
      <c r="F12" s="24" t="s">
        <v>27</v>
      </c>
      <c r="G12" s="24" t="s">
        <v>12</v>
      </c>
      <c r="H12" s="24">
        <v>4</v>
      </c>
      <c r="I12" s="24">
        <v>5</v>
      </c>
      <c r="J12" s="28">
        <v>1000000</v>
      </c>
      <c r="K12" s="28">
        <v>28926771</v>
      </c>
      <c r="L12" s="28">
        <v>56939610</v>
      </c>
      <c r="M12" s="144">
        <v>92726884</v>
      </c>
      <c r="O12" t="str">
        <f>CONCATENATE("MD ",Tabla4[[#This Row],[Nombre]],"_",Tabla4[[#This Row],[País de orígen]])</f>
        <v>MD LUIS_VENEZUELA</v>
      </c>
    </row>
    <row r="13" spans="1:15">
      <c r="A13" s="92" t="s">
        <v>93</v>
      </c>
      <c r="B13" s="137" t="s">
        <v>317</v>
      </c>
      <c r="C13" s="24" t="s">
        <v>13</v>
      </c>
      <c r="D13" s="24" t="s">
        <v>21</v>
      </c>
      <c r="E13" s="24" t="s">
        <v>10</v>
      </c>
      <c r="F13" s="24" t="s">
        <v>27</v>
      </c>
      <c r="G13" s="24" t="s">
        <v>12</v>
      </c>
      <c r="H13" s="24">
        <v>3</v>
      </c>
      <c r="I13" s="24">
        <v>8</v>
      </c>
      <c r="J13" s="28">
        <v>1000000</v>
      </c>
      <c r="K13" s="28">
        <v>34252074</v>
      </c>
      <c r="L13" s="23" t="s">
        <v>179</v>
      </c>
      <c r="M13" s="144">
        <v>22994819</v>
      </c>
      <c r="O13" t="str">
        <f>CONCATENATE("MD ",Tabla4[[#This Row],[Nombre]],"_",Tabla4[[#This Row],[País de orígen]])</f>
        <v>MD DANIEL_COLOMBIA</v>
      </c>
    </row>
    <row r="14" spans="1:15">
      <c r="A14" s="92" t="s">
        <v>16</v>
      </c>
      <c r="B14" s="137" t="s">
        <v>318</v>
      </c>
      <c r="C14" s="24" t="s">
        <v>13</v>
      </c>
      <c r="D14" s="24" t="s">
        <v>9</v>
      </c>
      <c r="E14" s="24" t="s">
        <v>17</v>
      </c>
      <c r="F14" s="25" t="s">
        <v>18</v>
      </c>
      <c r="G14" s="24" t="s">
        <v>12</v>
      </c>
      <c r="H14" s="24">
        <v>7</v>
      </c>
      <c r="I14" s="24">
        <v>9</v>
      </c>
      <c r="J14" s="23" t="s">
        <v>141</v>
      </c>
      <c r="K14" s="23" t="s">
        <v>179</v>
      </c>
      <c r="L14" s="28">
        <v>45347826</v>
      </c>
      <c r="M14" s="144">
        <v>14301768</v>
      </c>
      <c r="O14" t="str">
        <f>CONCATENATE("MD ",Tabla4[[#This Row],[Nombre]],"_",Tabla4[[#This Row],[País de orígen]])</f>
        <v>MD JOSEP_COLOMBIA</v>
      </c>
    </row>
    <row r="15" spans="1:15">
      <c r="A15" s="92" t="s">
        <v>34</v>
      </c>
      <c r="B15" s="137" t="s">
        <v>319</v>
      </c>
      <c r="C15" s="24" t="s">
        <v>13</v>
      </c>
      <c r="D15" s="24" t="s">
        <v>21</v>
      </c>
      <c r="E15" s="24" t="s">
        <v>17</v>
      </c>
      <c r="F15" s="25" t="s">
        <v>18</v>
      </c>
      <c r="G15" s="24" t="s">
        <v>30</v>
      </c>
      <c r="H15" s="24">
        <v>4</v>
      </c>
      <c r="I15" s="24">
        <v>8</v>
      </c>
      <c r="J15" s="23" t="s">
        <v>141</v>
      </c>
      <c r="K15" s="23" t="s">
        <v>179</v>
      </c>
      <c r="L15" s="28">
        <v>71453938</v>
      </c>
      <c r="M15" s="144">
        <v>38593802</v>
      </c>
      <c r="O15" t="str">
        <f>CONCATENATE("MD ",Tabla4[[#This Row],[Nombre]],"_",Tabla4[[#This Row],[País de orígen]])</f>
        <v>MD EDUARDO_COLOMBIA</v>
      </c>
    </row>
    <row r="16" spans="1:15">
      <c r="A16" s="92" t="s">
        <v>45</v>
      </c>
      <c r="B16" s="137" t="s">
        <v>320</v>
      </c>
      <c r="C16" s="24" t="s">
        <v>13</v>
      </c>
      <c r="D16" s="24" t="s">
        <v>25</v>
      </c>
      <c r="E16" s="24" t="s">
        <v>10</v>
      </c>
      <c r="F16" s="24" t="s">
        <v>11</v>
      </c>
      <c r="G16" s="24" t="s">
        <v>12</v>
      </c>
      <c r="H16" s="24">
        <v>9</v>
      </c>
      <c r="I16" s="24">
        <v>10</v>
      </c>
      <c r="J16" s="28">
        <v>20000000</v>
      </c>
      <c r="K16" s="28">
        <v>32346156</v>
      </c>
      <c r="L16" s="28">
        <v>22346275</v>
      </c>
      <c r="M16" s="144">
        <v>73743047</v>
      </c>
      <c r="O16" t="str">
        <f>CONCATENATE("MD ",Tabla4[[#This Row],[Nombre]],"_",Tabla4[[#This Row],[País de orígen]])</f>
        <v>MD LEONEL_COLOMBIA</v>
      </c>
    </row>
    <row r="17" spans="1:15">
      <c r="A17" s="92" t="s">
        <v>64</v>
      </c>
      <c r="B17" s="137" t="s">
        <v>321</v>
      </c>
      <c r="C17" s="24" t="s">
        <v>13</v>
      </c>
      <c r="D17" s="24" t="s">
        <v>54</v>
      </c>
      <c r="E17" s="24" t="s">
        <v>55</v>
      </c>
      <c r="F17" s="24" t="s">
        <v>56</v>
      </c>
      <c r="G17" s="24" t="s">
        <v>12</v>
      </c>
      <c r="H17" s="24">
        <v>4</v>
      </c>
      <c r="I17" s="24">
        <v>6</v>
      </c>
      <c r="J17" s="23" t="s">
        <v>141</v>
      </c>
      <c r="K17" s="23" t="s">
        <v>179</v>
      </c>
      <c r="L17" s="28">
        <v>96357193</v>
      </c>
      <c r="M17" s="144">
        <v>67901582</v>
      </c>
      <c r="O17" t="str">
        <f>CONCATENATE("MD ",Tabla4[[#This Row],[Nombre]],"_",Tabla4[[#This Row],[País de orígen]])</f>
        <v>MD JORDI_COLOMBIA</v>
      </c>
    </row>
    <row r="18" spans="1:15">
      <c r="A18" s="92" t="s">
        <v>90</v>
      </c>
      <c r="B18" s="137" t="s">
        <v>322</v>
      </c>
      <c r="C18" s="24" t="s">
        <v>13</v>
      </c>
      <c r="D18" s="24" t="s">
        <v>21</v>
      </c>
      <c r="E18" s="24" t="s">
        <v>10</v>
      </c>
      <c r="F18" s="24" t="s">
        <v>11</v>
      </c>
      <c r="G18" s="24" t="s">
        <v>12</v>
      </c>
      <c r="H18" s="24">
        <v>5</v>
      </c>
      <c r="I18" s="24">
        <v>7</v>
      </c>
      <c r="J18" s="28">
        <v>100000000</v>
      </c>
      <c r="K18" s="28">
        <v>72903049</v>
      </c>
      <c r="L18" s="28">
        <v>67375493</v>
      </c>
      <c r="M18" s="144">
        <v>4753995</v>
      </c>
      <c r="O18" t="str">
        <f>CONCATENATE("MD ",Tabla4[[#This Row],[Nombre]],"_",Tabla4[[#This Row],[País de orígen]])</f>
        <v>MD ESTEBAN_COLOMBIA</v>
      </c>
    </row>
    <row r="19" spans="1:15">
      <c r="A19" s="92" t="s">
        <v>105</v>
      </c>
      <c r="B19" s="137" t="s">
        <v>323</v>
      </c>
      <c r="C19" s="24" t="s">
        <v>13</v>
      </c>
      <c r="D19" s="24" t="s">
        <v>54</v>
      </c>
      <c r="E19" s="24" t="s">
        <v>55</v>
      </c>
      <c r="F19" s="24" t="s">
        <v>56</v>
      </c>
      <c r="G19" s="24" t="s">
        <v>12</v>
      </c>
      <c r="H19" s="24">
        <v>6</v>
      </c>
      <c r="I19" s="24">
        <v>7</v>
      </c>
      <c r="J19" s="23" t="s">
        <v>141</v>
      </c>
      <c r="K19" s="23" t="s">
        <v>179</v>
      </c>
      <c r="L19" s="28">
        <v>80671052</v>
      </c>
      <c r="M19" s="144">
        <v>58339670</v>
      </c>
      <c r="O19" t="str">
        <f>CONCATENATE("MD ",Tabla4[[#This Row],[Nombre]],"_",Tabla4[[#This Row],[País de orígen]])</f>
        <v>MD JONATHAN_COLOMBIA</v>
      </c>
    </row>
    <row r="20" spans="1:15">
      <c r="A20" s="92" t="s">
        <v>68</v>
      </c>
      <c r="B20" s="137" t="s">
        <v>324</v>
      </c>
      <c r="C20" s="24" t="s">
        <v>32</v>
      </c>
      <c r="D20" s="24" t="s">
        <v>25</v>
      </c>
      <c r="E20" s="24" t="s">
        <v>17</v>
      </c>
      <c r="F20" s="25" t="s">
        <v>18</v>
      </c>
      <c r="G20" s="24" t="s">
        <v>30</v>
      </c>
      <c r="H20" s="24">
        <v>9</v>
      </c>
      <c r="I20" s="24">
        <v>8</v>
      </c>
      <c r="J20" s="23" t="s">
        <v>141</v>
      </c>
      <c r="K20" s="23" t="s">
        <v>179</v>
      </c>
      <c r="L20" s="23" t="s">
        <v>179</v>
      </c>
      <c r="M20" s="144">
        <v>44898366</v>
      </c>
      <c r="O20" t="str">
        <f>CONCATENATE("MD ",Tabla4[[#This Row],[Nombre]],"_",Tabla4[[#This Row],[País de orígen]])</f>
        <v>MD FELIPE_BRASIL</v>
      </c>
    </row>
    <row r="21" spans="1:15">
      <c r="A21" s="92" t="s">
        <v>126</v>
      </c>
      <c r="B21" s="137" t="s">
        <v>325</v>
      </c>
      <c r="C21" s="24" t="s">
        <v>13</v>
      </c>
      <c r="D21" s="24" t="s">
        <v>21</v>
      </c>
      <c r="E21" s="24" t="s">
        <v>10</v>
      </c>
      <c r="F21" s="24" t="s">
        <v>27</v>
      </c>
      <c r="G21" s="24" t="s">
        <v>12</v>
      </c>
      <c r="H21" s="24">
        <v>5</v>
      </c>
      <c r="I21" s="24">
        <v>6</v>
      </c>
      <c r="J21" s="28">
        <v>1000000</v>
      </c>
      <c r="K21" s="28">
        <v>96696256</v>
      </c>
      <c r="L21" s="28">
        <v>62106884</v>
      </c>
      <c r="M21" s="144">
        <v>85228190</v>
      </c>
      <c r="O21" t="str">
        <f>CONCATENATE("MD ",Tabla4[[#This Row],[Nombre]],"_",Tabla4[[#This Row],[País de orígen]])</f>
        <v>MD JOSE_COLOMBIA</v>
      </c>
    </row>
    <row r="22" spans="1:15">
      <c r="A22" s="92" t="s">
        <v>62</v>
      </c>
      <c r="B22" s="137" t="s">
        <v>326</v>
      </c>
      <c r="C22" s="24" t="s">
        <v>13</v>
      </c>
      <c r="D22" s="24" t="s">
        <v>21</v>
      </c>
      <c r="E22" s="24" t="s">
        <v>10</v>
      </c>
      <c r="F22" s="24" t="s">
        <v>27</v>
      </c>
      <c r="G22" s="24" t="s">
        <v>12</v>
      </c>
      <c r="H22" s="24">
        <v>6</v>
      </c>
      <c r="I22" s="24">
        <v>7</v>
      </c>
      <c r="J22" s="28">
        <v>10000000</v>
      </c>
      <c r="K22" s="28">
        <v>51531809</v>
      </c>
      <c r="L22" s="28">
        <v>99819688</v>
      </c>
      <c r="M22" s="144">
        <v>24233431</v>
      </c>
      <c r="O22" t="str">
        <f>CONCATENATE("MD ",Tabla4[[#This Row],[Nombre]],"_",Tabla4[[#This Row],[País de orígen]])</f>
        <v>MD FELIX_COLOMBIA</v>
      </c>
    </row>
    <row r="23" spans="1:15">
      <c r="A23" s="92" t="s">
        <v>97</v>
      </c>
      <c r="B23" s="137" t="s">
        <v>327</v>
      </c>
      <c r="C23" s="24" t="s">
        <v>13</v>
      </c>
      <c r="D23" s="24" t="s">
        <v>15</v>
      </c>
      <c r="E23" s="24" t="s">
        <v>10</v>
      </c>
      <c r="F23" s="25" t="s">
        <v>11</v>
      </c>
      <c r="G23" s="24" t="s">
        <v>30</v>
      </c>
      <c r="H23" s="24">
        <v>6</v>
      </c>
      <c r="I23" s="24">
        <v>10</v>
      </c>
      <c r="J23" s="23" t="s">
        <v>141</v>
      </c>
      <c r="K23" s="23" t="s">
        <v>179</v>
      </c>
      <c r="L23" s="28">
        <v>34214902</v>
      </c>
      <c r="M23" s="144">
        <v>24896611</v>
      </c>
      <c r="O23" t="str">
        <f>CONCATENATE("MD ",Tabla4[[#This Row],[Nombre]],"_",Tabla4[[#This Row],[País de orígen]])</f>
        <v>MD PABLO_COLOMBIA</v>
      </c>
    </row>
    <row r="24" spans="1:15">
      <c r="A24" s="92" t="s">
        <v>101</v>
      </c>
      <c r="B24" s="137" t="s">
        <v>328</v>
      </c>
      <c r="C24" s="25" t="s">
        <v>102</v>
      </c>
      <c r="D24" s="24" t="s">
        <v>25</v>
      </c>
      <c r="E24" s="24" t="s">
        <v>17</v>
      </c>
      <c r="F24" s="25" t="s">
        <v>23</v>
      </c>
      <c r="G24" s="24" t="s">
        <v>12</v>
      </c>
      <c r="H24" s="24">
        <v>8</v>
      </c>
      <c r="I24" s="24">
        <v>5</v>
      </c>
      <c r="J24" s="23" t="s">
        <v>141</v>
      </c>
      <c r="K24" s="23" t="s">
        <v>179</v>
      </c>
      <c r="L24" s="28">
        <v>7121108</v>
      </c>
      <c r="M24" s="144">
        <v>6991703</v>
      </c>
      <c r="O24" t="str">
        <f>CONCATENATE("MD ",Tabla4[[#This Row],[Nombre]],"_",Tabla4[[#This Row],[País de orígen]])</f>
        <v>MD MANUEL_ARGENTINA</v>
      </c>
    </row>
    <row r="25" spans="1:15">
      <c r="A25" s="92" t="s">
        <v>103</v>
      </c>
      <c r="B25" s="137" t="s">
        <v>329</v>
      </c>
      <c r="C25" s="24" t="s">
        <v>13</v>
      </c>
      <c r="D25" s="24" t="s">
        <v>15</v>
      </c>
      <c r="E25" s="24" t="s">
        <v>10</v>
      </c>
      <c r="F25" s="24" t="s">
        <v>11</v>
      </c>
      <c r="G25" s="24" t="s">
        <v>12</v>
      </c>
      <c r="H25" s="24">
        <v>7</v>
      </c>
      <c r="I25" s="24">
        <v>10</v>
      </c>
      <c r="J25" s="28">
        <v>20000000</v>
      </c>
      <c r="K25" s="28">
        <v>93037614</v>
      </c>
      <c r="L25" s="28">
        <v>48185946</v>
      </c>
      <c r="M25" s="144">
        <v>75039300</v>
      </c>
      <c r="O25" t="str">
        <f>CONCATENATE("MD ",Tabla4[[#This Row],[Nombre]],"_",Tabla4[[#This Row],[País de orígen]])</f>
        <v>MD LORENZO_COLOMBIA</v>
      </c>
    </row>
    <row r="26" spans="1:15">
      <c r="A26" s="92" t="s">
        <v>35</v>
      </c>
      <c r="B26" s="137" t="s">
        <v>330</v>
      </c>
      <c r="C26" s="24" t="s">
        <v>13</v>
      </c>
      <c r="D26" s="24" t="s">
        <v>21</v>
      </c>
      <c r="E26" s="24" t="s">
        <v>10</v>
      </c>
      <c r="F26" s="24" t="s">
        <v>11</v>
      </c>
      <c r="G26" s="24" t="s">
        <v>12</v>
      </c>
      <c r="H26" s="24">
        <v>9</v>
      </c>
      <c r="I26" s="24">
        <v>10</v>
      </c>
      <c r="J26" s="28">
        <v>90000000</v>
      </c>
      <c r="K26" s="28">
        <v>62088180</v>
      </c>
      <c r="L26" s="28">
        <v>18047519</v>
      </c>
      <c r="M26" s="144">
        <v>3738158</v>
      </c>
      <c r="O26" t="str">
        <f>CONCATENATE("MD ",Tabla4[[#This Row],[Nombre]],"_",Tabla4[[#This Row],[País de orígen]])</f>
        <v>MD ISAAC_COLOMBIA</v>
      </c>
    </row>
    <row r="27" spans="1:15">
      <c r="A27" s="92" t="s">
        <v>61</v>
      </c>
      <c r="B27" s="137" t="s">
        <v>331</v>
      </c>
      <c r="C27" s="24" t="s">
        <v>13</v>
      </c>
      <c r="D27" s="24" t="s">
        <v>25</v>
      </c>
      <c r="E27" s="24" t="s">
        <v>10</v>
      </c>
      <c r="F27" s="24" t="s">
        <v>11</v>
      </c>
      <c r="G27" s="24" t="s">
        <v>12</v>
      </c>
      <c r="H27" s="24">
        <v>3</v>
      </c>
      <c r="I27" s="24">
        <v>9</v>
      </c>
      <c r="J27" s="28">
        <v>1000000</v>
      </c>
      <c r="K27" s="28">
        <v>1160848</v>
      </c>
      <c r="L27" s="28">
        <v>32268145</v>
      </c>
      <c r="M27" s="144">
        <v>13339687</v>
      </c>
      <c r="O27" t="str">
        <f>CONCATENATE("MD ",Tabla4[[#This Row],[Nombre]],"_",Tabla4[[#This Row],[País de orígen]])</f>
        <v>MD MARIA_COLOMBIA</v>
      </c>
    </row>
    <row r="28" spans="1:15">
      <c r="A28" s="92" t="s">
        <v>124</v>
      </c>
      <c r="B28" s="137" t="s">
        <v>332</v>
      </c>
      <c r="C28" s="24" t="s">
        <v>13</v>
      </c>
      <c r="D28" s="24" t="s">
        <v>21</v>
      </c>
      <c r="E28" s="24" t="s">
        <v>17</v>
      </c>
      <c r="F28" s="25" t="s">
        <v>23</v>
      </c>
      <c r="G28" s="24" t="s">
        <v>12</v>
      </c>
      <c r="H28" s="24">
        <v>6</v>
      </c>
      <c r="I28" s="24">
        <v>2</v>
      </c>
      <c r="J28" s="23" t="s">
        <v>141</v>
      </c>
      <c r="K28" s="23" t="s">
        <v>179</v>
      </c>
      <c r="L28" s="28">
        <v>21224611</v>
      </c>
      <c r="M28" s="144">
        <v>62562457</v>
      </c>
      <c r="O28" t="str">
        <f>CONCATENATE("MD ",Tabla4[[#This Row],[Nombre]],"_",Tabla4[[#This Row],[País de orígen]])</f>
        <v>MD ANGEL_COLOMBIA</v>
      </c>
    </row>
    <row r="29" spans="1:15">
      <c r="A29" s="92" t="s">
        <v>33</v>
      </c>
      <c r="B29" s="137" t="s">
        <v>333</v>
      </c>
      <c r="C29" s="24" t="s">
        <v>13</v>
      </c>
      <c r="D29" s="24" t="s">
        <v>25</v>
      </c>
      <c r="E29" s="24" t="s">
        <v>17</v>
      </c>
      <c r="F29" s="25" t="s">
        <v>23</v>
      </c>
      <c r="G29" s="24" t="s">
        <v>12</v>
      </c>
      <c r="H29" s="24">
        <v>9</v>
      </c>
      <c r="I29" s="24">
        <v>9</v>
      </c>
      <c r="J29" s="23" t="s">
        <v>141</v>
      </c>
      <c r="K29" s="23" t="s">
        <v>179</v>
      </c>
      <c r="L29" s="28">
        <v>85434615</v>
      </c>
      <c r="M29" s="144">
        <v>79508333</v>
      </c>
      <c r="O29" t="str">
        <f>CONCATENATE("MD ",Tabla4[[#This Row],[Nombre]],"_",Tabla4[[#This Row],[País de orígen]])</f>
        <v>MD ADOLFO_COLOMBIA</v>
      </c>
    </row>
    <row r="30" spans="1:15">
      <c r="A30" s="92" t="s">
        <v>85</v>
      </c>
      <c r="B30" s="137" t="s">
        <v>334</v>
      </c>
      <c r="C30" s="24" t="s">
        <v>13</v>
      </c>
      <c r="D30" s="24" t="s">
        <v>21</v>
      </c>
      <c r="E30" s="24" t="s">
        <v>10</v>
      </c>
      <c r="F30" s="24" t="s">
        <v>27</v>
      </c>
      <c r="G30" s="24" t="s">
        <v>12</v>
      </c>
      <c r="H30" s="24">
        <v>8</v>
      </c>
      <c r="I30" s="24">
        <v>7</v>
      </c>
      <c r="J30" s="28">
        <v>90000000</v>
      </c>
      <c r="K30" s="28">
        <v>23888885</v>
      </c>
      <c r="L30" s="28">
        <v>68725539</v>
      </c>
      <c r="M30" s="144">
        <v>78613526</v>
      </c>
      <c r="O30" t="str">
        <f>CONCATENATE("MD ",Tabla4[[#This Row],[Nombre]],"_",Tabla4[[#This Row],[País de orígen]])</f>
        <v>MD ERNESTO_COLOMBIA</v>
      </c>
    </row>
    <row r="31" spans="1:15">
      <c r="A31" s="92" t="s">
        <v>110</v>
      </c>
      <c r="B31" s="137" t="s">
        <v>335</v>
      </c>
      <c r="C31" s="23" t="s">
        <v>13</v>
      </c>
      <c r="D31" s="23" t="s">
        <v>25</v>
      </c>
      <c r="E31" s="23" t="s">
        <v>10</v>
      </c>
      <c r="F31" s="23" t="s">
        <v>11</v>
      </c>
      <c r="G31" s="23" t="s">
        <v>30</v>
      </c>
      <c r="H31" s="24">
        <v>8</v>
      </c>
      <c r="I31" s="23">
        <v>8</v>
      </c>
      <c r="J31" s="28">
        <v>10000000</v>
      </c>
      <c r="K31" s="28">
        <v>23464528</v>
      </c>
      <c r="L31" s="28">
        <v>904543</v>
      </c>
      <c r="M31" s="145" t="s">
        <v>179</v>
      </c>
      <c r="O31" t="str">
        <f>CONCATENATE("MD ",Tabla4[[#This Row],[Nombre]],"_",Tabla4[[#This Row],[País de orígen]])</f>
        <v>MD RAFAEL_COLOMBIA</v>
      </c>
    </row>
    <row r="32" spans="1:15">
      <c r="A32" s="92" t="s">
        <v>132</v>
      </c>
      <c r="B32" s="137" t="s">
        <v>336</v>
      </c>
      <c r="C32" s="24" t="s">
        <v>13</v>
      </c>
      <c r="D32" s="24" t="s">
        <v>15</v>
      </c>
      <c r="E32" s="24" t="s">
        <v>17</v>
      </c>
      <c r="F32" s="25" t="s">
        <v>23</v>
      </c>
      <c r="G32" s="24" t="s">
        <v>12</v>
      </c>
      <c r="H32" s="24">
        <v>6</v>
      </c>
      <c r="I32" s="24">
        <v>8</v>
      </c>
      <c r="J32" s="23" t="s">
        <v>141</v>
      </c>
      <c r="K32" s="23" t="s">
        <v>179</v>
      </c>
      <c r="L32" s="28">
        <v>66204884</v>
      </c>
      <c r="M32" s="144">
        <v>27801447</v>
      </c>
      <c r="O32" t="str">
        <f>CONCATENATE("MD ",Tabla4[[#This Row],[Nombre]],"_",Tabla4[[#This Row],[País de orígen]])</f>
        <v>MD TOMAS_COLOMBIA</v>
      </c>
    </row>
    <row r="33" spans="1:15">
      <c r="A33" s="92" t="s">
        <v>91</v>
      </c>
      <c r="B33" s="137" t="s">
        <v>337</v>
      </c>
      <c r="C33" s="24" t="s">
        <v>32</v>
      </c>
      <c r="D33" s="24" t="s">
        <v>25</v>
      </c>
      <c r="E33" s="24" t="s">
        <v>17</v>
      </c>
      <c r="F33" s="25" t="s">
        <v>18</v>
      </c>
      <c r="G33" s="24" t="s">
        <v>30</v>
      </c>
      <c r="H33" s="24">
        <v>3</v>
      </c>
      <c r="I33" s="24">
        <v>5</v>
      </c>
      <c r="J33" s="23" t="s">
        <v>141</v>
      </c>
      <c r="K33" s="23" t="s">
        <v>179</v>
      </c>
      <c r="L33" s="28">
        <v>30987169</v>
      </c>
      <c r="M33" s="144">
        <v>7339680</v>
      </c>
      <c r="O33" t="str">
        <f>CONCATENATE("MD ",Tabla4[[#This Row],[Nombre]],"_",Tabla4[[#This Row],[País de orígen]])</f>
        <v>MD MARCOS_BRASIL</v>
      </c>
    </row>
    <row r="34" spans="1:15">
      <c r="A34" s="92" t="s">
        <v>109</v>
      </c>
      <c r="B34" s="137" t="s">
        <v>338</v>
      </c>
      <c r="C34" s="24" t="s">
        <v>13</v>
      </c>
      <c r="D34" s="24" t="s">
        <v>21</v>
      </c>
      <c r="E34" s="24" t="s">
        <v>10</v>
      </c>
      <c r="F34" s="24" t="s">
        <v>11</v>
      </c>
      <c r="G34" s="24" t="s">
        <v>12</v>
      </c>
      <c r="H34" s="24">
        <v>6</v>
      </c>
      <c r="I34" s="24">
        <v>7</v>
      </c>
      <c r="J34" s="28">
        <v>10000000</v>
      </c>
      <c r="K34" s="28">
        <v>22390348</v>
      </c>
      <c r="L34" s="28">
        <v>24476166</v>
      </c>
      <c r="M34" s="145" t="s">
        <v>179</v>
      </c>
      <c r="O34" t="str">
        <f>CONCATENATE("MD ",Tabla4[[#This Row],[Nombre]],"_",Tabla4[[#This Row],[País de orígen]])</f>
        <v>MD MARIO_COLOMBIA</v>
      </c>
    </row>
    <row r="35" spans="1:15">
      <c r="A35" s="92" t="s">
        <v>127</v>
      </c>
      <c r="B35" s="137" t="s">
        <v>339</v>
      </c>
      <c r="C35" s="24" t="s">
        <v>13</v>
      </c>
      <c r="D35" s="24" t="s">
        <v>25</v>
      </c>
      <c r="E35" s="24" t="s">
        <v>10</v>
      </c>
      <c r="F35" s="24" t="s">
        <v>27</v>
      </c>
      <c r="G35" s="24" t="s">
        <v>12</v>
      </c>
      <c r="H35" s="24">
        <v>6</v>
      </c>
      <c r="I35" s="24">
        <v>10</v>
      </c>
      <c r="J35" s="28">
        <v>20000000</v>
      </c>
      <c r="K35" s="28">
        <v>31670482</v>
      </c>
      <c r="L35" s="28">
        <v>15619630</v>
      </c>
      <c r="M35" s="144">
        <v>59838390</v>
      </c>
      <c r="O35" t="str">
        <f>CONCATENATE("MD ",Tabla4[[#This Row],[Nombre]],"_",Tabla4[[#This Row],[País de orígen]])</f>
        <v>MD ARTURO_COLOMBIA</v>
      </c>
    </row>
    <row r="36" spans="1:15">
      <c r="A36" s="92" t="s">
        <v>48</v>
      </c>
      <c r="B36" s="137" t="s">
        <v>340</v>
      </c>
      <c r="C36" s="24" t="s">
        <v>13</v>
      </c>
      <c r="D36" s="24" t="s">
        <v>9</v>
      </c>
      <c r="E36" s="24" t="s">
        <v>10</v>
      </c>
      <c r="F36" s="24" t="s">
        <v>27</v>
      </c>
      <c r="G36" s="24" t="s">
        <v>12</v>
      </c>
      <c r="H36" s="24">
        <v>8</v>
      </c>
      <c r="I36" s="24">
        <v>5</v>
      </c>
      <c r="J36" s="28">
        <v>20000000</v>
      </c>
      <c r="K36" s="28">
        <v>81056910</v>
      </c>
      <c r="L36" s="28">
        <v>96438403</v>
      </c>
      <c r="M36" s="144">
        <v>90723423</v>
      </c>
      <c r="O36" t="str">
        <f>CONCATENATE("MD ",Tabla4[[#This Row],[Nombre]],"_",Tabla4[[#This Row],[País de orígen]])</f>
        <v>MD EUGENIO_COLOMBIA</v>
      </c>
    </row>
    <row r="37" spans="1:15">
      <c r="A37" s="92" t="s">
        <v>79</v>
      </c>
      <c r="B37" s="137" t="s">
        <v>341</v>
      </c>
      <c r="C37" s="24" t="s">
        <v>13</v>
      </c>
      <c r="D37" s="24" t="s">
        <v>21</v>
      </c>
      <c r="E37" s="24" t="s">
        <v>55</v>
      </c>
      <c r="F37" s="24" t="s">
        <v>80</v>
      </c>
      <c r="G37" s="24" t="s">
        <v>12</v>
      </c>
      <c r="H37" s="24">
        <v>5</v>
      </c>
      <c r="I37" s="24">
        <v>7</v>
      </c>
      <c r="J37" s="23" t="s">
        <v>141</v>
      </c>
      <c r="K37" s="23" t="s">
        <v>179</v>
      </c>
      <c r="L37" s="23" t="s">
        <v>179</v>
      </c>
      <c r="M37" s="144">
        <v>52936315</v>
      </c>
      <c r="O37" t="str">
        <f>CONCATENATE("MD ",Tabla4[[#This Row],[Nombre]],"_",Tabla4[[#This Row],[País de orígen]])</f>
        <v>MD JUAN_COLOMBIA</v>
      </c>
    </row>
    <row r="38" spans="1:15">
      <c r="A38" s="92" t="s">
        <v>113</v>
      </c>
      <c r="B38" s="137" t="s">
        <v>342</v>
      </c>
      <c r="C38" s="24" t="s">
        <v>13</v>
      </c>
      <c r="D38" s="24" t="s">
        <v>21</v>
      </c>
      <c r="E38" s="24" t="s">
        <v>10</v>
      </c>
      <c r="F38" s="24" t="s">
        <v>11</v>
      </c>
      <c r="G38" s="24" t="s">
        <v>12</v>
      </c>
      <c r="H38" s="24">
        <v>9</v>
      </c>
      <c r="I38" s="24">
        <v>7</v>
      </c>
      <c r="J38" s="28">
        <v>30000000</v>
      </c>
      <c r="K38" s="28">
        <v>91413171</v>
      </c>
      <c r="L38" s="28">
        <v>13211402</v>
      </c>
      <c r="M38" s="145" t="s">
        <v>179</v>
      </c>
      <c r="O38" t="str">
        <f>CONCATENATE("MD ",Tabla4[[#This Row],[Nombre]],"_",Tabla4[[#This Row],[País de orígen]])</f>
        <v>MD GONZALO_COLOMBIA</v>
      </c>
    </row>
    <row r="39" spans="1:15">
      <c r="A39" s="92" t="s">
        <v>36</v>
      </c>
      <c r="B39" s="137" t="s">
        <v>343</v>
      </c>
      <c r="C39" s="24" t="s">
        <v>13</v>
      </c>
      <c r="D39" s="24" t="s">
        <v>9</v>
      </c>
      <c r="E39" s="24" t="s">
        <v>10</v>
      </c>
      <c r="F39" s="24" t="s">
        <v>27</v>
      </c>
      <c r="G39" s="24" t="s">
        <v>12</v>
      </c>
      <c r="H39" s="24">
        <v>4</v>
      </c>
      <c r="I39" s="24">
        <v>7</v>
      </c>
      <c r="J39" s="28">
        <v>1000000</v>
      </c>
      <c r="K39" s="28">
        <v>87347043</v>
      </c>
      <c r="L39" s="28">
        <v>50796112</v>
      </c>
      <c r="M39" s="144">
        <v>72757830</v>
      </c>
      <c r="O39" t="str">
        <f>CONCATENATE("MD ",Tabla4[[#This Row],[Nombre]],"_",Tabla4[[#This Row],[País de orígen]])</f>
        <v>MD ANTONIO_COLOMBIA</v>
      </c>
    </row>
    <row r="40" spans="1:15">
      <c r="A40" s="92" t="s">
        <v>44</v>
      </c>
      <c r="B40" s="137" t="s">
        <v>344</v>
      </c>
      <c r="C40" s="24" t="s">
        <v>13</v>
      </c>
      <c r="D40" s="24" t="s">
        <v>25</v>
      </c>
      <c r="E40" s="24" t="s">
        <v>17</v>
      </c>
      <c r="F40" s="25" t="s">
        <v>18</v>
      </c>
      <c r="G40" s="24" t="s">
        <v>12</v>
      </c>
      <c r="H40" s="24">
        <v>4</v>
      </c>
      <c r="I40" s="24">
        <v>9</v>
      </c>
      <c r="J40" s="23" t="s">
        <v>141</v>
      </c>
      <c r="K40" s="23" t="s">
        <v>179</v>
      </c>
      <c r="L40" s="28">
        <v>38721754</v>
      </c>
      <c r="M40" s="144">
        <v>77230635</v>
      </c>
      <c r="O40" t="str">
        <f>CONCATENATE("MD ",Tabla4[[#This Row],[Nombre]],"_",Tabla4[[#This Row],[País de orígen]])</f>
        <v>MD EMILIO_COLOMBIA</v>
      </c>
    </row>
    <row r="41" spans="1:15">
      <c r="A41" s="92" t="s">
        <v>100</v>
      </c>
      <c r="B41" s="137" t="s">
        <v>345</v>
      </c>
      <c r="C41" s="24" t="s">
        <v>13</v>
      </c>
      <c r="D41" s="24" t="s">
        <v>21</v>
      </c>
      <c r="E41" s="24" t="s">
        <v>10</v>
      </c>
      <c r="F41" s="24" t="s">
        <v>27</v>
      </c>
      <c r="G41" s="24" t="s">
        <v>12</v>
      </c>
      <c r="H41" s="24">
        <v>9</v>
      </c>
      <c r="I41" s="24">
        <v>5</v>
      </c>
      <c r="J41" s="28">
        <v>10000000</v>
      </c>
      <c r="K41" s="28">
        <v>43538967</v>
      </c>
      <c r="L41" s="28">
        <v>5161300</v>
      </c>
      <c r="M41" s="144">
        <v>85417673</v>
      </c>
      <c r="O41" t="str">
        <f>CONCATENATE("MD ",Tabla4[[#This Row],[Nombre]],"_",Tabla4[[#This Row],[País de orígen]])</f>
        <v>MD AGUSTIN_COLOMBIA</v>
      </c>
    </row>
    <row r="42" spans="1:15">
      <c r="A42" s="92" t="s">
        <v>42</v>
      </c>
      <c r="B42" s="137" t="s">
        <v>346</v>
      </c>
      <c r="C42" s="24" t="s">
        <v>13</v>
      </c>
      <c r="D42" s="24" t="s">
        <v>21</v>
      </c>
      <c r="E42" s="24" t="s">
        <v>10</v>
      </c>
      <c r="F42" s="24" t="s">
        <v>27</v>
      </c>
      <c r="G42" s="24" t="s">
        <v>30</v>
      </c>
      <c r="H42" s="24">
        <v>6</v>
      </c>
      <c r="I42" s="24">
        <v>10</v>
      </c>
      <c r="J42" s="28">
        <v>1000000</v>
      </c>
      <c r="K42" s="28">
        <v>95899452</v>
      </c>
      <c r="L42" s="28">
        <v>2565664</v>
      </c>
      <c r="M42" s="144">
        <v>39602953</v>
      </c>
      <c r="O42" t="str">
        <f>CONCATENATE("MD ",Tabla4[[#This Row],[Nombre]],"_",Tabla4[[#This Row],[País de orígen]])</f>
        <v>MD JUAN PABLO_COLOMBIA</v>
      </c>
    </row>
    <row r="43" spans="1:15">
      <c r="A43" s="92" t="s">
        <v>39</v>
      </c>
      <c r="B43" s="137" t="s">
        <v>347</v>
      </c>
      <c r="C43" s="24" t="s">
        <v>13</v>
      </c>
      <c r="D43" s="24" t="s">
        <v>21</v>
      </c>
      <c r="E43" s="24" t="s">
        <v>10</v>
      </c>
      <c r="F43" s="24" t="s">
        <v>27</v>
      </c>
      <c r="G43" s="24" t="s">
        <v>30</v>
      </c>
      <c r="H43" s="24">
        <v>8</v>
      </c>
      <c r="I43" s="24">
        <v>8</v>
      </c>
      <c r="J43" s="28">
        <v>1000000</v>
      </c>
      <c r="K43" s="28">
        <v>81347428</v>
      </c>
      <c r="L43" s="28">
        <v>10860215</v>
      </c>
      <c r="M43" s="144">
        <v>28637290</v>
      </c>
      <c r="O43" t="str">
        <f>CONCATENATE("MD ",Tabla4[[#This Row],[Nombre]],"_",Tabla4[[#This Row],[País de orígen]])</f>
        <v>MD FRANCISCO_COLOMBIA</v>
      </c>
    </row>
    <row r="44" spans="1:15">
      <c r="A44" s="92" t="s">
        <v>120</v>
      </c>
      <c r="B44" s="137" t="s">
        <v>348</v>
      </c>
      <c r="C44" s="24" t="s">
        <v>13</v>
      </c>
      <c r="D44" s="24" t="s">
        <v>25</v>
      </c>
      <c r="E44" s="24" t="s">
        <v>10</v>
      </c>
      <c r="F44" s="24" t="s">
        <v>27</v>
      </c>
      <c r="G44" s="24" t="s">
        <v>30</v>
      </c>
      <c r="H44" s="24">
        <v>6</v>
      </c>
      <c r="I44" s="24">
        <v>10</v>
      </c>
      <c r="J44" s="28">
        <v>30000000</v>
      </c>
      <c r="K44" s="28">
        <v>52442860</v>
      </c>
      <c r="L44" s="28">
        <v>2659881</v>
      </c>
      <c r="M44" s="144">
        <v>80287314</v>
      </c>
      <c r="O44" t="str">
        <f>CONCATENATE("MD ",Tabla4[[#This Row],[Nombre]],"_",Tabla4[[#This Row],[País de orígen]])</f>
        <v>MD MARC_COLOMBIA</v>
      </c>
    </row>
    <row r="45" spans="1:15">
      <c r="A45" s="92" t="s">
        <v>43</v>
      </c>
      <c r="B45" s="137" t="s">
        <v>349</v>
      </c>
      <c r="C45" s="24" t="s">
        <v>13</v>
      </c>
      <c r="D45" s="24" t="s">
        <v>21</v>
      </c>
      <c r="E45" s="24" t="s">
        <v>10</v>
      </c>
      <c r="F45" s="24" t="s">
        <v>27</v>
      </c>
      <c r="G45" s="24" t="s">
        <v>30</v>
      </c>
      <c r="H45" s="24">
        <v>7</v>
      </c>
      <c r="I45" s="24">
        <v>5</v>
      </c>
      <c r="J45" s="28">
        <v>10000000</v>
      </c>
      <c r="K45" s="28">
        <v>96199053</v>
      </c>
      <c r="L45" s="28">
        <v>31746355</v>
      </c>
      <c r="M45" s="144">
        <v>80063468</v>
      </c>
      <c r="O45" t="str">
        <f>CONCATENATE("MD ",Tabla4[[#This Row],[Nombre]],"_",Tabla4[[#This Row],[País de orígen]])</f>
        <v>MD ROBERTO_COLOMBIA</v>
      </c>
    </row>
    <row r="46" spans="1:15">
      <c r="A46" s="92" t="s">
        <v>106</v>
      </c>
      <c r="B46" s="137" t="s">
        <v>350</v>
      </c>
      <c r="C46" s="24" t="s">
        <v>13</v>
      </c>
      <c r="D46" s="24" t="s">
        <v>21</v>
      </c>
      <c r="E46" s="24" t="s">
        <v>10</v>
      </c>
      <c r="F46" s="24" t="s">
        <v>27</v>
      </c>
      <c r="G46" s="24" t="s">
        <v>12</v>
      </c>
      <c r="H46" s="24">
        <v>5</v>
      </c>
      <c r="I46" s="24">
        <v>7</v>
      </c>
      <c r="J46" s="28">
        <v>1000000</v>
      </c>
      <c r="K46" s="28">
        <v>71783742</v>
      </c>
      <c r="L46" s="28">
        <v>64667814</v>
      </c>
      <c r="M46" s="144">
        <v>70653180</v>
      </c>
      <c r="O46" t="str">
        <f>CONCATENATE("MD ",Tabla4[[#This Row],[Nombre]],"_",Tabla4[[#This Row],[País de orígen]])</f>
        <v>MD CARLOS_COLOMBIA</v>
      </c>
    </row>
    <row r="47" spans="1:15">
      <c r="A47" s="92" t="s">
        <v>122</v>
      </c>
      <c r="B47" s="137" t="s">
        <v>351</v>
      </c>
      <c r="C47" s="24" t="s">
        <v>13</v>
      </c>
      <c r="D47" s="24" t="s">
        <v>25</v>
      </c>
      <c r="E47" s="24" t="s">
        <v>10</v>
      </c>
      <c r="F47" s="24" t="s">
        <v>27</v>
      </c>
      <c r="G47" s="24" t="s">
        <v>12</v>
      </c>
      <c r="H47" s="24">
        <v>3</v>
      </c>
      <c r="I47" s="24">
        <v>8</v>
      </c>
      <c r="J47" s="28">
        <v>90000000</v>
      </c>
      <c r="K47" s="28">
        <v>94913746</v>
      </c>
      <c r="L47" s="28">
        <v>74083223</v>
      </c>
      <c r="M47" s="144">
        <v>31617670</v>
      </c>
      <c r="O47" t="str">
        <f>CONCATENATE("MD ",Tabla4[[#This Row],[Nombre]],"_",Tabla4[[#This Row],[País de orígen]])</f>
        <v>MD JOEL_COLOMBIA</v>
      </c>
    </row>
    <row r="48" spans="1:15">
      <c r="A48" s="92" t="s">
        <v>121</v>
      </c>
      <c r="B48" s="137" t="s">
        <v>352</v>
      </c>
      <c r="C48" s="24" t="s">
        <v>13</v>
      </c>
      <c r="D48" s="24" t="s">
        <v>25</v>
      </c>
      <c r="E48" s="24" t="s">
        <v>17</v>
      </c>
      <c r="F48" s="25" t="s">
        <v>23</v>
      </c>
      <c r="G48" s="24" t="s">
        <v>12</v>
      </c>
      <c r="H48" s="24">
        <v>7</v>
      </c>
      <c r="I48" s="24">
        <v>9</v>
      </c>
      <c r="J48" s="23" t="s">
        <v>141</v>
      </c>
      <c r="K48" s="23" t="s">
        <v>179</v>
      </c>
      <c r="L48" s="28">
        <v>67753952</v>
      </c>
      <c r="M48" s="144">
        <v>77205812</v>
      </c>
      <c r="O48" t="str">
        <f>CONCATENATE("MD ",Tabla4[[#This Row],[Nombre]],"_",Tabla4[[#This Row],[País de orígen]])</f>
        <v>MD MARIANO_COLOMBIA</v>
      </c>
    </row>
    <row r="49" spans="1:15">
      <c r="A49" s="92" t="s">
        <v>78</v>
      </c>
      <c r="B49" s="137" t="s">
        <v>353</v>
      </c>
      <c r="C49" s="24" t="s">
        <v>32</v>
      </c>
      <c r="D49" s="24" t="s">
        <v>21</v>
      </c>
      <c r="E49" s="24" t="s">
        <v>10</v>
      </c>
      <c r="F49" s="24" t="s">
        <v>27</v>
      </c>
      <c r="G49" s="24" t="s">
        <v>30</v>
      </c>
      <c r="H49" s="24">
        <v>5</v>
      </c>
      <c r="I49" s="24">
        <v>6</v>
      </c>
      <c r="J49" s="28">
        <v>30000000</v>
      </c>
      <c r="K49" s="28">
        <v>33477783</v>
      </c>
      <c r="L49" s="23" t="s">
        <v>179</v>
      </c>
      <c r="M49" s="144">
        <v>27651635</v>
      </c>
      <c r="O49" t="str">
        <f>CONCATENATE("MD ",Tabla4[[#This Row],[Nombre]],"_",Tabla4[[#This Row],[País de orígen]])</f>
        <v>MD OSCAR_BRASIL</v>
      </c>
    </row>
    <row r="50" spans="1:15">
      <c r="A50" s="92" t="s">
        <v>82</v>
      </c>
      <c r="B50" s="137" t="s">
        <v>354</v>
      </c>
      <c r="C50" s="24" t="s">
        <v>13</v>
      </c>
      <c r="D50" s="24" t="s">
        <v>9</v>
      </c>
      <c r="E50" s="24" t="s">
        <v>10</v>
      </c>
      <c r="F50" s="24" t="s">
        <v>11</v>
      </c>
      <c r="G50" s="24" t="s">
        <v>30</v>
      </c>
      <c r="H50" s="24">
        <v>9</v>
      </c>
      <c r="I50" s="24">
        <v>9</v>
      </c>
      <c r="J50" s="28">
        <v>50000000</v>
      </c>
      <c r="K50" s="28">
        <v>2702447</v>
      </c>
      <c r="L50" s="23" t="s">
        <v>179</v>
      </c>
      <c r="M50" s="144">
        <v>44671760</v>
      </c>
      <c r="O50" t="str">
        <f>CONCATENATE("MD ",Tabla4[[#This Row],[Nombre]],"_",Tabla4[[#This Row],[País de orígen]])</f>
        <v>MD ALEXANDER_COLOMBIA</v>
      </c>
    </row>
    <row r="51" spans="1:15">
      <c r="A51" s="92" t="s">
        <v>95</v>
      </c>
      <c r="B51" s="137" t="s">
        <v>355</v>
      </c>
      <c r="C51" s="25" t="s">
        <v>96</v>
      </c>
      <c r="D51" s="24" t="s">
        <v>21</v>
      </c>
      <c r="E51" s="24" t="s">
        <v>10</v>
      </c>
      <c r="F51" s="24" t="s">
        <v>11</v>
      </c>
      <c r="G51" s="24" t="s">
        <v>12</v>
      </c>
      <c r="H51" s="24">
        <v>6</v>
      </c>
      <c r="I51" s="24">
        <v>8</v>
      </c>
      <c r="J51" s="28">
        <v>50000000</v>
      </c>
      <c r="K51" s="28">
        <v>70787848</v>
      </c>
      <c r="L51" s="28">
        <v>33368202</v>
      </c>
      <c r="M51" s="144">
        <v>43277527</v>
      </c>
      <c r="O51" t="str">
        <f>CONCATENATE("MD ",Tabla4[[#This Row],[Nombre]],"_",Tabla4[[#This Row],[País de orígen]])</f>
        <v>MD BORJA_ECUADOR</v>
      </c>
    </row>
    <row r="52" spans="1:15">
      <c r="A52" s="92" t="s">
        <v>31</v>
      </c>
      <c r="B52" s="137" t="s">
        <v>356</v>
      </c>
      <c r="C52" s="24" t="s">
        <v>32</v>
      </c>
      <c r="D52" s="24" t="s">
        <v>21</v>
      </c>
      <c r="E52" s="24" t="s">
        <v>17</v>
      </c>
      <c r="F52" s="25" t="s">
        <v>23</v>
      </c>
      <c r="G52" s="24" t="s">
        <v>30</v>
      </c>
      <c r="H52" s="24">
        <v>7</v>
      </c>
      <c r="I52" s="24">
        <v>5</v>
      </c>
      <c r="J52" s="23" t="s">
        <v>141</v>
      </c>
      <c r="K52" s="23" t="s">
        <v>179</v>
      </c>
      <c r="L52" s="28">
        <v>46563396</v>
      </c>
      <c r="M52" s="144">
        <v>63313535</v>
      </c>
      <c r="O52" t="str">
        <f>CONCATENATE("MD ",Tabla4[[#This Row],[Nombre]],"_",Tabla4[[#This Row],[País de orígen]])</f>
        <v>MD RAUL_BRASIL</v>
      </c>
    </row>
    <row r="53" spans="1:15">
      <c r="A53" s="92" t="s">
        <v>111</v>
      </c>
      <c r="B53" s="137" t="s">
        <v>357</v>
      </c>
      <c r="C53" s="24" t="s">
        <v>72</v>
      </c>
      <c r="D53" s="24" t="s">
        <v>21</v>
      </c>
      <c r="E53" s="24" t="s">
        <v>10</v>
      </c>
      <c r="F53" s="24" t="s">
        <v>11</v>
      </c>
      <c r="G53" s="24" t="s">
        <v>12</v>
      </c>
      <c r="H53" s="24">
        <v>5</v>
      </c>
      <c r="I53" s="24">
        <v>6</v>
      </c>
      <c r="J53" s="28">
        <v>20000000</v>
      </c>
      <c r="K53" s="28">
        <v>40064620</v>
      </c>
      <c r="L53" s="28">
        <v>98137438</v>
      </c>
      <c r="M53" s="145" t="s">
        <v>179</v>
      </c>
      <c r="O53" t="str">
        <f>CONCATENATE("MD ",Tabla4[[#This Row],[Nombre]],"_",Tabla4[[#This Row],[País de orígen]])</f>
        <v>MD ALEX_URUGUAY</v>
      </c>
    </row>
    <row r="54" spans="1:15">
      <c r="A54" s="92" t="s">
        <v>81</v>
      </c>
      <c r="B54" s="137" t="s">
        <v>358</v>
      </c>
      <c r="C54" s="24" t="s">
        <v>13</v>
      </c>
      <c r="D54" s="24" t="s">
        <v>21</v>
      </c>
      <c r="E54" s="24" t="s">
        <v>10</v>
      </c>
      <c r="F54" s="24" t="s">
        <v>27</v>
      </c>
      <c r="G54" s="24" t="s">
        <v>12</v>
      </c>
      <c r="H54" s="24">
        <v>4</v>
      </c>
      <c r="I54" s="24">
        <v>6</v>
      </c>
      <c r="J54" s="28">
        <v>30000000</v>
      </c>
      <c r="K54" s="28">
        <v>45289360</v>
      </c>
      <c r="L54" s="23" t="s">
        <v>179</v>
      </c>
      <c r="M54" s="144">
        <v>46980526</v>
      </c>
      <c r="O54" t="str">
        <f>CONCATENATE("MD ",Tabla4[[#This Row],[Nombre]],"_",Tabla4[[#This Row],[País de orígen]])</f>
        <v>MD IVAN_COLOMBIA</v>
      </c>
    </row>
    <row r="55" spans="1:15">
      <c r="A55" s="92" t="s">
        <v>50</v>
      </c>
      <c r="B55" s="137" t="s">
        <v>359</v>
      </c>
      <c r="C55" s="24" t="s">
        <v>13</v>
      </c>
      <c r="D55" s="24" t="s">
        <v>25</v>
      </c>
      <c r="E55" s="24" t="s">
        <v>10</v>
      </c>
      <c r="F55" s="24" t="s">
        <v>27</v>
      </c>
      <c r="G55" s="24" t="s">
        <v>12</v>
      </c>
      <c r="H55" s="24">
        <v>7</v>
      </c>
      <c r="I55" s="24">
        <v>5</v>
      </c>
      <c r="J55" s="28">
        <v>30000000</v>
      </c>
      <c r="K55" s="28">
        <v>34397393</v>
      </c>
      <c r="L55" s="28">
        <v>72192037</v>
      </c>
      <c r="M55" s="144">
        <v>21247716</v>
      </c>
      <c r="O55" t="str">
        <f>CONCATENATE("MD ",Tabla4[[#This Row],[Nombre]],"_",Tabla4[[#This Row],[País de orígen]])</f>
        <v>MD SAMUEL_COLOMBIA</v>
      </c>
    </row>
    <row r="56" spans="1:15">
      <c r="A56" s="92" t="s">
        <v>123</v>
      </c>
      <c r="B56" s="137" t="s">
        <v>360</v>
      </c>
      <c r="C56" s="24" t="s">
        <v>13</v>
      </c>
      <c r="D56" s="24" t="s">
        <v>21</v>
      </c>
      <c r="E56" s="24" t="s">
        <v>17</v>
      </c>
      <c r="F56" s="25" t="s">
        <v>18</v>
      </c>
      <c r="G56" s="24" t="s">
        <v>30</v>
      </c>
      <c r="H56" s="24">
        <v>3</v>
      </c>
      <c r="I56" s="24">
        <v>9</v>
      </c>
      <c r="J56" s="23" t="s">
        <v>141</v>
      </c>
      <c r="K56" s="23" t="s">
        <v>179</v>
      </c>
      <c r="L56" s="28">
        <v>69870077</v>
      </c>
      <c r="M56" s="144">
        <v>98441580</v>
      </c>
      <c r="O56" t="str">
        <f>CONCATENATE("MD ",Tabla4[[#This Row],[Nombre]],"_",Tabla4[[#This Row],[País de orígen]])</f>
        <v>MD ANDRES_COLOMBIA</v>
      </c>
    </row>
    <row r="57" spans="1:15">
      <c r="A57" s="92" t="s">
        <v>26</v>
      </c>
      <c r="B57" s="137" t="s">
        <v>361</v>
      </c>
      <c r="C57" s="25" t="s">
        <v>28</v>
      </c>
      <c r="D57" s="24" t="s">
        <v>25</v>
      </c>
      <c r="E57" s="24" t="s">
        <v>10</v>
      </c>
      <c r="F57" s="24" t="s">
        <v>27</v>
      </c>
      <c r="G57" s="24" t="s">
        <v>12</v>
      </c>
      <c r="H57" s="24">
        <v>3</v>
      </c>
      <c r="I57" s="24">
        <v>6</v>
      </c>
      <c r="J57" s="28">
        <v>1000000</v>
      </c>
      <c r="K57" s="28">
        <v>34126405</v>
      </c>
      <c r="L57" s="28">
        <v>88265167</v>
      </c>
      <c r="M57" s="144">
        <v>56002928</v>
      </c>
      <c r="O57" t="str">
        <f>CONCATENATE("MD ",Tabla4[[#This Row],[Nombre]],"_",Tabla4[[#This Row],[País de orígen]])</f>
        <v>MD NORA_CHILE</v>
      </c>
    </row>
    <row r="58" spans="1:15">
      <c r="A58" s="92" t="s">
        <v>41</v>
      </c>
      <c r="B58" s="137" t="s">
        <v>362</v>
      </c>
      <c r="C58" s="24" t="s">
        <v>13</v>
      </c>
      <c r="D58" s="24" t="s">
        <v>21</v>
      </c>
      <c r="E58" s="24" t="s">
        <v>10</v>
      </c>
      <c r="F58" s="24" t="s">
        <v>11</v>
      </c>
      <c r="G58" s="24" t="s">
        <v>12</v>
      </c>
      <c r="H58" s="24">
        <v>7</v>
      </c>
      <c r="I58" s="24">
        <v>10</v>
      </c>
      <c r="J58" s="28">
        <v>1000000</v>
      </c>
      <c r="K58" s="28">
        <v>53008255</v>
      </c>
      <c r="L58" s="28">
        <v>46917910</v>
      </c>
      <c r="M58" s="144">
        <v>47557281</v>
      </c>
      <c r="O58" t="str">
        <f>CONCATENATE("MD ",Tabla4[[#This Row],[Nombre]],"_",Tabla4[[#This Row],[País de orígen]])</f>
        <v>MD ANDRÉS_COLOMBIA</v>
      </c>
    </row>
    <row r="59" spans="1:15">
      <c r="A59" s="92" t="s">
        <v>73</v>
      </c>
      <c r="B59" s="137" t="s">
        <v>363</v>
      </c>
      <c r="C59" s="24" t="s">
        <v>13</v>
      </c>
      <c r="D59" s="24" t="s">
        <v>21</v>
      </c>
      <c r="E59" s="24" t="s">
        <v>17</v>
      </c>
      <c r="F59" s="25" t="s">
        <v>18</v>
      </c>
      <c r="G59" s="24" t="s">
        <v>12</v>
      </c>
      <c r="H59" s="24">
        <v>5</v>
      </c>
      <c r="I59" s="24">
        <v>9</v>
      </c>
      <c r="J59" s="23" t="s">
        <v>141</v>
      </c>
      <c r="K59" s="23" t="s">
        <v>179</v>
      </c>
      <c r="L59" s="23" t="s">
        <v>179</v>
      </c>
      <c r="M59" s="144">
        <v>22675260</v>
      </c>
      <c r="O59" t="str">
        <f>CONCATENATE("MD ",Tabla4[[#This Row],[Nombre]],"_",Tabla4[[#This Row],[País de orígen]])</f>
        <v>MD CRISTIAN_COLOMBIA</v>
      </c>
    </row>
    <row r="60" spans="1:15">
      <c r="A60" s="92" t="s">
        <v>88</v>
      </c>
      <c r="B60" s="137" t="s">
        <v>364</v>
      </c>
      <c r="C60" s="25" t="s">
        <v>89</v>
      </c>
      <c r="D60" s="24" t="s">
        <v>21</v>
      </c>
      <c r="E60" s="24" t="s">
        <v>10</v>
      </c>
      <c r="F60" s="24" t="s">
        <v>11</v>
      </c>
      <c r="G60" s="24" t="s">
        <v>12</v>
      </c>
      <c r="H60" s="24">
        <v>9</v>
      </c>
      <c r="I60" s="24">
        <v>5</v>
      </c>
      <c r="J60" s="28">
        <v>100000000</v>
      </c>
      <c r="K60" s="28">
        <v>94688720</v>
      </c>
      <c r="L60" s="28">
        <v>86323763</v>
      </c>
      <c r="M60" s="144">
        <v>20929788</v>
      </c>
      <c r="O60" t="str">
        <f>CONCATENATE("MD ",Tabla4[[#This Row],[Nombre]],"_",Tabla4[[#This Row],[País de orígen]])</f>
        <v>MD JAVIER_BOLIVIA</v>
      </c>
    </row>
    <row r="61" spans="1:15">
      <c r="A61" s="92" t="s">
        <v>133</v>
      </c>
      <c r="B61" s="137" t="s">
        <v>365</v>
      </c>
      <c r="C61" s="24" t="s">
        <v>13</v>
      </c>
      <c r="D61" s="24" t="s">
        <v>54</v>
      </c>
      <c r="E61" s="24" t="s">
        <v>55</v>
      </c>
      <c r="F61" s="24" t="s">
        <v>56</v>
      </c>
      <c r="G61" s="24" t="s">
        <v>12</v>
      </c>
      <c r="H61" s="24">
        <v>4</v>
      </c>
      <c r="I61" s="24">
        <v>8</v>
      </c>
      <c r="J61" s="23" t="s">
        <v>141</v>
      </c>
      <c r="K61" s="23" t="s">
        <v>179</v>
      </c>
      <c r="L61" s="28">
        <v>96750826</v>
      </c>
      <c r="M61" s="144">
        <v>31435769</v>
      </c>
      <c r="O61" t="str">
        <f>CONCATENATE("MD ",Tabla4[[#This Row],[Nombre]],"_",Tabla4[[#This Row],[País de orígen]])</f>
        <v>MD DOMINGO_COLOMBIA</v>
      </c>
    </row>
    <row r="62" spans="1:15">
      <c r="A62" s="92" t="s">
        <v>67</v>
      </c>
      <c r="B62" s="137" t="s">
        <v>366</v>
      </c>
      <c r="C62" s="24" t="s">
        <v>13</v>
      </c>
      <c r="D62" s="24" t="s">
        <v>25</v>
      </c>
      <c r="E62" s="24" t="s">
        <v>10</v>
      </c>
      <c r="F62" s="24" t="s">
        <v>11</v>
      </c>
      <c r="G62" s="24" t="s">
        <v>12</v>
      </c>
      <c r="H62" s="24">
        <v>5</v>
      </c>
      <c r="I62" s="24">
        <v>10</v>
      </c>
      <c r="J62" s="28">
        <v>10000000</v>
      </c>
      <c r="K62" s="28">
        <v>89686683</v>
      </c>
      <c r="L62" s="28">
        <v>62448793</v>
      </c>
      <c r="M62" s="144">
        <v>26812600</v>
      </c>
      <c r="O62" t="str">
        <f>CONCATENATE("MD ",Tabla4[[#This Row],[Nombre]],"_",Tabla4[[#This Row],[País de orígen]])</f>
        <v>MD NICOLAS_COLOMBIA</v>
      </c>
    </row>
    <row r="63" spans="1:15">
      <c r="A63" s="92" t="s">
        <v>84</v>
      </c>
      <c r="B63" s="137" t="s">
        <v>367</v>
      </c>
      <c r="C63" s="24" t="s">
        <v>13</v>
      </c>
      <c r="D63" s="24" t="s">
        <v>21</v>
      </c>
      <c r="E63" s="24" t="s">
        <v>10</v>
      </c>
      <c r="F63" s="24" t="s">
        <v>27</v>
      </c>
      <c r="G63" s="24" t="s">
        <v>12</v>
      </c>
      <c r="H63" s="24">
        <v>3</v>
      </c>
      <c r="I63" s="24">
        <v>10</v>
      </c>
      <c r="J63" s="28">
        <v>30000000</v>
      </c>
      <c r="K63" s="28">
        <v>32890743</v>
      </c>
      <c r="L63" s="23" t="s">
        <v>179</v>
      </c>
      <c r="M63" s="144">
        <v>39864620</v>
      </c>
      <c r="O63" t="str">
        <f>CONCATENATE("MD ",Tabla4[[#This Row],[Nombre]],"_",Tabla4[[#This Row],[País de orígen]])</f>
        <v>MD HECTOR_COLOMBIA</v>
      </c>
    </row>
    <row r="64" spans="1:15">
      <c r="A64" s="92" t="s">
        <v>38</v>
      </c>
      <c r="B64" s="137" t="s">
        <v>368</v>
      </c>
      <c r="C64" s="24" t="s">
        <v>13</v>
      </c>
      <c r="D64" s="24" t="s">
        <v>25</v>
      </c>
      <c r="E64" s="24" t="s">
        <v>10</v>
      </c>
      <c r="F64" s="24" t="s">
        <v>11</v>
      </c>
      <c r="G64" s="24" t="s">
        <v>12</v>
      </c>
      <c r="H64" s="24">
        <v>3</v>
      </c>
      <c r="I64" s="24">
        <v>10</v>
      </c>
      <c r="J64" s="28">
        <v>10000000</v>
      </c>
      <c r="K64" s="28">
        <v>32370896</v>
      </c>
      <c r="L64" s="28">
        <v>96066942</v>
      </c>
      <c r="M64" s="144">
        <v>3767736</v>
      </c>
      <c r="O64" t="str">
        <f>CONCATENATE("MD ",Tabla4[[#This Row],[Nombre]],"_",Tabla4[[#This Row],[País de orígen]])</f>
        <v>MD RICARDO_COLOMBIA</v>
      </c>
    </row>
    <row r="65" spans="1:15">
      <c r="A65" s="92" t="s">
        <v>24</v>
      </c>
      <c r="B65" s="137" t="s">
        <v>369</v>
      </c>
      <c r="C65" s="24" t="s">
        <v>13</v>
      </c>
      <c r="D65" s="24" t="s">
        <v>25</v>
      </c>
      <c r="E65" s="24" t="s">
        <v>17</v>
      </c>
      <c r="F65" s="25" t="s">
        <v>23</v>
      </c>
      <c r="G65" s="24" t="s">
        <v>12</v>
      </c>
      <c r="H65" s="24">
        <v>5</v>
      </c>
      <c r="I65" s="24">
        <v>5</v>
      </c>
      <c r="J65" s="23" t="s">
        <v>141</v>
      </c>
      <c r="K65" s="23" t="s">
        <v>179</v>
      </c>
      <c r="L65" s="28">
        <v>24514428</v>
      </c>
      <c r="M65" s="144">
        <v>27890231</v>
      </c>
      <c r="O65" t="str">
        <f>CONCATENATE("MD ",Tabla4[[#This Row],[Nombre]],"_",Tabla4[[#This Row],[País de orígen]])</f>
        <v>MD ALBERTO_COLOMBIA</v>
      </c>
    </row>
    <row r="66" spans="1:15">
      <c r="A66" s="92" t="s">
        <v>37</v>
      </c>
      <c r="B66" s="137" t="s">
        <v>370</v>
      </c>
      <c r="C66" s="24" t="s">
        <v>13</v>
      </c>
      <c r="D66" s="24" t="s">
        <v>21</v>
      </c>
      <c r="E66" s="24" t="s">
        <v>10</v>
      </c>
      <c r="F66" s="24" t="s">
        <v>11</v>
      </c>
      <c r="G66" s="24" t="s">
        <v>30</v>
      </c>
      <c r="H66" s="24">
        <v>7</v>
      </c>
      <c r="I66" s="24">
        <v>7</v>
      </c>
      <c r="J66" s="28">
        <v>10000000</v>
      </c>
      <c r="K66" s="28">
        <v>31953589</v>
      </c>
      <c r="L66" s="28">
        <v>40068224</v>
      </c>
      <c r="M66" s="144">
        <v>80951038</v>
      </c>
      <c r="O66" t="str">
        <f>CONCATENATE("MD ",Tabla4[[#This Row],[Nombre]],"_",Tabla4[[#This Row],[País de orígen]])</f>
        <v>MD RUBEN_COLOMBIA</v>
      </c>
    </row>
    <row r="67" spans="1:15">
      <c r="A67" s="92" t="s">
        <v>49</v>
      </c>
      <c r="B67" s="137" t="s">
        <v>371</v>
      </c>
      <c r="C67" s="24" t="s">
        <v>13</v>
      </c>
      <c r="D67" s="24" t="s">
        <v>21</v>
      </c>
      <c r="E67" s="24" t="s">
        <v>10</v>
      </c>
      <c r="F67" s="24" t="s">
        <v>11</v>
      </c>
      <c r="G67" s="24" t="s">
        <v>12</v>
      </c>
      <c r="H67" s="24">
        <v>7</v>
      </c>
      <c r="I67" s="24">
        <v>5</v>
      </c>
      <c r="J67" s="28">
        <v>50000000</v>
      </c>
      <c r="K67" s="28">
        <v>78205651</v>
      </c>
      <c r="L67" s="28">
        <v>62381180</v>
      </c>
      <c r="M67" s="144">
        <v>6508585</v>
      </c>
      <c r="O67" t="str">
        <f>CONCATENATE("MD ",Tabla4[[#This Row],[Nombre]],"_",Tabla4[[#This Row],[País de orígen]])</f>
        <v>MD SEBASTIAN_COLOMBIA</v>
      </c>
    </row>
    <row r="68" spans="1:15">
      <c r="A68" s="92" t="s">
        <v>119</v>
      </c>
      <c r="B68" s="137" t="s">
        <v>372</v>
      </c>
      <c r="C68" s="24" t="s">
        <v>13</v>
      </c>
      <c r="D68" s="24" t="s">
        <v>15</v>
      </c>
      <c r="E68" s="24" t="s">
        <v>17</v>
      </c>
      <c r="F68" s="25" t="s">
        <v>18</v>
      </c>
      <c r="G68" s="24" t="s">
        <v>12</v>
      </c>
      <c r="H68" s="24">
        <v>5</v>
      </c>
      <c r="I68" s="24">
        <v>4</v>
      </c>
      <c r="J68" s="23" t="s">
        <v>141</v>
      </c>
      <c r="K68" s="23" t="s">
        <v>179</v>
      </c>
      <c r="L68" s="28">
        <v>34584522</v>
      </c>
      <c r="M68" s="145" t="s">
        <v>179</v>
      </c>
      <c r="O68" t="str">
        <f>CONCATENATE("MD ",Tabla4[[#This Row],[Nombre]],"_",Tabla4[[#This Row],[País de orígen]])</f>
        <v>MD MOHAMED_COLOMBIA</v>
      </c>
    </row>
    <row r="69" spans="1:15">
      <c r="A69" s="92" t="s">
        <v>86</v>
      </c>
      <c r="B69" s="137" t="s">
        <v>373</v>
      </c>
      <c r="C69" s="25" t="s">
        <v>87</v>
      </c>
      <c r="D69" s="24" t="s">
        <v>21</v>
      </c>
      <c r="E69" s="24" t="s">
        <v>55</v>
      </c>
      <c r="F69" s="24" t="s">
        <v>80</v>
      </c>
      <c r="G69" s="24" t="s">
        <v>12</v>
      </c>
      <c r="H69" s="24">
        <v>7</v>
      </c>
      <c r="I69" s="24">
        <v>7</v>
      </c>
      <c r="J69" s="23" t="s">
        <v>141</v>
      </c>
      <c r="K69" s="23" t="s">
        <v>179</v>
      </c>
      <c r="L69" s="28">
        <v>76942676</v>
      </c>
      <c r="M69" s="144">
        <v>74216691</v>
      </c>
      <c r="O69" t="str">
        <f>CONCATENATE("MD ",Tabla4[[#This Row],[Nombre]],"_",Tabla4[[#This Row],[País de orígen]])</f>
        <v>MD MARCO_PERU</v>
      </c>
    </row>
    <row r="70" spans="1:15">
      <c r="A70" s="92" t="s">
        <v>47</v>
      </c>
      <c r="B70" s="137" t="s">
        <v>374</v>
      </c>
      <c r="C70" s="24" t="s">
        <v>32</v>
      </c>
      <c r="D70" s="24" t="s">
        <v>25</v>
      </c>
      <c r="E70" s="24" t="s">
        <v>10</v>
      </c>
      <c r="F70" s="24" t="s">
        <v>27</v>
      </c>
      <c r="G70" s="24" t="s">
        <v>30</v>
      </c>
      <c r="H70" s="24">
        <v>8</v>
      </c>
      <c r="I70" s="24">
        <v>9</v>
      </c>
      <c r="J70" s="28">
        <v>5000000</v>
      </c>
      <c r="K70" s="28">
        <v>70270294</v>
      </c>
      <c r="L70" s="28">
        <v>19588762</v>
      </c>
      <c r="M70" s="144">
        <v>78634577</v>
      </c>
      <c r="O70" t="str">
        <f>CONCATENATE("MD ",Tabla4[[#This Row],[Nombre]],"_",Tabla4[[#This Row],[País de orígen]])</f>
        <v>MD SERGIO_BRASIL</v>
      </c>
    </row>
    <row r="71" spans="1:15">
      <c r="A71" s="92" t="s">
        <v>59</v>
      </c>
      <c r="B71" s="137" t="s">
        <v>375</v>
      </c>
      <c r="C71" s="24" t="s">
        <v>13</v>
      </c>
      <c r="D71" s="24" t="s">
        <v>15</v>
      </c>
      <c r="E71" s="24" t="s">
        <v>17</v>
      </c>
      <c r="F71" s="25" t="s">
        <v>18</v>
      </c>
      <c r="G71" s="24" t="s">
        <v>12</v>
      </c>
      <c r="H71" s="24">
        <v>3</v>
      </c>
      <c r="I71" s="24">
        <v>5</v>
      </c>
      <c r="J71" s="23" t="s">
        <v>141</v>
      </c>
      <c r="K71" s="23" t="s">
        <v>179</v>
      </c>
      <c r="L71" s="28">
        <v>85955846</v>
      </c>
      <c r="M71" s="144">
        <v>25891596</v>
      </c>
      <c r="O71" t="str">
        <f>CONCATENATE("MD ",Tabla4[[#This Row],[Nombre]],"_",Tabla4[[#This Row],[País de orígen]])</f>
        <v>MD RAMON_COLOMBIA</v>
      </c>
    </row>
    <row r="72" spans="1:15">
      <c r="A72" s="92" t="s">
        <v>94</v>
      </c>
      <c r="B72" s="137" t="s">
        <v>376</v>
      </c>
      <c r="C72" s="24" t="s">
        <v>13</v>
      </c>
      <c r="D72" s="24" t="s">
        <v>15</v>
      </c>
      <c r="E72" s="24" t="s">
        <v>10</v>
      </c>
      <c r="F72" s="24" t="s">
        <v>27</v>
      </c>
      <c r="G72" s="24" t="s">
        <v>30</v>
      </c>
      <c r="H72" s="24">
        <v>8</v>
      </c>
      <c r="I72" s="24">
        <v>10</v>
      </c>
      <c r="J72" s="28">
        <v>20000000</v>
      </c>
      <c r="K72" s="28">
        <v>62745331</v>
      </c>
      <c r="L72" s="28">
        <v>39843357</v>
      </c>
      <c r="M72" s="144">
        <v>64840967</v>
      </c>
      <c r="O72" t="str">
        <f>CONCATENATE("MD ",Tabla4[[#This Row],[Nombre]],"_",Tabla4[[#This Row],[País de orígen]])</f>
        <v>MD GREGORIO_COLOMBIA</v>
      </c>
    </row>
    <row r="73" spans="1:15">
      <c r="A73" s="92" t="s">
        <v>46</v>
      </c>
      <c r="B73" s="137" t="s">
        <v>377</v>
      </c>
      <c r="C73" s="24" t="s">
        <v>13</v>
      </c>
      <c r="D73" s="24" t="s">
        <v>21</v>
      </c>
      <c r="E73" s="24" t="s">
        <v>17</v>
      </c>
      <c r="F73" s="25" t="s">
        <v>23</v>
      </c>
      <c r="G73" s="24" t="s">
        <v>12</v>
      </c>
      <c r="H73" s="24">
        <v>5</v>
      </c>
      <c r="I73" s="24">
        <v>7</v>
      </c>
      <c r="J73" s="23" t="s">
        <v>141</v>
      </c>
      <c r="K73" s="23" t="s">
        <v>179</v>
      </c>
      <c r="L73" s="28">
        <v>82583322</v>
      </c>
      <c r="M73" s="144">
        <v>809058</v>
      </c>
      <c r="O73" t="str">
        <f>CONCATENATE("MD ",Tabla4[[#This Row],[Nombre]],"_",Tabla4[[#This Row],[País de orígen]])</f>
        <v>MD JOAN_COLOMBIA</v>
      </c>
    </row>
    <row r="74" spans="1:15">
      <c r="A74" s="92" t="s">
        <v>116</v>
      </c>
      <c r="B74" s="137" t="s">
        <v>378</v>
      </c>
      <c r="C74" s="24" t="s">
        <v>13</v>
      </c>
      <c r="D74" s="24" t="s">
        <v>21</v>
      </c>
      <c r="E74" s="24" t="s">
        <v>10</v>
      </c>
      <c r="F74" s="24" t="s">
        <v>27</v>
      </c>
      <c r="G74" s="24" t="s">
        <v>30</v>
      </c>
      <c r="H74" s="24">
        <v>6</v>
      </c>
      <c r="I74" s="24">
        <v>6</v>
      </c>
      <c r="J74" s="28">
        <v>10000000</v>
      </c>
      <c r="K74" s="28">
        <v>59890317</v>
      </c>
      <c r="L74" s="28">
        <v>42451842</v>
      </c>
      <c r="M74" s="145" t="s">
        <v>179</v>
      </c>
      <c r="O74" t="str">
        <f>CONCATENATE("MD ",Tabla4[[#This Row],[Nombre]],"_",Tabla4[[#This Row],[País de orígen]])</f>
        <v>MD ALFONSO_COLOMBIA</v>
      </c>
    </row>
    <row r="75" spans="1:15">
      <c r="A75" s="92" t="s">
        <v>14</v>
      </c>
      <c r="B75" s="137" t="s">
        <v>379</v>
      </c>
      <c r="C75" s="24" t="s">
        <v>13</v>
      </c>
      <c r="D75" s="24" t="s">
        <v>15</v>
      </c>
      <c r="E75" s="24" t="s">
        <v>10</v>
      </c>
      <c r="F75" s="24" t="s">
        <v>11</v>
      </c>
      <c r="G75" s="24" t="s">
        <v>12</v>
      </c>
      <c r="H75" s="24">
        <v>3</v>
      </c>
      <c r="I75" s="24">
        <v>6</v>
      </c>
      <c r="J75" s="28">
        <v>10000000</v>
      </c>
      <c r="K75" s="28">
        <v>97449662</v>
      </c>
      <c r="L75" s="28">
        <v>49624160</v>
      </c>
      <c r="M75" s="144">
        <v>17854677</v>
      </c>
      <c r="O75" t="str">
        <f>CONCATENATE("MD ",Tabla4[[#This Row],[Nombre]],"_",Tabla4[[#This Row],[País de orígen]])</f>
        <v>MD GUILLERMO_COLOMBIA</v>
      </c>
    </row>
    <row r="76" spans="1:15">
      <c r="A76" s="92" t="s">
        <v>22</v>
      </c>
      <c r="B76" s="137" t="s">
        <v>380</v>
      </c>
      <c r="C76" s="24" t="s">
        <v>13</v>
      </c>
      <c r="D76" s="24" t="s">
        <v>9</v>
      </c>
      <c r="E76" s="24" t="s">
        <v>17</v>
      </c>
      <c r="F76" s="25" t="s">
        <v>23</v>
      </c>
      <c r="G76" s="24" t="s">
        <v>12</v>
      </c>
      <c r="H76" s="24">
        <v>8</v>
      </c>
      <c r="I76" s="24">
        <v>10</v>
      </c>
      <c r="J76" s="23" t="s">
        <v>141</v>
      </c>
      <c r="K76" s="23" t="s">
        <v>179</v>
      </c>
      <c r="L76" s="28">
        <v>44422091</v>
      </c>
      <c r="M76" s="144">
        <v>8898260</v>
      </c>
      <c r="O76" t="str">
        <f>CONCATENATE("MD ",Tabla4[[#This Row],[Nombre]],"_",Tabla4[[#This Row],[País de orígen]])</f>
        <v>MD CHRISTIAN_COLOMBIA</v>
      </c>
    </row>
    <row r="77" spans="1:15">
      <c r="A77" s="92" t="s">
        <v>71</v>
      </c>
      <c r="B77" s="137" t="s">
        <v>381</v>
      </c>
      <c r="C77" s="25" t="s">
        <v>72</v>
      </c>
      <c r="D77" s="24" t="s">
        <v>21</v>
      </c>
      <c r="E77" s="24" t="s">
        <v>17</v>
      </c>
      <c r="F77" s="25" t="s">
        <v>18</v>
      </c>
      <c r="G77" s="24" t="s">
        <v>12</v>
      </c>
      <c r="H77" s="24">
        <v>5</v>
      </c>
      <c r="I77" s="24">
        <v>7</v>
      </c>
      <c r="J77" s="23" t="s">
        <v>141</v>
      </c>
      <c r="K77" s="23" t="s">
        <v>179</v>
      </c>
      <c r="L77" s="23" t="s">
        <v>179</v>
      </c>
      <c r="M77" s="144">
        <v>63436099</v>
      </c>
      <c r="O77" t="str">
        <f>CONCATENATE("MD ",Tabla4[[#This Row],[Nombre]],"_",Tabla4[[#This Row],[País de orígen]])</f>
        <v>MD MATEO_URUGUAY</v>
      </c>
    </row>
    <row r="78" spans="1:15">
      <c r="A78" s="92" t="s">
        <v>131</v>
      </c>
      <c r="B78" s="137" t="s">
        <v>382</v>
      </c>
      <c r="C78" s="24" t="s">
        <v>13</v>
      </c>
      <c r="D78" s="24" t="s">
        <v>21</v>
      </c>
      <c r="E78" s="24" t="s">
        <v>10</v>
      </c>
      <c r="F78" s="24" t="s">
        <v>11</v>
      </c>
      <c r="G78" s="24" t="s">
        <v>30</v>
      </c>
      <c r="H78" s="24">
        <v>8</v>
      </c>
      <c r="I78" s="24">
        <v>9</v>
      </c>
      <c r="J78" s="28">
        <v>10000000</v>
      </c>
      <c r="K78" s="28">
        <v>99989764</v>
      </c>
      <c r="L78" s="28">
        <v>8030175</v>
      </c>
      <c r="M78" s="144">
        <v>37676206</v>
      </c>
      <c r="O78" t="str">
        <f>CONCATENATE("MD ",Tabla4[[#This Row],[Nombre]],"_",Tabla4[[#This Row],[País de orígen]])</f>
        <v>MD JULIAN_COLOMBIA</v>
      </c>
    </row>
    <row r="79" spans="1:15">
      <c r="A79" s="92" t="s">
        <v>66</v>
      </c>
      <c r="B79" s="137" t="s">
        <v>383</v>
      </c>
      <c r="C79" s="24" t="s">
        <v>13</v>
      </c>
      <c r="D79" s="24" t="s">
        <v>21</v>
      </c>
      <c r="E79" s="24" t="s">
        <v>17</v>
      </c>
      <c r="F79" s="25" t="s">
        <v>18</v>
      </c>
      <c r="G79" s="24" t="s">
        <v>30</v>
      </c>
      <c r="H79" s="24">
        <v>4</v>
      </c>
      <c r="I79" s="24">
        <v>5</v>
      </c>
      <c r="J79" s="23" t="s">
        <v>141</v>
      </c>
      <c r="K79" s="23" t="s">
        <v>179</v>
      </c>
      <c r="L79" s="28">
        <v>12862402</v>
      </c>
      <c r="M79" s="144">
        <v>68922404</v>
      </c>
      <c r="O79" t="str">
        <f>CONCATENATE("MD ",Tabla4[[#This Row],[Nombre]],"_",Tabla4[[#This Row],[País de orígen]])</f>
        <v>MD CRISTOBAL_COLOMBIA</v>
      </c>
    </row>
    <row r="80" spans="1:15">
      <c r="A80" s="92" t="s">
        <v>99</v>
      </c>
      <c r="B80" s="137" t="s">
        <v>384</v>
      </c>
      <c r="C80" s="24" t="s">
        <v>13</v>
      </c>
      <c r="D80" s="24" t="s">
        <v>25</v>
      </c>
      <c r="E80" s="24" t="s">
        <v>17</v>
      </c>
      <c r="F80" s="25" t="s">
        <v>18</v>
      </c>
      <c r="G80" s="24" t="s">
        <v>30</v>
      </c>
      <c r="H80" s="24">
        <v>9</v>
      </c>
      <c r="I80" s="24">
        <v>9</v>
      </c>
      <c r="J80" s="23" t="s">
        <v>141</v>
      </c>
      <c r="K80" s="23" t="s">
        <v>179</v>
      </c>
      <c r="L80" s="28">
        <v>46914257</v>
      </c>
      <c r="M80" s="144">
        <v>43734508</v>
      </c>
      <c r="O80" t="str">
        <f>CONCATENATE("MD ",Tabla4[[#This Row],[Nombre]],"_",Tabla4[[#This Row],[País de orígen]])</f>
        <v>MD RODRIGO_COLOMBIA</v>
      </c>
    </row>
    <row r="81" spans="1:15">
      <c r="A81" s="92" t="s">
        <v>114</v>
      </c>
      <c r="B81" s="137" t="s">
        <v>385</v>
      </c>
      <c r="C81" s="56" t="s">
        <v>115</v>
      </c>
      <c r="D81" s="24" t="s">
        <v>54</v>
      </c>
      <c r="E81" s="24" t="s">
        <v>55</v>
      </c>
      <c r="F81" s="24" t="s">
        <v>56</v>
      </c>
      <c r="G81" s="24" t="s">
        <v>12</v>
      </c>
      <c r="H81" s="24">
        <v>6</v>
      </c>
      <c r="I81" s="24">
        <v>10</v>
      </c>
      <c r="J81" s="23" t="s">
        <v>141</v>
      </c>
      <c r="K81" s="23" t="s">
        <v>179</v>
      </c>
      <c r="L81" s="28">
        <v>95212463</v>
      </c>
      <c r="M81" s="145" t="s">
        <v>179</v>
      </c>
      <c r="O81" t="str">
        <f>CONCATENATE("MD ",Tabla4[[#This Row],[Nombre]],"_",Tabla4[[#This Row],[País de orígen]])</f>
        <v>MD JESUS_OTRO PAÍS DEL MUNDO</v>
      </c>
    </row>
    <row r="82" spans="1:15">
      <c r="A82" s="92" t="s">
        <v>58</v>
      </c>
      <c r="B82" s="137" t="s">
        <v>386</v>
      </c>
      <c r="C82" s="25" t="s">
        <v>28</v>
      </c>
      <c r="D82" s="24" t="s">
        <v>21</v>
      </c>
      <c r="E82" s="24" t="s">
        <v>10</v>
      </c>
      <c r="F82" s="24" t="s">
        <v>11</v>
      </c>
      <c r="G82" s="24" t="s">
        <v>12</v>
      </c>
      <c r="H82" s="24">
        <v>3</v>
      </c>
      <c r="I82" s="24">
        <v>9</v>
      </c>
      <c r="J82" s="28">
        <v>5000000</v>
      </c>
      <c r="K82" s="28">
        <v>32915397</v>
      </c>
      <c r="L82" s="28">
        <v>74493461</v>
      </c>
      <c r="M82" s="144">
        <v>151779</v>
      </c>
      <c r="O82" t="str">
        <f>CONCATENATE("MD ",Tabla4[[#This Row],[Nombre]],"_",Tabla4[[#This Row],[País de orígen]])</f>
        <v>MD JORGE_CHILE</v>
      </c>
    </row>
    <row r="83" spans="1:15">
      <c r="A83" s="92" t="s">
        <v>117</v>
      </c>
      <c r="B83" s="137" t="s">
        <v>387</v>
      </c>
      <c r="C83" s="24" t="s">
        <v>13</v>
      </c>
      <c r="D83" s="24" t="s">
        <v>25</v>
      </c>
      <c r="E83" s="24" t="s">
        <v>17</v>
      </c>
      <c r="F83" s="25" t="s">
        <v>18</v>
      </c>
      <c r="G83" s="24" t="s">
        <v>12</v>
      </c>
      <c r="H83" s="24">
        <v>3</v>
      </c>
      <c r="I83" s="24">
        <v>7</v>
      </c>
      <c r="J83" s="23" t="s">
        <v>141</v>
      </c>
      <c r="K83" s="23" t="s">
        <v>179</v>
      </c>
      <c r="L83" s="28">
        <v>43223505</v>
      </c>
      <c r="M83" s="145" t="s">
        <v>179</v>
      </c>
      <c r="O83" t="str">
        <f>CONCATENATE("MD ",Tabla4[[#This Row],[Nombre]],"_",Tabla4[[#This Row],[País de orígen]])</f>
        <v>MD JULIO_COLOMBIA</v>
      </c>
    </row>
    <row r="84" spans="1:15">
      <c r="A84" s="92" t="s">
        <v>65</v>
      </c>
      <c r="B84" s="137" t="s">
        <v>388</v>
      </c>
      <c r="C84" s="24" t="s">
        <v>13</v>
      </c>
      <c r="D84" s="24" t="s">
        <v>21</v>
      </c>
      <c r="E84" s="24" t="s">
        <v>17</v>
      </c>
      <c r="F84" s="25" t="s">
        <v>18</v>
      </c>
      <c r="G84" s="24" t="s">
        <v>12</v>
      </c>
      <c r="H84" s="24">
        <v>7</v>
      </c>
      <c r="I84" s="24">
        <v>10</v>
      </c>
      <c r="J84" s="23" t="s">
        <v>141</v>
      </c>
      <c r="K84" s="23" t="s">
        <v>179</v>
      </c>
      <c r="L84" s="28">
        <v>14141858</v>
      </c>
      <c r="M84" s="144">
        <v>87162317</v>
      </c>
      <c r="O84" t="str">
        <f>CONCATENATE("MD ",Tabla4[[#This Row],[Nombre]],"_",Tabla4[[#This Row],[País de orígen]])</f>
        <v>MD MARIA MÓNICA_COLOMBIA</v>
      </c>
    </row>
    <row r="85" spans="1:15">
      <c r="A85" s="92" t="s">
        <v>112</v>
      </c>
      <c r="B85" s="137" t="s">
        <v>389</v>
      </c>
      <c r="C85" s="24" t="s">
        <v>13</v>
      </c>
      <c r="D85" s="24" t="s">
        <v>21</v>
      </c>
      <c r="E85" s="24" t="s">
        <v>17</v>
      </c>
      <c r="F85" s="25" t="s">
        <v>18</v>
      </c>
      <c r="G85" s="24" t="s">
        <v>12</v>
      </c>
      <c r="H85" s="24">
        <v>3</v>
      </c>
      <c r="I85" s="24">
        <v>7</v>
      </c>
      <c r="J85" s="23" t="s">
        <v>141</v>
      </c>
      <c r="K85" s="23" t="s">
        <v>179</v>
      </c>
      <c r="L85" s="28">
        <v>29525162</v>
      </c>
      <c r="M85" s="145" t="s">
        <v>179</v>
      </c>
      <c r="O85" t="str">
        <f>CONCATENATE("MD ",Tabla4[[#This Row],[Nombre]],"_",Tabla4[[#This Row],[País de orígen]])</f>
        <v>MD IGNACIO_COLOMBIA</v>
      </c>
    </row>
    <row r="86" spans="1:15">
      <c r="A86" s="92" t="s">
        <v>135</v>
      </c>
      <c r="B86" s="137" t="s">
        <v>390</v>
      </c>
      <c r="C86" s="24" t="s">
        <v>13</v>
      </c>
      <c r="D86" s="24" t="s">
        <v>21</v>
      </c>
      <c r="E86" s="24" t="s">
        <v>17</v>
      </c>
      <c r="F86" s="25" t="s">
        <v>23</v>
      </c>
      <c r="G86" s="24" t="s">
        <v>30</v>
      </c>
      <c r="H86" s="24">
        <v>7</v>
      </c>
      <c r="I86" s="24">
        <v>4</v>
      </c>
      <c r="J86" s="23" t="s">
        <v>141</v>
      </c>
      <c r="K86" s="23" t="s">
        <v>179</v>
      </c>
      <c r="L86" s="28">
        <v>29366791</v>
      </c>
      <c r="M86" s="144">
        <v>89805774</v>
      </c>
      <c r="O86" t="str">
        <f>CONCATENATE("MD ",Tabla4[[#This Row],[Nombre]],"_",Tabla4[[#This Row],[País de orígen]])</f>
        <v>MD GABRIEL_COLOMBIA</v>
      </c>
    </row>
    <row r="87" spans="1:15">
      <c r="A87" s="92" t="s">
        <v>40</v>
      </c>
      <c r="B87" s="137" t="s">
        <v>391</v>
      </c>
      <c r="C87" s="24" t="s">
        <v>13</v>
      </c>
      <c r="D87" s="24" t="s">
        <v>21</v>
      </c>
      <c r="E87" s="24" t="s">
        <v>17</v>
      </c>
      <c r="F87" s="25" t="s">
        <v>18</v>
      </c>
      <c r="G87" s="24" t="s">
        <v>30</v>
      </c>
      <c r="H87" s="24">
        <v>9</v>
      </c>
      <c r="I87" s="24">
        <v>5</v>
      </c>
      <c r="J87" s="23" t="s">
        <v>141</v>
      </c>
      <c r="K87" s="23" t="s">
        <v>179</v>
      </c>
      <c r="L87" s="28">
        <v>73195518</v>
      </c>
      <c r="M87" s="144">
        <v>10695678</v>
      </c>
      <c r="O87" t="str">
        <f>CONCATENATE("MD ",Tabla4[[#This Row],[Nombre]],"_",Tabla4[[#This Row],[País de orígen]])</f>
        <v>MD MARTIN_COLOMBIA</v>
      </c>
    </row>
    <row r="88" spans="1:15">
      <c r="A88" s="92" t="s">
        <v>19</v>
      </c>
      <c r="B88" s="137" t="s">
        <v>392</v>
      </c>
      <c r="C88" s="24" t="s">
        <v>13</v>
      </c>
      <c r="D88" s="24" t="s">
        <v>21</v>
      </c>
      <c r="E88" s="24" t="s">
        <v>17</v>
      </c>
      <c r="F88" s="25" t="s">
        <v>18</v>
      </c>
      <c r="G88" s="24" t="s">
        <v>12</v>
      </c>
      <c r="H88" s="24">
        <v>3</v>
      </c>
      <c r="I88" s="24">
        <v>6</v>
      </c>
      <c r="J88" s="23" t="s">
        <v>141</v>
      </c>
      <c r="K88" s="23" t="s">
        <v>179</v>
      </c>
      <c r="L88" s="28">
        <v>1432950</v>
      </c>
      <c r="M88" s="144">
        <v>29672451</v>
      </c>
      <c r="O88" t="str">
        <f>CONCATENATE("MD ",Tabla4[[#This Row],[Nombre]],"_",Tabla4[[#This Row],[País de orígen]])</f>
        <v>MD FERNANDO_COLOMBIA</v>
      </c>
    </row>
    <row r="89" spans="1:15">
      <c r="A89" s="92" t="s">
        <v>70</v>
      </c>
      <c r="B89" s="137" t="s">
        <v>393</v>
      </c>
      <c r="C89" s="24" t="s">
        <v>13</v>
      </c>
      <c r="D89" s="24" t="s">
        <v>21</v>
      </c>
      <c r="E89" s="24" t="s">
        <v>10</v>
      </c>
      <c r="F89" s="24" t="s">
        <v>11</v>
      </c>
      <c r="G89" s="24" t="s">
        <v>30</v>
      </c>
      <c r="H89" s="24">
        <v>8</v>
      </c>
      <c r="I89" s="24">
        <v>7</v>
      </c>
      <c r="J89" s="28">
        <v>1000000</v>
      </c>
      <c r="K89" s="28">
        <v>77159264</v>
      </c>
      <c r="L89" s="23" t="s">
        <v>179</v>
      </c>
      <c r="M89" s="144">
        <v>97234303</v>
      </c>
      <c r="O89" t="str">
        <f>CONCATENATE("MD ",Tabla4[[#This Row],[Nombre]],"_",Tabla4[[#This Row],[País de orígen]])</f>
        <v>MD ALEJANDRO_COLOMBIA</v>
      </c>
    </row>
    <row r="90" spans="1:15">
      <c r="A90" s="92" t="s">
        <v>104</v>
      </c>
      <c r="B90" s="137" t="s">
        <v>394</v>
      </c>
      <c r="C90" s="25" t="s">
        <v>28</v>
      </c>
      <c r="D90" s="24" t="s">
        <v>21</v>
      </c>
      <c r="E90" s="24" t="s">
        <v>10</v>
      </c>
      <c r="F90" s="24" t="s">
        <v>11</v>
      </c>
      <c r="G90" s="24" t="s">
        <v>12</v>
      </c>
      <c r="H90" s="24">
        <v>7</v>
      </c>
      <c r="I90" s="24">
        <v>10</v>
      </c>
      <c r="J90" s="28">
        <v>100000000</v>
      </c>
      <c r="K90" s="28">
        <v>12451199</v>
      </c>
      <c r="L90" s="28">
        <v>74231711</v>
      </c>
      <c r="M90" s="144">
        <v>42951226</v>
      </c>
      <c r="O90" t="str">
        <f>CONCATENATE("MD ",Tabla4[[#This Row],[Nombre]],"_",Tabla4[[#This Row],[País de orígen]])</f>
        <v>MD SANTIAGO_CHILE</v>
      </c>
    </row>
    <row r="91" spans="1:15">
      <c r="A91" s="92" t="s">
        <v>128</v>
      </c>
      <c r="B91" s="137" t="s">
        <v>395</v>
      </c>
      <c r="C91" s="24" t="s">
        <v>13</v>
      </c>
      <c r="D91" s="24" t="s">
        <v>9</v>
      </c>
      <c r="E91" s="24" t="s">
        <v>10</v>
      </c>
      <c r="F91" s="24" t="s">
        <v>11</v>
      </c>
      <c r="G91" s="24" t="s">
        <v>30</v>
      </c>
      <c r="H91" s="24">
        <v>3</v>
      </c>
      <c r="I91" s="24">
        <v>9</v>
      </c>
      <c r="J91" s="28">
        <v>90000000</v>
      </c>
      <c r="K91" s="28">
        <v>13287929</v>
      </c>
      <c r="L91" s="28">
        <v>27090183</v>
      </c>
      <c r="M91" s="144">
        <v>79518711</v>
      </c>
      <c r="O91" t="str">
        <f>CONCATENATE("MD ",Tabla4[[#This Row],[Nombre]],"_",Tabla4[[#This Row],[País de orígen]])</f>
        <v>MD LUCAS_COLOMBIA</v>
      </c>
    </row>
    <row r="92" spans="1:15">
      <c r="A92" s="92" t="s">
        <v>53</v>
      </c>
      <c r="B92" s="137" t="s">
        <v>396</v>
      </c>
      <c r="C92" s="25" t="s">
        <v>28</v>
      </c>
      <c r="D92" s="24" t="s">
        <v>54</v>
      </c>
      <c r="E92" s="24" t="s">
        <v>55</v>
      </c>
      <c r="F92" s="24" t="s">
        <v>56</v>
      </c>
      <c r="G92" s="24" t="s">
        <v>12</v>
      </c>
      <c r="H92" s="24">
        <v>6</v>
      </c>
      <c r="I92" s="24">
        <v>5</v>
      </c>
      <c r="J92" s="23" t="s">
        <v>141</v>
      </c>
      <c r="K92" s="23" t="s">
        <v>179</v>
      </c>
      <c r="L92" s="28">
        <v>20898506</v>
      </c>
      <c r="M92" s="144">
        <v>24525645</v>
      </c>
      <c r="O92" t="str">
        <f>CONCATENATE("MD ",Tabla4[[#This Row],[Nombre]],"_",Tabla4[[#This Row],[País de orígen]])</f>
        <v>MD PEDRO_CHILE</v>
      </c>
    </row>
    <row r="93" spans="1:15">
      <c r="A93" s="92" t="s">
        <v>51</v>
      </c>
      <c r="B93" s="137" t="s">
        <v>397</v>
      </c>
      <c r="C93" s="24" t="s">
        <v>13</v>
      </c>
      <c r="D93" s="24" t="s">
        <v>21</v>
      </c>
      <c r="E93" s="24" t="s">
        <v>10</v>
      </c>
      <c r="F93" s="24" t="s">
        <v>11</v>
      </c>
      <c r="G93" s="24" t="s">
        <v>12</v>
      </c>
      <c r="H93" s="24">
        <v>8</v>
      </c>
      <c r="I93" s="24">
        <v>7</v>
      </c>
      <c r="J93" s="28">
        <v>5000000</v>
      </c>
      <c r="K93" s="28">
        <v>37959268</v>
      </c>
      <c r="L93" s="28">
        <v>69132389</v>
      </c>
      <c r="M93" s="144">
        <v>99564796</v>
      </c>
      <c r="O93" t="str">
        <f>CONCATENATE("MD ",Tabla4[[#This Row],[Nombre]],"_",Tabla4[[#This Row],[País de orígen]])</f>
        <v>MD ENRIQUE_COLOMBIA</v>
      </c>
    </row>
    <row r="94" spans="1:15">
      <c r="A94" s="92" t="s">
        <v>63</v>
      </c>
      <c r="B94" s="137" t="s">
        <v>398</v>
      </c>
      <c r="C94" s="24" t="s">
        <v>13</v>
      </c>
      <c r="D94" s="24" t="s">
        <v>21</v>
      </c>
      <c r="E94" s="24" t="s">
        <v>17</v>
      </c>
      <c r="F94" s="25" t="s">
        <v>18</v>
      </c>
      <c r="G94" s="24" t="s">
        <v>30</v>
      </c>
      <c r="H94" s="24">
        <v>3</v>
      </c>
      <c r="I94" s="24">
        <v>6</v>
      </c>
      <c r="J94" s="23" t="s">
        <v>141</v>
      </c>
      <c r="K94" s="23" t="s">
        <v>179</v>
      </c>
      <c r="L94" s="28">
        <v>26450622</v>
      </c>
      <c r="M94" s="144">
        <v>4227264</v>
      </c>
      <c r="O94" t="str">
        <f>CONCATENATE("MD ",Tabla4[[#This Row],[Nombre]],"_",Tabla4[[#This Row],[País de orígen]])</f>
        <v>MD VICTOR_COLOMBIA</v>
      </c>
    </row>
    <row r="95" spans="1:15">
      <c r="A95" s="92" t="s">
        <v>76</v>
      </c>
      <c r="B95" s="137" t="s">
        <v>399</v>
      </c>
      <c r="C95" s="25" t="s">
        <v>77</v>
      </c>
      <c r="D95" s="24" t="s">
        <v>21</v>
      </c>
      <c r="E95" s="24" t="s">
        <v>17</v>
      </c>
      <c r="F95" s="25" t="s">
        <v>18</v>
      </c>
      <c r="G95" s="24" t="s">
        <v>30</v>
      </c>
      <c r="H95" s="24">
        <v>6</v>
      </c>
      <c r="I95" s="24">
        <v>5</v>
      </c>
      <c r="J95" s="23" t="s">
        <v>141</v>
      </c>
      <c r="K95" s="23" t="s">
        <v>179</v>
      </c>
      <c r="L95" s="23" t="s">
        <v>179</v>
      </c>
      <c r="M95" s="144">
        <v>54376640</v>
      </c>
      <c r="O95" t="str">
        <f>CONCATENATE("MD ",Tabla4[[#This Row],[Nombre]],"_",Tabla4[[#This Row],[País de orígen]])</f>
        <v>MD ALFREDO_PARAGUAY</v>
      </c>
    </row>
    <row r="96" spans="1:15">
      <c r="A96" s="92" t="s">
        <v>134</v>
      </c>
      <c r="B96" s="137" t="s">
        <v>400</v>
      </c>
      <c r="C96" s="24" t="s">
        <v>13</v>
      </c>
      <c r="D96" s="24" t="s">
        <v>21</v>
      </c>
      <c r="E96" s="24" t="s">
        <v>10</v>
      </c>
      <c r="F96" s="24" t="s">
        <v>27</v>
      </c>
      <c r="G96" s="24" t="s">
        <v>12</v>
      </c>
      <c r="H96" s="24">
        <v>7</v>
      </c>
      <c r="I96" s="24">
        <v>9</v>
      </c>
      <c r="J96" s="28">
        <v>90000000</v>
      </c>
      <c r="K96" s="28">
        <v>29991873</v>
      </c>
      <c r="L96" s="28">
        <v>39252741</v>
      </c>
      <c r="M96" s="144">
        <v>15542722</v>
      </c>
      <c r="O96" t="str">
        <f>CONCATENATE("MD ",Tabla4[[#This Row],[Nombre]],"_",Tabla4[[#This Row],[País de orígen]])</f>
        <v>MD DARIO_COLOMBIA</v>
      </c>
    </row>
    <row r="97" spans="1:15">
      <c r="A97" s="92" t="s">
        <v>52</v>
      </c>
      <c r="B97" s="137" t="s">
        <v>401</v>
      </c>
      <c r="C97" s="24" t="s">
        <v>13</v>
      </c>
      <c r="D97" s="24" t="s">
        <v>21</v>
      </c>
      <c r="E97" s="24" t="s">
        <v>10</v>
      </c>
      <c r="F97" s="24" t="s">
        <v>27</v>
      </c>
      <c r="G97" s="24" t="s">
        <v>12</v>
      </c>
      <c r="H97" s="24">
        <v>6</v>
      </c>
      <c r="I97" s="24">
        <v>10</v>
      </c>
      <c r="J97" s="28">
        <v>10000000</v>
      </c>
      <c r="K97" s="28">
        <v>7303129</v>
      </c>
      <c r="L97" s="28">
        <v>3765621</v>
      </c>
      <c r="M97" s="144">
        <v>18125151</v>
      </c>
      <c r="O97" t="str">
        <f>CONCATENATE("MD ",Tabla4[[#This Row],[Nombre]],"_",Tabla4[[#This Row],[País de orígen]])</f>
        <v>MD DIEGO_COLOMBIA</v>
      </c>
    </row>
    <row r="98" spans="1:15">
      <c r="A98" s="92" t="s">
        <v>69</v>
      </c>
      <c r="B98" s="137" t="s">
        <v>402</v>
      </c>
      <c r="C98" s="25" t="s">
        <v>32</v>
      </c>
      <c r="D98" s="24" t="s">
        <v>21</v>
      </c>
      <c r="E98" s="24" t="s">
        <v>10</v>
      </c>
      <c r="F98" s="24" t="s">
        <v>27</v>
      </c>
      <c r="G98" s="24" t="s">
        <v>12</v>
      </c>
      <c r="H98" s="24">
        <v>3</v>
      </c>
      <c r="I98" s="24">
        <v>9</v>
      </c>
      <c r="J98" s="28">
        <v>30000000</v>
      </c>
      <c r="K98" s="28">
        <v>44457754</v>
      </c>
      <c r="L98" s="23" t="s">
        <v>179</v>
      </c>
      <c r="M98" s="144">
        <v>62249765</v>
      </c>
      <c r="O98" t="str">
        <f>CONCATENATE("MD ",Tabla4[[#This Row],[Nombre]],"_",Tabla4[[#This Row],[País de orígen]])</f>
        <v>MD ISMAEL_BRASIL</v>
      </c>
    </row>
    <row r="99" spans="1:15">
      <c r="A99" s="92" t="s">
        <v>83</v>
      </c>
      <c r="B99" s="137" t="s">
        <v>403</v>
      </c>
      <c r="C99" s="24" t="s">
        <v>13</v>
      </c>
      <c r="D99" s="24" t="s">
        <v>21</v>
      </c>
      <c r="E99" s="24" t="s">
        <v>10</v>
      </c>
      <c r="F99" s="24" t="s">
        <v>11</v>
      </c>
      <c r="G99" s="24" t="s">
        <v>12</v>
      </c>
      <c r="H99" s="24">
        <v>4</v>
      </c>
      <c r="I99" s="24">
        <v>10</v>
      </c>
      <c r="J99" s="28">
        <v>10000000</v>
      </c>
      <c r="K99" s="28">
        <v>54467236</v>
      </c>
      <c r="L99" s="23" t="s">
        <v>179</v>
      </c>
      <c r="M99" s="144">
        <v>1234692</v>
      </c>
      <c r="O99" t="str">
        <f>CONCATENATE("MD ",Tabla4[[#This Row],[Nombre]],"_",Tabla4[[#This Row],[País de orígen]])</f>
        <v>MD JAIME_COLOMBIA</v>
      </c>
    </row>
    <row r="100" spans="1:15">
      <c r="A100" s="92" t="s">
        <v>75</v>
      </c>
      <c r="B100" s="137" t="s">
        <v>404</v>
      </c>
      <c r="C100" s="24" t="s">
        <v>13</v>
      </c>
      <c r="D100" s="24" t="s">
        <v>21</v>
      </c>
      <c r="E100" s="24" t="s">
        <v>10</v>
      </c>
      <c r="F100" s="24" t="s">
        <v>27</v>
      </c>
      <c r="G100" s="24" t="s">
        <v>12</v>
      </c>
      <c r="H100" s="24">
        <v>4</v>
      </c>
      <c r="I100" s="24">
        <v>10</v>
      </c>
      <c r="J100" s="28">
        <v>10000000</v>
      </c>
      <c r="K100" s="28">
        <v>17991607</v>
      </c>
      <c r="L100" s="23" t="s">
        <v>179</v>
      </c>
      <c r="M100" s="144">
        <v>174626</v>
      </c>
      <c r="O100" t="str">
        <f>CONCATENATE("MD ",Tabla4[[#This Row],[Nombre]],"_",Tabla4[[#This Row],[País de orígen]])</f>
        <v>MD SALVADOR_COLOMBIA</v>
      </c>
    </row>
    <row r="101" spans="1:15">
      <c r="A101" s="149" t="s">
        <v>92</v>
      </c>
      <c r="B101" s="150" t="s">
        <v>405</v>
      </c>
      <c r="C101" s="151" t="s">
        <v>13</v>
      </c>
      <c r="D101" s="151" t="s">
        <v>21</v>
      </c>
      <c r="E101" s="151" t="s">
        <v>17</v>
      </c>
      <c r="F101" s="152" t="s">
        <v>23</v>
      </c>
      <c r="G101" s="151" t="s">
        <v>12</v>
      </c>
      <c r="H101" s="151">
        <v>5</v>
      </c>
      <c r="I101" s="151">
        <v>10</v>
      </c>
      <c r="J101" s="153" t="s">
        <v>141</v>
      </c>
      <c r="K101" s="153" t="s">
        <v>179</v>
      </c>
      <c r="L101" s="154">
        <v>24965127</v>
      </c>
      <c r="M101" s="155">
        <v>41129782</v>
      </c>
      <c r="O101" t="str">
        <f>CONCATENATE("MD ",Tabla4[[#This Row],[Nombre]],"_",Tabla4[[#This Row],[País de orígen]])</f>
        <v>MD ADRIAN_COLOMBIA</v>
      </c>
    </row>
  </sheetData>
  <hyperlinks>
    <hyperlink ref="B2" r:id="rId1" xr:uid="{199246BD-18EB-4FD4-97FB-AB7BA644106A}"/>
  </hyperlinks>
  <pageMargins left="0.7" right="0.7" top="0.75" bottom="0.75" header="0.3" footer="0.3"/>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E2C79-B4AC-4924-8C8D-1DF64DC2489B}">
  <dimension ref="A2:M672"/>
  <sheetViews>
    <sheetView workbookViewId="0">
      <selection activeCell="A4" sqref="A4"/>
    </sheetView>
  </sheetViews>
  <sheetFormatPr baseColWidth="10" defaultRowHeight="15"/>
  <cols>
    <col min="1" max="1" width="58.85546875" customWidth="1"/>
    <col min="4" max="4" width="11.5703125" customWidth="1"/>
    <col min="5" max="5" width="13.7109375" customWidth="1"/>
    <col min="6" max="6" width="19.28515625" customWidth="1"/>
    <col min="7" max="7" width="14.5703125" customWidth="1"/>
    <col min="9" max="9" width="18.7109375" bestFit="1" customWidth="1"/>
    <col min="11" max="11" width="18.7109375" bestFit="1" customWidth="1"/>
    <col min="12" max="12" width="20.5703125" bestFit="1" customWidth="1"/>
  </cols>
  <sheetData>
    <row r="2" spans="1:13" ht="105" customHeight="1">
      <c r="A2" s="211" t="s">
        <v>614</v>
      </c>
    </row>
    <row r="3" spans="1:13">
      <c r="B3" s="217" t="s">
        <v>511</v>
      </c>
      <c r="C3" s="218" t="s">
        <v>512</v>
      </c>
      <c r="D3" s="218" t="s">
        <v>513</v>
      </c>
      <c r="E3" s="218" t="s">
        <v>514</v>
      </c>
      <c r="F3" s="218" t="s">
        <v>515</v>
      </c>
      <c r="G3" s="218" t="s">
        <v>516</v>
      </c>
      <c r="H3" s="219" t="s">
        <v>517</v>
      </c>
      <c r="I3" s="213" t="s">
        <v>612</v>
      </c>
      <c r="J3" s="213"/>
      <c r="L3" s="223" t="s">
        <v>517</v>
      </c>
      <c r="M3" s="219" t="s">
        <v>569</v>
      </c>
    </row>
    <row r="4" spans="1:13">
      <c r="B4" s="215" t="s">
        <v>518</v>
      </c>
      <c r="C4" s="212">
        <v>42781</v>
      </c>
      <c r="D4" s="212">
        <v>50</v>
      </c>
      <c r="E4" s="212">
        <v>185.24</v>
      </c>
      <c r="F4" s="212">
        <v>146.25</v>
      </c>
      <c r="G4" s="212">
        <v>38.99</v>
      </c>
      <c r="H4" s="216" t="s">
        <v>519</v>
      </c>
      <c r="I4" s="214" t="str">
        <f>VLOOKUP(H4,$L$4:$M$46,2,FALSE)</f>
        <v>Argentina</v>
      </c>
      <c r="J4" s="214"/>
      <c r="L4" s="215" t="s">
        <v>519</v>
      </c>
      <c r="M4" s="216" t="s">
        <v>570</v>
      </c>
    </row>
    <row r="5" spans="1:13">
      <c r="B5" s="215" t="s">
        <v>520</v>
      </c>
      <c r="C5" s="212">
        <v>42781</v>
      </c>
      <c r="D5" s="212">
        <v>36</v>
      </c>
      <c r="E5" s="212">
        <v>161.05000000000001</v>
      </c>
      <c r="F5" s="212">
        <v>114.66</v>
      </c>
      <c r="G5" s="212">
        <v>46.39</v>
      </c>
      <c r="H5" s="216" t="s">
        <v>521</v>
      </c>
      <c r="I5" s="214" t="str">
        <f t="shared" ref="I5:I68" si="0">VLOOKUP(H5,$L$4:$M$46,2,FALSE)</f>
        <v>Colombia</v>
      </c>
      <c r="J5" s="214"/>
      <c r="L5" s="215" t="s">
        <v>557</v>
      </c>
      <c r="M5" s="216" t="s">
        <v>571</v>
      </c>
    </row>
    <row r="6" spans="1:13">
      <c r="B6" s="215" t="s">
        <v>520</v>
      </c>
      <c r="C6" s="212">
        <v>42781</v>
      </c>
      <c r="D6" s="212">
        <v>1</v>
      </c>
      <c r="E6" s="212">
        <v>28.95</v>
      </c>
      <c r="F6" s="212">
        <v>11.6</v>
      </c>
      <c r="G6" s="212">
        <v>17.350000000000001</v>
      </c>
      <c r="H6" s="216" t="s">
        <v>522</v>
      </c>
      <c r="I6" s="214" t="str">
        <f t="shared" si="0"/>
        <v>Germany</v>
      </c>
      <c r="J6" s="214"/>
      <c r="L6" s="215" t="s">
        <v>558</v>
      </c>
      <c r="M6" s="216" t="s">
        <v>572</v>
      </c>
    </row>
    <row r="7" spans="1:13">
      <c r="B7" s="215" t="s">
        <v>520</v>
      </c>
      <c r="C7" s="212">
        <v>42781</v>
      </c>
      <c r="D7" s="212">
        <v>2</v>
      </c>
      <c r="E7" s="212">
        <v>57.9</v>
      </c>
      <c r="F7" s="212">
        <v>23.44</v>
      </c>
      <c r="G7" s="212">
        <v>34.46</v>
      </c>
      <c r="H7" s="216" t="s">
        <v>523</v>
      </c>
      <c r="I7" s="214" t="str">
        <f t="shared" si="0"/>
        <v>Dominican Republic</v>
      </c>
      <c r="J7" s="214"/>
      <c r="L7" s="215" t="s">
        <v>559</v>
      </c>
      <c r="M7" s="216" t="s">
        <v>573</v>
      </c>
    </row>
    <row r="8" spans="1:13">
      <c r="B8" s="215" t="s">
        <v>520</v>
      </c>
      <c r="C8" s="212">
        <v>42781</v>
      </c>
      <c r="D8" s="212">
        <v>12</v>
      </c>
      <c r="E8" s="212">
        <v>274.45</v>
      </c>
      <c r="F8" s="212">
        <v>133.74</v>
      </c>
      <c r="G8" s="212">
        <v>140.71</v>
      </c>
      <c r="H8" s="216" t="s">
        <v>524</v>
      </c>
      <c r="I8" s="214" t="str">
        <f t="shared" si="0"/>
        <v>Ecuador</v>
      </c>
      <c r="J8" s="214"/>
      <c r="L8" s="215" t="s">
        <v>560</v>
      </c>
      <c r="M8" s="216" t="s">
        <v>574</v>
      </c>
    </row>
    <row r="9" spans="1:13">
      <c r="B9" s="215" t="s">
        <v>520</v>
      </c>
      <c r="C9" s="212">
        <v>42781</v>
      </c>
      <c r="D9" s="212">
        <v>2</v>
      </c>
      <c r="E9" s="212">
        <v>57.9</v>
      </c>
      <c r="F9" s="212">
        <v>23.67</v>
      </c>
      <c r="G9" s="212">
        <v>34.229999999999997</v>
      </c>
      <c r="H9" s="216" t="s">
        <v>524</v>
      </c>
      <c r="I9" s="214" t="str">
        <f t="shared" si="0"/>
        <v>Ecuador</v>
      </c>
      <c r="J9" s="214"/>
      <c r="L9" s="215" t="s">
        <v>561</v>
      </c>
      <c r="M9" s="216" t="s">
        <v>575</v>
      </c>
    </row>
    <row r="10" spans="1:13">
      <c r="B10" s="215" t="s">
        <v>525</v>
      </c>
      <c r="C10" s="212">
        <v>42781</v>
      </c>
      <c r="D10" s="212">
        <v>44</v>
      </c>
      <c r="E10" s="212">
        <v>642.82000000000005</v>
      </c>
      <c r="F10" s="212">
        <v>442.15</v>
      </c>
      <c r="G10" s="212">
        <v>200.67</v>
      </c>
      <c r="H10" s="216" t="s">
        <v>526</v>
      </c>
      <c r="I10" s="214" t="str">
        <f t="shared" si="0"/>
        <v>Canada</v>
      </c>
      <c r="J10" s="214"/>
      <c r="L10" s="215" t="s">
        <v>526</v>
      </c>
      <c r="M10" s="216" t="s">
        <v>576</v>
      </c>
    </row>
    <row r="11" spans="1:13">
      <c r="B11" s="215" t="s">
        <v>518</v>
      </c>
      <c r="C11" s="212">
        <v>42782</v>
      </c>
      <c r="D11" s="212">
        <v>2</v>
      </c>
      <c r="E11" s="212">
        <v>47.9</v>
      </c>
      <c r="F11" s="212">
        <v>21.19</v>
      </c>
      <c r="G11" s="212">
        <v>26.71</v>
      </c>
      <c r="H11" s="216" t="s">
        <v>527</v>
      </c>
      <c r="I11" s="214" t="str">
        <f t="shared" si="0"/>
        <v>Suiza</v>
      </c>
      <c r="J11" s="214"/>
      <c r="L11" s="215" t="s">
        <v>527</v>
      </c>
      <c r="M11" s="216" t="s">
        <v>577</v>
      </c>
    </row>
    <row r="12" spans="1:13">
      <c r="B12" s="215" t="s">
        <v>518</v>
      </c>
      <c r="C12" s="212">
        <v>42782</v>
      </c>
      <c r="D12" s="212">
        <v>3</v>
      </c>
      <c r="E12" s="212">
        <v>71.849999999999994</v>
      </c>
      <c r="F12" s="212">
        <v>32.090000000000003</v>
      </c>
      <c r="G12" s="212">
        <v>39.76</v>
      </c>
      <c r="H12" s="216" t="s">
        <v>528</v>
      </c>
      <c r="I12" s="214" t="str">
        <f t="shared" si="0"/>
        <v>UK</v>
      </c>
      <c r="J12" s="214"/>
      <c r="L12" s="215" t="s">
        <v>562</v>
      </c>
      <c r="M12" s="216" t="s">
        <v>578</v>
      </c>
    </row>
    <row r="13" spans="1:13">
      <c r="B13" s="215" t="s">
        <v>518</v>
      </c>
      <c r="C13" s="212">
        <v>42782</v>
      </c>
      <c r="D13" s="212">
        <v>2</v>
      </c>
      <c r="E13" s="212">
        <v>47.9</v>
      </c>
      <c r="F13" s="212">
        <v>18.16</v>
      </c>
      <c r="G13" s="212">
        <v>29.74</v>
      </c>
      <c r="H13" s="216" t="s">
        <v>529</v>
      </c>
      <c r="I13" s="214" t="str">
        <f t="shared" si="0"/>
        <v>Grecia</v>
      </c>
      <c r="J13" s="214"/>
      <c r="L13" s="215" t="s">
        <v>521</v>
      </c>
      <c r="M13" s="216" t="s">
        <v>160</v>
      </c>
    </row>
    <row r="14" spans="1:13">
      <c r="B14" s="215" t="s">
        <v>530</v>
      </c>
      <c r="C14" s="212">
        <v>42782</v>
      </c>
      <c r="D14" s="212">
        <v>1</v>
      </c>
      <c r="E14" s="212">
        <v>21.95</v>
      </c>
      <c r="F14" s="212">
        <v>8.4</v>
      </c>
      <c r="G14" s="212">
        <v>13.55</v>
      </c>
      <c r="H14" s="216" t="s">
        <v>531</v>
      </c>
      <c r="I14" s="214" t="str">
        <f t="shared" si="0"/>
        <v>Hong Kong</v>
      </c>
      <c r="J14" s="214"/>
      <c r="L14" s="215" t="s">
        <v>563</v>
      </c>
      <c r="M14" s="216" t="s">
        <v>579</v>
      </c>
    </row>
    <row r="15" spans="1:13">
      <c r="B15" s="215" t="s">
        <v>530</v>
      </c>
      <c r="C15" s="212">
        <v>42782</v>
      </c>
      <c r="D15" s="212">
        <v>1</v>
      </c>
      <c r="E15" s="212">
        <v>21.95</v>
      </c>
      <c r="F15" s="212">
        <v>8.9</v>
      </c>
      <c r="G15" s="212">
        <v>13.05</v>
      </c>
      <c r="H15" s="216" t="s">
        <v>532</v>
      </c>
      <c r="I15" s="214" t="str">
        <f t="shared" si="0"/>
        <v>Hungria</v>
      </c>
      <c r="J15" s="214"/>
      <c r="L15" s="215" t="s">
        <v>564</v>
      </c>
      <c r="M15" s="216" t="s">
        <v>580</v>
      </c>
    </row>
    <row r="16" spans="1:13">
      <c r="B16" s="215" t="s">
        <v>530</v>
      </c>
      <c r="C16" s="212">
        <v>42782</v>
      </c>
      <c r="D16" s="212">
        <v>1</v>
      </c>
      <c r="E16" s="212">
        <v>21.95</v>
      </c>
      <c r="F16" s="212">
        <v>7.97</v>
      </c>
      <c r="G16" s="212">
        <v>13.98</v>
      </c>
      <c r="H16" s="216" t="s">
        <v>533</v>
      </c>
      <c r="I16" s="214" t="str">
        <f t="shared" si="0"/>
        <v>Irlanda</v>
      </c>
      <c r="J16" s="214"/>
      <c r="L16" s="215" t="s">
        <v>522</v>
      </c>
      <c r="M16" s="216" t="s">
        <v>581</v>
      </c>
    </row>
    <row r="17" spans="2:13">
      <c r="B17" s="215" t="s">
        <v>534</v>
      </c>
      <c r="C17" s="212">
        <v>42782</v>
      </c>
      <c r="D17" s="212">
        <v>2</v>
      </c>
      <c r="E17" s="212">
        <v>47.9</v>
      </c>
      <c r="F17" s="212">
        <v>18.3</v>
      </c>
      <c r="G17" s="212">
        <v>29.6</v>
      </c>
      <c r="H17" s="216" t="s">
        <v>535</v>
      </c>
      <c r="I17" s="214" t="str">
        <f t="shared" si="0"/>
        <v>Italia</v>
      </c>
      <c r="J17" s="214"/>
      <c r="L17" s="215" t="s">
        <v>565</v>
      </c>
      <c r="M17" s="216" t="s">
        <v>582</v>
      </c>
    </row>
    <row r="18" spans="2:13">
      <c r="B18" s="215" t="s">
        <v>534</v>
      </c>
      <c r="C18" s="212">
        <v>42782</v>
      </c>
      <c r="D18" s="212">
        <v>2</v>
      </c>
      <c r="E18" s="212">
        <v>47.9</v>
      </c>
      <c r="F18" s="212">
        <v>15.61</v>
      </c>
      <c r="G18" s="212">
        <v>32.29</v>
      </c>
      <c r="H18" s="216" t="s">
        <v>523</v>
      </c>
      <c r="I18" s="214" t="str">
        <f t="shared" si="0"/>
        <v>Dominican Republic</v>
      </c>
      <c r="J18" s="214"/>
      <c r="L18" s="215" t="s">
        <v>523</v>
      </c>
      <c r="M18" s="216" t="s">
        <v>583</v>
      </c>
    </row>
    <row r="19" spans="2:13">
      <c r="B19" s="215" t="s">
        <v>534</v>
      </c>
      <c r="C19" s="212">
        <v>42782</v>
      </c>
      <c r="D19" s="212">
        <v>2</v>
      </c>
      <c r="E19" s="212">
        <v>47.9</v>
      </c>
      <c r="F19" s="212">
        <v>17.940000000000001</v>
      </c>
      <c r="G19" s="212">
        <v>29.96</v>
      </c>
      <c r="H19" s="216" t="s">
        <v>524</v>
      </c>
      <c r="I19" s="214" t="str">
        <f t="shared" si="0"/>
        <v>Ecuador</v>
      </c>
      <c r="J19" s="214"/>
      <c r="L19" s="215" t="s">
        <v>524</v>
      </c>
      <c r="M19" s="216" t="s">
        <v>584</v>
      </c>
    </row>
    <row r="20" spans="2:13">
      <c r="B20" s="215" t="s">
        <v>536</v>
      </c>
      <c r="C20" s="212">
        <v>42782</v>
      </c>
      <c r="D20" s="212">
        <v>2</v>
      </c>
      <c r="E20" s="212">
        <v>13.98</v>
      </c>
      <c r="F20" s="212">
        <v>7.02</v>
      </c>
      <c r="G20" s="212">
        <v>6.96</v>
      </c>
      <c r="H20" s="216" t="s">
        <v>537</v>
      </c>
      <c r="I20" s="214" t="str">
        <f t="shared" si="0"/>
        <v>España</v>
      </c>
      <c r="J20" s="214"/>
      <c r="L20" s="215" t="s">
        <v>537</v>
      </c>
      <c r="M20" s="216" t="s">
        <v>585</v>
      </c>
    </row>
    <row r="21" spans="2:13">
      <c r="B21" s="215" t="s">
        <v>536</v>
      </c>
      <c r="C21" s="212">
        <v>42782</v>
      </c>
      <c r="D21" s="212">
        <v>3</v>
      </c>
      <c r="E21" s="212">
        <v>20.97</v>
      </c>
      <c r="F21" s="212">
        <v>10.53</v>
      </c>
      <c r="G21" s="212">
        <v>10.44</v>
      </c>
      <c r="H21" s="216" t="s">
        <v>538</v>
      </c>
      <c r="I21" s="214" t="str">
        <f t="shared" si="0"/>
        <v>Estonia</v>
      </c>
      <c r="J21" s="214"/>
      <c r="L21" s="215" t="s">
        <v>538</v>
      </c>
      <c r="M21" s="216" t="s">
        <v>586</v>
      </c>
    </row>
    <row r="22" spans="2:13">
      <c r="B22" s="215" t="s">
        <v>536</v>
      </c>
      <c r="C22" s="212">
        <v>42782</v>
      </c>
      <c r="D22" s="212">
        <v>1</v>
      </c>
      <c r="E22" s="212">
        <v>6.99</v>
      </c>
      <c r="F22" s="212">
        <v>3.02</v>
      </c>
      <c r="G22" s="212">
        <v>3.97</v>
      </c>
      <c r="H22" s="216" t="s">
        <v>539</v>
      </c>
      <c r="I22" s="214" t="str">
        <f t="shared" si="0"/>
        <v>Finlandia</v>
      </c>
      <c r="J22" s="214"/>
      <c r="L22" s="215" t="s">
        <v>539</v>
      </c>
      <c r="M22" s="216" t="s">
        <v>587</v>
      </c>
    </row>
    <row r="23" spans="2:13">
      <c r="B23" s="215" t="s">
        <v>536</v>
      </c>
      <c r="C23" s="212">
        <v>42782</v>
      </c>
      <c r="D23" s="212">
        <v>1</v>
      </c>
      <c r="E23" s="212">
        <v>6.99</v>
      </c>
      <c r="F23" s="212">
        <v>2.8</v>
      </c>
      <c r="G23" s="212">
        <v>4.1900000000000004</v>
      </c>
      <c r="H23" s="216" t="s">
        <v>540</v>
      </c>
      <c r="I23" s="214" t="str">
        <f t="shared" si="0"/>
        <v>Francia</v>
      </c>
      <c r="J23" s="214"/>
      <c r="L23" s="215" t="s">
        <v>540</v>
      </c>
      <c r="M23" s="216" t="s">
        <v>588</v>
      </c>
    </row>
    <row r="24" spans="2:13">
      <c r="B24" s="215" t="s">
        <v>536</v>
      </c>
      <c r="C24" s="212">
        <v>42782</v>
      </c>
      <c r="D24" s="212">
        <v>34</v>
      </c>
      <c r="E24" s="212">
        <v>152.1</v>
      </c>
      <c r="F24" s="212">
        <v>101.66</v>
      </c>
      <c r="G24" s="212">
        <v>50.44</v>
      </c>
      <c r="H24" s="216" t="s">
        <v>528</v>
      </c>
      <c r="I24" s="214" t="str">
        <f t="shared" si="0"/>
        <v>UK</v>
      </c>
      <c r="J24" s="214"/>
      <c r="L24" s="215" t="s">
        <v>528</v>
      </c>
      <c r="M24" s="216" t="s">
        <v>589</v>
      </c>
    </row>
    <row r="25" spans="2:13">
      <c r="B25" s="215" t="s">
        <v>541</v>
      </c>
      <c r="C25" s="212">
        <v>42782</v>
      </c>
      <c r="D25" s="212">
        <v>3</v>
      </c>
      <c r="E25" s="212">
        <v>80.97</v>
      </c>
      <c r="F25" s="212">
        <v>27.41</v>
      </c>
      <c r="G25" s="212">
        <v>53.56</v>
      </c>
      <c r="H25" s="216" t="s">
        <v>529</v>
      </c>
      <c r="I25" s="214" t="str">
        <f t="shared" si="0"/>
        <v>Grecia</v>
      </c>
      <c r="J25" s="214"/>
      <c r="L25" s="215" t="s">
        <v>529</v>
      </c>
      <c r="M25" s="216" t="s">
        <v>590</v>
      </c>
    </row>
    <row r="26" spans="2:13">
      <c r="B26" s="215" t="s">
        <v>541</v>
      </c>
      <c r="C26" s="212">
        <v>42782</v>
      </c>
      <c r="D26" s="212">
        <v>2</v>
      </c>
      <c r="E26" s="212">
        <v>53.98</v>
      </c>
      <c r="F26" s="212">
        <v>22.15</v>
      </c>
      <c r="G26" s="212">
        <v>31.83</v>
      </c>
      <c r="H26" s="216" t="s">
        <v>531</v>
      </c>
      <c r="I26" s="214" t="str">
        <f t="shared" si="0"/>
        <v>Hong Kong</v>
      </c>
      <c r="J26" s="214"/>
      <c r="L26" s="215" t="s">
        <v>531</v>
      </c>
      <c r="M26" s="216" t="s">
        <v>591</v>
      </c>
    </row>
    <row r="27" spans="2:13">
      <c r="B27" s="215" t="s">
        <v>542</v>
      </c>
      <c r="C27" s="212">
        <v>42782</v>
      </c>
      <c r="D27" s="212">
        <v>4</v>
      </c>
      <c r="E27" s="212">
        <v>79.8</v>
      </c>
      <c r="F27" s="212">
        <v>31.62</v>
      </c>
      <c r="G27" s="212">
        <v>48.18</v>
      </c>
      <c r="H27" s="216" t="s">
        <v>543</v>
      </c>
      <c r="I27" s="214" t="str">
        <f t="shared" si="0"/>
        <v>Honduras</v>
      </c>
      <c r="J27" s="214"/>
      <c r="L27" s="215" t="s">
        <v>543</v>
      </c>
      <c r="M27" s="216" t="s">
        <v>592</v>
      </c>
    </row>
    <row r="28" spans="2:13">
      <c r="B28" s="215" t="s">
        <v>520</v>
      </c>
      <c r="C28" s="212">
        <v>42782</v>
      </c>
      <c r="D28" s="212">
        <v>2</v>
      </c>
      <c r="E28" s="212">
        <v>57.9</v>
      </c>
      <c r="F28" s="212">
        <v>19.53</v>
      </c>
      <c r="G28" s="212">
        <v>38.369999999999997</v>
      </c>
      <c r="H28" s="216" t="s">
        <v>544</v>
      </c>
      <c r="I28" s="214" t="str">
        <f t="shared" si="0"/>
        <v>Croatia</v>
      </c>
      <c r="J28" s="214"/>
      <c r="L28" s="215" t="s">
        <v>544</v>
      </c>
      <c r="M28" s="216" t="s">
        <v>593</v>
      </c>
    </row>
    <row r="29" spans="2:13">
      <c r="B29" s="215" t="s">
        <v>520</v>
      </c>
      <c r="C29" s="212">
        <v>42782</v>
      </c>
      <c r="D29" s="212">
        <v>1</v>
      </c>
      <c r="E29" s="212">
        <v>122</v>
      </c>
      <c r="F29" s="212">
        <v>53.76</v>
      </c>
      <c r="G29" s="212">
        <v>68.239999999999995</v>
      </c>
      <c r="H29" s="216" t="s">
        <v>532</v>
      </c>
      <c r="I29" s="214" t="str">
        <f t="shared" si="0"/>
        <v>Hungria</v>
      </c>
      <c r="J29" s="214"/>
      <c r="L29" s="215" t="s">
        <v>532</v>
      </c>
      <c r="M29" s="216" t="s">
        <v>594</v>
      </c>
    </row>
    <row r="30" spans="2:13">
      <c r="B30" s="215" t="s">
        <v>518</v>
      </c>
      <c r="C30" s="212">
        <v>42782</v>
      </c>
      <c r="D30" s="212">
        <v>1</v>
      </c>
      <c r="E30" s="212">
        <v>45</v>
      </c>
      <c r="F30" s="212">
        <v>17.16</v>
      </c>
      <c r="G30" s="212">
        <v>27.84</v>
      </c>
      <c r="H30" s="216" t="s">
        <v>533</v>
      </c>
      <c r="I30" s="214" t="str">
        <f t="shared" si="0"/>
        <v>Irlanda</v>
      </c>
      <c r="J30" s="214"/>
      <c r="L30" s="215" t="s">
        <v>533</v>
      </c>
      <c r="M30" s="216" t="s">
        <v>595</v>
      </c>
    </row>
    <row r="31" spans="2:13">
      <c r="B31" s="215" t="s">
        <v>520</v>
      </c>
      <c r="C31" s="212">
        <v>42782</v>
      </c>
      <c r="D31" s="212">
        <v>2</v>
      </c>
      <c r="E31" s="212">
        <v>51.9</v>
      </c>
      <c r="F31" s="212">
        <v>18.45</v>
      </c>
      <c r="G31" s="212">
        <v>33.450000000000003</v>
      </c>
      <c r="H31" s="216" t="s">
        <v>535</v>
      </c>
      <c r="I31" s="214" t="str">
        <f t="shared" si="0"/>
        <v>Italia</v>
      </c>
      <c r="J31" s="214"/>
      <c r="L31" s="215" t="s">
        <v>535</v>
      </c>
      <c r="M31" s="216" t="s">
        <v>596</v>
      </c>
    </row>
    <row r="32" spans="2:13">
      <c r="B32" s="215" t="s">
        <v>520</v>
      </c>
      <c r="C32" s="212">
        <v>42782</v>
      </c>
      <c r="D32" s="212">
        <v>4</v>
      </c>
      <c r="E32" s="212">
        <v>103.8</v>
      </c>
      <c r="F32" s="212">
        <v>42.1</v>
      </c>
      <c r="G32" s="212">
        <v>61.7</v>
      </c>
      <c r="H32" s="216" t="s">
        <v>545</v>
      </c>
      <c r="I32" s="214" t="str">
        <f t="shared" si="0"/>
        <v>Lithuania</v>
      </c>
      <c r="J32" s="214"/>
      <c r="L32" s="215" t="s">
        <v>545</v>
      </c>
      <c r="M32" s="216" t="s">
        <v>597</v>
      </c>
    </row>
    <row r="33" spans="2:13">
      <c r="B33" s="215" t="s">
        <v>525</v>
      </c>
      <c r="C33" s="212">
        <v>42782</v>
      </c>
      <c r="D33" s="212">
        <v>2</v>
      </c>
      <c r="E33" s="212">
        <v>29</v>
      </c>
      <c r="F33" s="212">
        <v>13.2</v>
      </c>
      <c r="G33" s="212">
        <v>15.8</v>
      </c>
      <c r="H33" s="216" t="s">
        <v>532</v>
      </c>
      <c r="I33" s="214" t="str">
        <f t="shared" si="0"/>
        <v>Hungria</v>
      </c>
      <c r="J33" s="214"/>
      <c r="L33" s="215" t="s">
        <v>566</v>
      </c>
      <c r="M33" s="216" t="s">
        <v>598</v>
      </c>
    </row>
    <row r="34" spans="2:13">
      <c r="B34" s="215" t="s">
        <v>530</v>
      </c>
      <c r="C34" s="212">
        <v>42782</v>
      </c>
      <c r="D34" s="212">
        <v>1</v>
      </c>
      <c r="E34" s="212">
        <v>25.99</v>
      </c>
      <c r="F34" s="212">
        <v>9.02</v>
      </c>
      <c r="G34" s="212">
        <v>16.97</v>
      </c>
      <c r="H34" s="216" t="s">
        <v>533</v>
      </c>
      <c r="I34" s="214" t="str">
        <f t="shared" si="0"/>
        <v>Irlanda</v>
      </c>
      <c r="J34" s="214"/>
      <c r="L34" s="215" t="s">
        <v>567</v>
      </c>
      <c r="M34" s="216" t="s">
        <v>599</v>
      </c>
    </row>
    <row r="35" spans="2:13">
      <c r="B35" s="215" t="s">
        <v>518</v>
      </c>
      <c r="C35" s="212">
        <v>42783</v>
      </c>
      <c r="D35" s="212">
        <v>2</v>
      </c>
      <c r="E35" s="212">
        <v>47.9</v>
      </c>
      <c r="F35" s="212">
        <v>20.18</v>
      </c>
      <c r="G35" s="212">
        <v>27.72</v>
      </c>
      <c r="H35" s="216" t="s">
        <v>535</v>
      </c>
      <c r="I35" s="214" t="str">
        <f t="shared" si="0"/>
        <v>Italia</v>
      </c>
      <c r="J35" s="214"/>
      <c r="L35" s="215" t="s">
        <v>568</v>
      </c>
      <c r="M35" s="216" t="s">
        <v>600</v>
      </c>
    </row>
    <row r="36" spans="2:13">
      <c r="B36" s="215" t="s">
        <v>530</v>
      </c>
      <c r="C36" s="212">
        <v>42783</v>
      </c>
      <c r="D36" s="212">
        <v>1</v>
      </c>
      <c r="E36" s="212">
        <v>21.95</v>
      </c>
      <c r="F36" s="212">
        <v>9.24</v>
      </c>
      <c r="G36" s="212">
        <v>12.71</v>
      </c>
      <c r="H36" s="216" t="s">
        <v>546</v>
      </c>
      <c r="I36" s="214" t="str">
        <f t="shared" si="0"/>
        <v>Holanda</v>
      </c>
      <c r="J36" s="214"/>
      <c r="L36" s="215" t="s">
        <v>546</v>
      </c>
      <c r="M36" s="216" t="s">
        <v>601</v>
      </c>
    </row>
    <row r="37" spans="2:13">
      <c r="B37" s="215" t="s">
        <v>530</v>
      </c>
      <c r="C37" s="212">
        <v>42783</v>
      </c>
      <c r="D37" s="212">
        <v>4</v>
      </c>
      <c r="E37" s="212">
        <v>87.8</v>
      </c>
      <c r="F37" s="212">
        <v>28.83</v>
      </c>
      <c r="G37" s="212">
        <v>58.97</v>
      </c>
      <c r="H37" s="216" t="s">
        <v>547</v>
      </c>
      <c r="I37" s="214" t="str">
        <f t="shared" si="0"/>
        <v>Norway</v>
      </c>
      <c r="J37" s="214"/>
      <c r="L37" s="215" t="s">
        <v>547</v>
      </c>
      <c r="M37" s="216" t="s">
        <v>602</v>
      </c>
    </row>
    <row r="38" spans="2:13">
      <c r="B38" s="215" t="s">
        <v>530</v>
      </c>
      <c r="C38" s="212">
        <v>42783</v>
      </c>
      <c r="D38" s="212">
        <v>2</v>
      </c>
      <c r="E38" s="212">
        <v>43.9</v>
      </c>
      <c r="F38" s="212">
        <v>18.66</v>
      </c>
      <c r="G38" s="212">
        <v>25.24</v>
      </c>
      <c r="H38" s="216" t="s">
        <v>548</v>
      </c>
      <c r="I38" s="214" t="str">
        <f t="shared" si="0"/>
        <v>Peru</v>
      </c>
      <c r="J38" s="214"/>
      <c r="L38" s="215" t="s">
        <v>548</v>
      </c>
      <c r="M38" s="216" t="s">
        <v>603</v>
      </c>
    </row>
    <row r="39" spans="2:13">
      <c r="B39" s="215" t="s">
        <v>534</v>
      </c>
      <c r="C39" s="212">
        <v>42783</v>
      </c>
      <c r="D39" s="212">
        <v>1</v>
      </c>
      <c r="E39" s="212">
        <v>23.95</v>
      </c>
      <c r="F39" s="212">
        <v>9.51</v>
      </c>
      <c r="G39" s="212">
        <v>14.44</v>
      </c>
      <c r="H39" s="216" t="s">
        <v>549</v>
      </c>
      <c r="I39" s="214" t="str">
        <f t="shared" si="0"/>
        <v>Polonia</v>
      </c>
      <c r="J39" s="214"/>
      <c r="L39" s="215" t="s">
        <v>549</v>
      </c>
      <c r="M39" s="216" t="s">
        <v>604</v>
      </c>
    </row>
    <row r="40" spans="2:13">
      <c r="B40" s="215" t="s">
        <v>536</v>
      </c>
      <c r="C40" s="212">
        <v>42785</v>
      </c>
      <c r="D40" s="212">
        <v>2</v>
      </c>
      <c r="E40" s="212">
        <v>13.98</v>
      </c>
      <c r="F40" s="212">
        <v>5.72</v>
      </c>
      <c r="G40" s="212">
        <v>8.26</v>
      </c>
      <c r="H40" s="216" t="s">
        <v>550</v>
      </c>
      <c r="I40" s="214" t="str">
        <f t="shared" si="0"/>
        <v>Portugal</v>
      </c>
      <c r="J40" s="214"/>
      <c r="L40" s="215" t="s">
        <v>550</v>
      </c>
      <c r="M40" s="216" t="s">
        <v>605</v>
      </c>
    </row>
    <row r="41" spans="2:13">
      <c r="B41" s="215" t="s">
        <v>536</v>
      </c>
      <c r="C41" s="212">
        <v>42783</v>
      </c>
      <c r="D41" s="212">
        <v>12</v>
      </c>
      <c r="E41" s="212">
        <v>66.27</v>
      </c>
      <c r="F41" s="212">
        <v>33.15</v>
      </c>
      <c r="G41" s="212">
        <v>33.119999999999997</v>
      </c>
      <c r="H41" s="216" t="s">
        <v>551</v>
      </c>
      <c r="I41" s="214" t="str">
        <f t="shared" si="0"/>
        <v>Slovakia</v>
      </c>
      <c r="J41" s="214"/>
      <c r="L41" s="215" t="s">
        <v>551</v>
      </c>
      <c r="M41" s="216" t="s">
        <v>606</v>
      </c>
    </row>
    <row r="42" spans="2:13">
      <c r="B42" s="215" t="s">
        <v>536</v>
      </c>
      <c r="C42" s="212">
        <v>42783</v>
      </c>
      <c r="D42" s="212">
        <v>2</v>
      </c>
      <c r="E42" s="212">
        <v>13.98</v>
      </c>
      <c r="F42" s="212">
        <v>6.57</v>
      </c>
      <c r="G42" s="212">
        <v>7.41</v>
      </c>
      <c r="H42" s="216" t="s">
        <v>552</v>
      </c>
      <c r="I42" s="214" t="str">
        <f t="shared" si="0"/>
        <v>Slovenia</v>
      </c>
      <c r="J42" s="214"/>
      <c r="L42" s="215" t="s">
        <v>552</v>
      </c>
      <c r="M42" s="216" t="s">
        <v>607</v>
      </c>
    </row>
    <row r="43" spans="2:13">
      <c r="B43" s="215" t="s">
        <v>536</v>
      </c>
      <c r="C43" s="212">
        <v>42783</v>
      </c>
      <c r="D43" s="212">
        <v>1</v>
      </c>
      <c r="E43" s="212">
        <v>6.99</v>
      </c>
      <c r="F43" s="212">
        <v>3.28</v>
      </c>
      <c r="G43" s="212">
        <v>3.71</v>
      </c>
      <c r="H43" s="216" t="s">
        <v>553</v>
      </c>
      <c r="I43" s="214" t="str">
        <f t="shared" si="0"/>
        <v>Suecia</v>
      </c>
      <c r="J43" s="214"/>
      <c r="L43" s="215" t="s">
        <v>553</v>
      </c>
      <c r="M43" s="216" t="s">
        <v>608</v>
      </c>
    </row>
    <row r="44" spans="2:13">
      <c r="B44" s="215" t="s">
        <v>536</v>
      </c>
      <c r="C44" s="212">
        <v>42783</v>
      </c>
      <c r="D44" s="212">
        <v>1</v>
      </c>
      <c r="E44" s="212">
        <v>6.99</v>
      </c>
      <c r="F44" s="212">
        <v>3.22</v>
      </c>
      <c r="G44" s="212">
        <v>3.77</v>
      </c>
      <c r="H44" s="216" t="s">
        <v>554</v>
      </c>
      <c r="I44" s="214" t="str">
        <f t="shared" si="0"/>
        <v>Ucrania</v>
      </c>
      <c r="J44" s="214"/>
      <c r="L44" s="215" t="s">
        <v>554</v>
      </c>
      <c r="M44" s="216" t="s">
        <v>609</v>
      </c>
    </row>
    <row r="45" spans="2:13">
      <c r="B45" s="215" t="s">
        <v>536</v>
      </c>
      <c r="C45" s="212">
        <v>42783</v>
      </c>
      <c r="D45" s="212">
        <v>3</v>
      </c>
      <c r="E45" s="212">
        <v>20.97</v>
      </c>
      <c r="F45" s="212">
        <v>9.36</v>
      </c>
      <c r="G45" s="212">
        <v>11.61</v>
      </c>
      <c r="H45" s="216" t="s">
        <v>555</v>
      </c>
      <c r="I45" s="214" t="str">
        <f t="shared" si="0"/>
        <v>Ustados Unidos</v>
      </c>
      <c r="J45" s="214"/>
      <c r="L45" s="215" t="s">
        <v>555</v>
      </c>
      <c r="M45" s="216" t="s">
        <v>610</v>
      </c>
    </row>
    <row r="46" spans="2:13">
      <c r="B46" s="215" t="s">
        <v>541</v>
      </c>
      <c r="C46" s="212">
        <v>42783</v>
      </c>
      <c r="D46" s="212">
        <v>2</v>
      </c>
      <c r="E46" s="212">
        <v>53.98</v>
      </c>
      <c r="F46" s="212">
        <v>23.44</v>
      </c>
      <c r="G46" s="212">
        <v>30.54</v>
      </c>
      <c r="H46" s="216" t="s">
        <v>556</v>
      </c>
      <c r="I46" s="214" t="str">
        <f t="shared" si="0"/>
        <v>Venezuela</v>
      </c>
      <c r="J46" s="214"/>
      <c r="L46" s="220" t="s">
        <v>556</v>
      </c>
      <c r="M46" s="222" t="s">
        <v>611</v>
      </c>
    </row>
    <row r="47" spans="2:13">
      <c r="B47" s="215" t="s">
        <v>541</v>
      </c>
      <c r="C47" s="212">
        <v>42783</v>
      </c>
      <c r="D47" s="212">
        <v>2</v>
      </c>
      <c r="E47" s="212">
        <v>53.98</v>
      </c>
      <c r="F47" s="212">
        <v>22.58</v>
      </c>
      <c r="G47" s="212">
        <v>31.4</v>
      </c>
      <c r="H47" s="216" t="s">
        <v>519</v>
      </c>
      <c r="I47" s="214" t="str">
        <f t="shared" si="0"/>
        <v>Argentina</v>
      </c>
      <c r="J47" s="214"/>
    </row>
    <row r="48" spans="2:13">
      <c r="B48" s="215" t="s">
        <v>541</v>
      </c>
      <c r="C48" s="212">
        <v>42783</v>
      </c>
      <c r="D48" s="212">
        <v>1</v>
      </c>
      <c r="E48" s="212">
        <v>26.99</v>
      </c>
      <c r="F48" s="212">
        <v>10.64</v>
      </c>
      <c r="G48" s="212">
        <v>16.350000000000001</v>
      </c>
      <c r="H48" s="216" t="s">
        <v>557</v>
      </c>
      <c r="I48" s="214" t="str">
        <f t="shared" si="0"/>
        <v>Australia</v>
      </c>
      <c r="J48" s="214"/>
    </row>
    <row r="49" spans="2:10">
      <c r="B49" s="215" t="s">
        <v>541</v>
      </c>
      <c r="C49" s="212">
        <v>42783</v>
      </c>
      <c r="D49" s="212">
        <v>1</v>
      </c>
      <c r="E49" s="212">
        <v>26.99</v>
      </c>
      <c r="F49" s="212">
        <v>9.35</v>
      </c>
      <c r="G49" s="212">
        <v>17.64</v>
      </c>
      <c r="H49" s="216" t="s">
        <v>558</v>
      </c>
      <c r="I49" s="214" t="str">
        <f t="shared" si="0"/>
        <v>Austria</v>
      </c>
      <c r="J49" s="214"/>
    </row>
    <row r="50" spans="2:10">
      <c r="B50" s="215" t="s">
        <v>534</v>
      </c>
      <c r="C50" s="212">
        <v>42783</v>
      </c>
      <c r="D50" s="212">
        <v>4</v>
      </c>
      <c r="E50" s="212">
        <v>1008</v>
      </c>
      <c r="F50" s="212">
        <v>368.92</v>
      </c>
      <c r="G50" s="212">
        <v>639.08000000000004</v>
      </c>
      <c r="H50" s="216" t="s">
        <v>559</v>
      </c>
      <c r="I50" s="214" t="str">
        <f t="shared" si="0"/>
        <v>Belgica</v>
      </c>
      <c r="J50" s="214"/>
    </row>
    <row r="51" spans="2:10">
      <c r="B51" s="215" t="s">
        <v>520</v>
      </c>
      <c r="C51" s="212">
        <v>42785</v>
      </c>
      <c r="D51" s="212">
        <v>3</v>
      </c>
      <c r="E51" s="212">
        <v>65.849999999999994</v>
      </c>
      <c r="F51" s="212">
        <v>26.97</v>
      </c>
      <c r="G51" s="212">
        <v>38.880000000000003</v>
      </c>
      <c r="H51" s="216" t="s">
        <v>560</v>
      </c>
      <c r="I51" s="214" t="str">
        <f t="shared" si="0"/>
        <v>Bulgaria</v>
      </c>
      <c r="J51" s="214"/>
    </row>
    <row r="52" spans="2:10">
      <c r="B52" s="215" t="s">
        <v>520</v>
      </c>
      <c r="C52" s="212">
        <v>42787</v>
      </c>
      <c r="D52" s="212">
        <v>47</v>
      </c>
      <c r="E52" s="212">
        <v>816.39</v>
      </c>
      <c r="F52" s="212">
        <v>518.42999999999995</v>
      </c>
      <c r="G52" s="212">
        <v>297.95999999999998</v>
      </c>
      <c r="H52" s="216" t="s">
        <v>561</v>
      </c>
      <c r="I52" s="214" t="str">
        <f t="shared" si="0"/>
        <v>Brazil</v>
      </c>
      <c r="J52" s="214"/>
    </row>
    <row r="53" spans="2:10">
      <c r="B53" s="215" t="s">
        <v>520</v>
      </c>
      <c r="C53" s="212">
        <v>42789</v>
      </c>
      <c r="D53" s="212">
        <v>2</v>
      </c>
      <c r="E53" s="212">
        <v>83.9</v>
      </c>
      <c r="F53" s="212">
        <v>39.04</v>
      </c>
      <c r="G53" s="212">
        <v>44.86</v>
      </c>
      <c r="H53" s="216" t="s">
        <v>526</v>
      </c>
      <c r="I53" s="214" t="str">
        <f t="shared" si="0"/>
        <v>Canada</v>
      </c>
      <c r="J53" s="214"/>
    </row>
    <row r="54" spans="2:10">
      <c r="B54" s="215" t="s">
        <v>520</v>
      </c>
      <c r="C54" s="212">
        <v>42791</v>
      </c>
      <c r="D54" s="212">
        <v>1</v>
      </c>
      <c r="E54" s="212">
        <v>41.95</v>
      </c>
      <c r="F54" s="212">
        <v>23.17</v>
      </c>
      <c r="G54" s="212">
        <v>18.78</v>
      </c>
      <c r="H54" s="216" t="s">
        <v>527</v>
      </c>
      <c r="I54" s="214" t="str">
        <f t="shared" si="0"/>
        <v>Suiza</v>
      </c>
      <c r="J54" s="214"/>
    </row>
    <row r="55" spans="2:10">
      <c r="B55" s="215" t="s">
        <v>520</v>
      </c>
      <c r="C55" s="212">
        <v>42793</v>
      </c>
      <c r="D55" s="212">
        <v>1</v>
      </c>
      <c r="E55" s="212">
        <v>122</v>
      </c>
      <c r="F55" s="212">
        <v>43.81</v>
      </c>
      <c r="G55" s="212">
        <v>78.19</v>
      </c>
      <c r="H55" s="216" t="s">
        <v>562</v>
      </c>
      <c r="I55" s="214" t="str">
        <f t="shared" si="0"/>
        <v>Chile</v>
      </c>
      <c r="J55" s="214"/>
    </row>
    <row r="56" spans="2:10">
      <c r="B56" s="215" t="s">
        <v>520</v>
      </c>
      <c r="C56" s="212">
        <v>42783</v>
      </c>
      <c r="D56" s="212">
        <v>3</v>
      </c>
      <c r="E56" s="212">
        <v>86.85</v>
      </c>
      <c r="F56" s="212">
        <v>30.33</v>
      </c>
      <c r="G56" s="212">
        <v>56.52</v>
      </c>
      <c r="H56" s="216" t="s">
        <v>521</v>
      </c>
      <c r="I56" s="214" t="str">
        <f t="shared" si="0"/>
        <v>Colombia</v>
      </c>
      <c r="J56" s="214"/>
    </row>
    <row r="57" spans="2:10">
      <c r="B57" s="215" t="s">
        <v>518</v>
      </c>
      <c r="C57" s="212">
        <v>42783</v>
      </c>
      <c r="D57" s="212">
        <v>3</v>
      </c>
      <c r="E57" s="212">
        <v>213</v>
      </c>
      <c r="F57" s="212">
        <v>90.75</v>
      </c>
      <c r="G57" s="212">
        <v>122.25</v>
      </c>
      <c r="H57" s="216" t="s">
        <v>563</v>
      </c>
      <c r="I57" s="214" t="str">
        <f t="shared" si="0"/>
        <v>Costa Rica</v>
      </c>
      <c r="J57" s="214"/>
    </row>
    <row r="58" spans="2:10">
      <c r="B58" s="215" t="s">
        <v>520</v>
      </c>
      <c r="C58" s="212">
        <v>42783</v>
      </c>
      <c r="D58" s="212">
        <v>51</v>
      </c>
      <c r="E58" s="212">
        <v>674.96</v>
      </c>
      <c r="F58" s="212">
        <v>608.69000000000005</v>
      </c>
      <c r="G58" s="212">
        <v>66.27</v>
      </c>
      <c r="H58" s="216" t="s">
        <v>564</v>
      </c>
      <c r="I58" s="214" t="str">
        <f t="shared" si="0"/>
        <v>Czech Republic</v>
      </c>
      <c r="J58" s="214"/>
    </row>
    <row r="59" spans="2:10">
      <c r="B59" s="215" t="s">
        <v>536</v>
      </c>
      <c r="C59" s="212">
        <v>42783</v>
      </c>
      <c r="D59" s="212">
        <v>1</v>
      </c>
      <c r="E59" s="212">
        <v>21.95</v>
      </c>
      <c r="F59" s="212">
        <v>8.2200000000000006</v>
      </c>
      <c r="G59" s="212">
        <v>13.73</v>
      </c>
      <c r="H59" s="216" t="s">
        <v>522</v>
      </c>
      <c r="I59" s="214" t="str">
        <f t="shared" si="0"/>
        <v>Germany</v>
      </c>
      <c r="J59" s="214"/>
    </row>
    <row r="60" spans="2:10">
      <c r="B60" s="215" t="s">
        <v>536</v>
      </c>
      <c r="C60" s="212">
        <v>42783</v>
      </c>
      <c r="D60" s="212">
        <v>1</v>
      </c>
      <c r="E60" s="212">
        <v>21.95</v>
      </c>
      <c r="F60" s="212">
        <v>9.17</v>
      </c>
      <c r="G60" s="212">
        <v>12.78</v>
      </c>
      <c r="H60" s="216" t="s">
        <v>565</v>
      </c>
      <c r="I60" s="214" t="str">
        <f t="shared" si="0"/>
        <v>Dinamarca</v>
      </c>
      <c r="J60" s="214"/>
    </row>
    <row r="61" spans="2:10">
      <c r="B61" s="215" t="s">
        <v>536</v>
      </c>
      <c r="C61" s="212">
        <v>42783</v>
      </c>
      <c r="D61" s="212">
        <v>4</v>
      </c>
      <c r="E61" s="212">
        <v>87.8</v>
      </c>
      <c r="F61" s="212">
        <v>35.979999999999997</v>
      </c>
      <c r="G61" s="212">
        <v>51.82</v>
      </c>
      <c r="H61" s="216" t="s">
        <v>523</v>
      </c>
      <c r="I61" s="214" t="str">
        <f t="shared" si="0"/>
        <v>Dominican Republic</v>
      </c>
      <c r="J61" s="214"/>
    </row>
    <row r="62" spans="2:10">
      <c r="B62" s="215" t="s">
        <v>525</v>
      </c>
      <c r="C62" s="212">
        <v>42783</v>
      </c>
      <c r="D62" s="212">
        <v>3</v>
      </c>
      <c r="E62" s="212">
        <v>43.5</v>
      </c>
      <c r="F62" s="212">
        <v>17.64</v>
      </c>
      <c r="G62" s="212">
        <v>25.86</v>
      </c>
      <c r="H62" s="216" t="s">
        <v>524</v>
      </c>
      <c r="I62" s="214" t="str">
        <f t="shared" si="0"/>
        <v>Ecuador</v>
      </c>
      <c r="J62" s="214"/>
    </row>
    <row r="63" spans="2:10">
      <c r="B63" s="215" t="s">
        <v>525</v>
      </c>
      <c r="C63" s="212">
        <v>42783</v>
      </c>
      <c r="D63" s="212">
        <v>45</v>
      </c>
      <c r="E63" s="212">
        <v>657.43</v>
      </c>
      <c r="F63" s="212">
        <v>392.47</v>
      </c>
      <c r="G63" s="212">
        <v>264.95999999999998</v>
      </c>
      <c r="H63" s="216" t="s">
        <v>537</v>
      </c>
      <c r="I63" s="214" t="str">
        <f t="shared" si="0"/>
        <v>España</v>
      </c>
      <c r="J63" s="214"/>
    </row>
    <row r="64" spans="2:10">
      <c r="B64" s="215" t="s">
        <v>525</v>
      </c>
      <c r="C64" s="212">
        <v>42785</v>
      </c>
      <c r="D64" s="212">
        <v>36</v>
      </c>
      <c r="E64" s="212">
        <v>543.19000000000005</v>
      </c>
      <c r="F64" s="212">
        <v>354.93</v>
      </c>
      <c r="G64" s="212">
        <v>188.26</v>
      </c>
      <c r="H64" s="216" t="s">
        <v>538</v>
      </c>
      <c r="I64" s="214" t="str">
        <f t="shared" si="0"/>
        <v>Estonia</v>
      </c>
      <c r="J64" s="214"/>
    </row>
    <row r="65" spans="2:10">
      <c r="B65" s="215" t="s">
        <v>525</v>
      </c>
      <c r="C65" s="212">
        <v>42783</v>
      </c>
      <c r="D65" s="212">
        <v>3</v>
      </c>
      <c r="E65" s="212">
        <v>71.849999999999994</v>
      </c>
      <c r="F65" s="212">
        <v>29.29</v>
      </c>
      <c r="G65" s="212">
        <v>42.56</v>
      </c>
      <c r="H65" s="216" t="s">
        <v>539</v>
      </c>
      <c r="I65" s="214" t="str">
        <f t="shared" si="0"/>
        <v>Finlandia</v>
      </c>
      <c r="J65" s="214"/>
    </row>
    <row r="66" spans="2:10">
      <c r="B66" s="215" t="s">
        <v>530</v>
      </c>
      <c r="C66" s="212">
        <v>42783</v>
      </c>
      <c r="D66" s="212">
        <v>3</v>
      </c>
      <c r="E66" s="212">
        <v>77.97</v>
      </c>
      <c r="F66" s="212">
        <v>32.159999999999997</v>
      </c>
      <c r="G66" s="212">
        <v>45.81</v>
      </c>
      <c r="H66" s="216" t="s">
        <v>540</v>
      </c>
      <c r="I66" s="214" t="str">
        <f t="shared" si="0"/>
        <v>Francia</v>
      </c>
      <c r="J66" s="214"/>
    </row>
    <row r="67" spans="2:10">
      <c r="B67" s="215" t="s">
        <v>518</v>
      </c>
      <c r="C67" s="212">
        <v>42784</v>
      </c>
      <c r="D67" s="212">
        <v>2</v>
      </c>
      <c r="E67" s="212">
        <v>47.9</v>
      </c>
      <c r="F67" s="212">
        <v>19.170000000000002</v>
      </c>
      <c r="G67" s="212">
        <v>28.73</v>
      </c>
      <c r="H67" s="216" t="s">
        <v>528</v>
      </c>
      <c r="I67" s="214" t="str">
        <f t="shared" si="0"/>
        <v>UK</v>
      </c>
      <c r="J67" s="214"/>
    </row>
    <row r="68" spans="2:10">
      <c r="B68" s="215" t="s">
        <v>518</v>
      </c>
      <c r="C68" s="212">
        <v>42786</v>
      </c>
      <c r="D68" s="212">
        <v>2</v>
      </c>
      <c r="E68" s="212">
        <v>47.9</v>
      </c>
      <c r="F68" s="212">
        <v>22.2</v>
      </c>
      <c r="G68" s="212">
        <v>25.7</v>
      </c>
      <c r="H68" s="216" t="s">
        <v>529</v>
      </c>
      <c r="I68" s="214" t="str">
        <f t="shared" si="0"/>
        <v>Grecia</v>
      </c>
      <c r="J68" s="214"/>
    </row>
    <row r="69" spans="2:10">
      <c r="B69" s="215" t="s">
        <v>518</v>
      </c>
      <c r="C69" s="212">
        <v>42784</v>
      </c>
      <c r="D69" s="212">
        <v>2</v>
      </c>
      <c r="E69" s="212">
        <v>47.9</v>
      </c>
      <c r="F69" s="212">
        <v>22</v>
      </c>
      <c r="G69" s="212">
        <v>25.9</v>
      </c>
      <c r="H69" s="216" t="s">
        <v>531</v>
      </c>
      <c r="I69" s="214" t="str">
        <f t="shared" ref="I69:I132" si="1">VLOOKUP(H69,$L$4:$M$46,2,FALSE)</f>
        <v>Hong Kong</v>
      </c>
      <c r="J69" s="214"/>
    </row>
    <row r="70" spans="2:10">
      <c r="B70" s="215" t="s">
        <v>530</v>
      </c>
      <c r="C70" s="212">
        <v>42784</v>
      </c>
      <c r="D70" s="212">
        <v>3</v>
      </c>
      <c r="E70" s="212">
        <v>65.849999999999994</v>
      </c>
      <c r="F70" s="212">
        <v>25.44</v>
      </c>
      <c r="G70" s="212">
        <v>40.409999999999997</v>
      </c>
      <c r="H70" s="216" t="s">
        <v>543</v>
      </c>
      <c r="I70" s="214" t="str">
        <f t="shared" si="1"/>
        <v>Honduras</v>
      </c>
      <c r="J70" s="214"/>
    </row>
    <row r="71" spans="2:10">
      <c r="B71" s="215" t="s">
        <v>530</v>
      </c>
      <c r="C71" s="212">
        <v>42784</v>
      </c>
      <c r="D71" s="212">
        <v>1</v>
      </c>
      <c r="E71" s="212">
        <v>21.95</v>
      </c>
      <c r="F71" s="212">
        <v>9.24</v>
      </c>
      <c r="G71" s="212">
        <v>12.71</v>
      </c>
      <c r="H71" s="216" t="s">
        <v>544</v>
      </c>
      <c r="I71" s="214" t="str">
        <f t="shared" si="1"/>
        <v>Croatia</v>
      </c>
      <c r="J71" s="214"/>
    </row>
    <row r="72" spans="2:10">
      <c r="B72" s="215" t="s">
        <v>530</v>
      </c>
      <c r="C72" s="212">
        <v>42784</v>
      </c>
      <c r="D72" s="212">
        <v>1</v>
      </c>
      <c r="E72" s="212">
        <v>21.95</v>
      </c>
      <c r="F72" s="212">
        <v>7.46</v>
      </c>
      <c r="G72" s="212">
        <v>14.49</v>
      </c>
      <c r="H72" s="216" t="s">
        <v>532</v>
      </c>
      <c r="I72" s="214" t="str">
        <f t="shared" si="1"/>
        <v>Hungria</v>
      </c>
      <c r="J72" s="214"/>
    </row>
    <row r="73" spans="2:10">
      <c r="B73" s="215" t="s">
        <v>530</v>
      </c>
      <c r="C73" s="212">
        <v>42784</v>
      </c>
      <c r="D73" s="212">
        <v>3</v>
      </c>
      <c r="E73" s="212">
        <v>65.849999999999994</v>
      </c>
      <c r="F73" s="212">
        <v>21.62</v>
      </c>
      <c r="G73" s="212">
        <v>44.23</v>
      </c>
      <c r="H73" s="216" t="s">
        <v>533</v>
      </c>
      <c r="I73" s="214" t="str">
        <f t="shared" si="1"/>
        <v>Irlanda</v>
      </c>
      <c r="J73" s="214"/>
    </row>
    <row r="74" spans="2:10">
      <c r="B74" s="215" t="s">
        <v>530</v>
      </c>
      <c r="C74" s="212">
        <v>42784</v>
      </c>
      <c r="D74" s="212">
        <v>24</v>
      </c>
      <c r="E74" s="212">
        <v>326.62</v>
      </c>
      <c r="F74" s="212">
        <v>205.56</v>
      </c>
      <c r="G74" s="212">
        <v>121.06</v>
      </c>
      <c r="H74" s="216" t="s">
        <v>535</v>
      </c>
      <c r="I74" s="214" t="str">
        <f t="shared" si="1"/>
        <v>Italia</v>
      </c>
      <c r="J74" s="214"/>
    </row>
    <row r="75" spans="2:10">
      <c r="B75" s="215" t="s">
        <v>530</v>
      </c>
      <c r="C75" s="212">
        <v>42784</v>
      </c>
      <c r="D75" s="212">
        <v>1</v>
      </c>
      <c r="E75" s="212">
        <v>21.95</v>
      </c>
      <c r="F75" s="212">
        <v>9.16</v>
      </c>
      <c r="G75" s="212">
        <v>12.79</v>
      </c>
      <c r="H75" s="216" t="s">
        <v>545</v>
      </c>
      <c r="I75" s="214" t="str">
        <f t="shared" si="1"/>
        <v>Lithuania</v>
      </c>
      <c r="J75" s="214"/>
    </row>
    <row r="76" spans="2:10">
      <c r="B76" s="215" t="s">
        <v>530</v>
      </c>
      <c r="C76" s="212">
        <v>42784</v>
      </c>
      <c r="D76" s="212">
        <v>1</v>
      </c>
      <c r="E76" s="212">
        <v>21.95</v>
      </c>
      <c r="F76" s="212">
        <v>8.82</v>
      </c>
      <c r="G76" s="212">
        <v>13.13</v>
      </c>
      <c r="H76" s="216" t="s">
        <v>566</v>
      </c>
      <c r="I76" s="214" t="str">
        <f t="shared" si="1"/>
        <v>Luxembourg</v>
      </c>
      <c r="J76" s="214"/>
    </row>
    <row r="77" spans="2:10">
      <c r="B77" s="215" t="s">
        <v>530</v>
      </c>
      <c r="C77" s="212">
        <v>42784</v>
      </c>
      <c r="D77" s="212">
        <v>4</v>
      </c>
      <c r="E77" s="212">
        <v>87.8</v>
      </c>
      <c r="F77" s="212">
        <v>34.6</v>
      </c>
      <c r="G77" s="212">
        <v>53.2</v>
      </c>
      <c r="H77" s="216" t="s">
        <v>567</v>
      </c>
      <c r="I77" s="214" t="str">
        <f t="shared" si="1"/>
        <v>Latvia</v>
      </c>
      <c r="J77" s="214"/>
    </row>
    <row r="78" spans="2:10">
      <c r="B78" s="215" t="s">
        <v>536</v>
      </c>
      <c r="C78" s="212">
        <v>42784</v>
      </c>
      <c r="D78" s="212">
        <v>1</v>
      </c>
      <c r="E78" s="212">
        <v>6.99</v>
      </c>
      <c r="F78" s="212">
        <v>3.12</v>
      </c>
      <c r="G78" s="212">
        <v>3.87</v>
      </c>
      <c r="H78" s="216" t="s">
        <v>568</v>
      </c>
      <c r="I78" s="214" t="str">
        <f t="shared" si="1"/>
        <v>Mexico</v>
      </c>
      <c r="J78" s="214"/>
    </row>
    <row r="79" spans="2:10">
      <c r="B79" s="215" t="s">
        <v>536</v>
      </c>
      <c r="C79" s="212">
        <v>42784</v>
      </c>
      <c r="D79" s="212">
        <v>3</v>
      </c>
      <c r="E79" s="212">
        <v>20.97</v>
      </c>
      <c r="F79" s="212">
        <v>8.7799999999999994</v>
      </c>
      <c r="G79" s="212">
        <v>12.19</v>
      </c>
      <c r="H79" s="216" t="s">
        <v>546</v>
      </c>
      <c r="I79" s="214" t="str">
        <f t="shared" si="1"/>
        <v>Holanda</v>
      </c>
      <c r="J79" s="214"/>
    </row>
    <row r="80" spans="2:10">
      <c r="B80" s="215" t="s">
        <v>536</v>
      </c>
      <c r="C80" s="212">
        <v>42784</v>
      </c>
      <c r="D80" s="212">
        <v>2</v>
      </c>
      <c r="E80" s="212">
        <v>13.98</v>
      </c>
      <c r="F80" s="212">
        <v>6.31</v>
      </c>
      <c r="G80" s="212">
        <v>7.67</v>
      </c>
      <c r="H80" s="216" t="s">
        <v>547</v>
      </c>
      <c r="I80" s="214" t="str">
        <f t="shared" si="1"/>
        <v>Norway</v>
      </c>
      <c r="J80" s="214"/>
    </row>
    <row r="81" spans="2:12">
      <c r="B81" s="215" t="s">
        <v>536</v>
      </c>
      <c r="C81" s="212">
        <v>42784</v>
      </c>
      <c r="D81" s="212">
        <v>1</v>
      </c>
      <c r="E81" s="212">
        <v>6.99</v>
      </c>
      <c r="F81" s="212">
        <v>2.96</v>
      </c>
      <c r="G81" s="212">
        <v>4.03</v>
      </c>
      <c r="H81" s="216" t="s">
        <v>548</v>
      </c>
      <c r="I81" s="214" t="str">
        <f t="shared" si="1"/>
        <v>Peru</v>
      </c>
      <c r="J81" s="214"/>
    </row>
    <row r="82" spans="2:12">
      <c r="B82" s="215" t="s">
        <v>536</v>
      </c>
      <c r="C82" s="212">
        <v>42784</v>
      </c>
      <c r="D82" s="212">
        <v>3</v>
      </c>
      <c r="E82" s="212">
        <v>20.97</v>
      </c>
      <c r="F82" s="212">
        <v>10.14</v>
      </c>
      <c r="G82" s="212">
        <v>10.83</v>
      </c>
      <c r="H82" s="216" t="s">
        <v>549</v>
      </c>
      <c r="I82" s="214" t="str">
        <f t="shared" si="1"/>
        <v>Polonia</v>
      </c>
      <c r="J82" s="214"/>
    </row>
    <row r="83" spans="2:12">
      <c r="B83" s="215" t="s">
        <v>536</v>
      </c>
      <c r="C83" s="212">
        <v>42784</v>
      </c>
      <c r="D83" s="212">
        <v>3</v>
      </c>
      <c r="E83" s="212">
        <v>20.97</v>
      </c>
      <c r="F83" s="212">
        <v>10.73</v>
      </c>
      <c r="G83" s="212">
        <v>10.24</v>
      </c>
      <c r="H83" s="216" t="s">
        <v>550</v>
      </c>
      <c r="I83" s="214" t="str">
        <f t="shared" si="1"/>
        <v>Portugal</v>
      </c>
      <c r="J83" s="214"/>
      <c r="K83" s="168" t="s">
        <v>411</v>
      </c>
      <c r="L83" t="s">
        <v>613</v>
      </c>
    </row>
    <row r="84" spans="2:12">
      <c r="B84" s="215" t="s">
        <v>536</v>
      </c>
      <c r="C84" s="212">
        <v>42784</v>
      </c>
      <c r="D84" s="212">
        <v>1</v>
      </c>
      <c r="E84" s="212">
        <v>6.99</v>
      </c>
      <c r="F84" s="212">
        <v>3.48</v>
      </c>
      <c r="G84" s="212">
        <v>3.51</v>
      </c>
      <c r="H84" s="216" t="s">
        <v>551</v>
      </c>
      <c r="I84" s="214" t="str">
        <f t="shared" si="1"/>
        <v>Slovakia</v>
      </c>
      <c r="J84" s="214"/>
      <c r="K84" s="169" t="s">
        <v>570</v>
      </c>
      <c r="L84">
        <v>1492.29</v>
      </c>
    </row>
    <row r="85" spans="2:12">
      <c r="B85" s="215" t="s">
        <v>536</v>
      </c>
      <c r="C85" s="212">
        <v>42784</v>
      </c>
      <c r="D85" s="212">
        <v>1</v>
      </c>
      <c r="E85" s="212">
        <v>6.99</v>
      </c>
      <c r="F85" s="212">
        <v>2.86</v>
      </c>
      <c r="G85" s="212">
        <v>4.13</v>
      </c>
      <c r="H85" s="216" t="s">
        <v>552</v>
      </c>
      <c r="I85" s="214" t="str">
        <f t="shared" si="1"/>
        <v>Slovenia</v>
      </c>
      <c r="J85" s="214"/>
      <c r="K85" s="169" t="s">
        <v>571</v>
      </c>
      <c r="L85">
        <v>2440.27</v>
      </c>
    </row>
    <row r="86" spans="2:12">
      <c r="B86" s="215" t="s">
        <v>536</v>
      </c>
      <c r="C86" s="212">
        <v>42784</v>
      </c>
      <c r="D86" s="212">
        <v>2</v>
      </c>
      <c r="E86" s="212">
        <v>13.98</v>
      </c>
      <c r="F86" s="212">
        <v>5.85</v>
      </c>
      <c r="G86" s="212">
        <v>8.1300000000000008</v>
      </c>
      <c r="H86" s="216" t="s">
        <v>553</v>
      </c>
      <c r="I86" s="214" t="str">
        <f t="shared" si="1"/>
        <v>Suecia</v>
      </c>
      <c r="J86" s="214"/>
      <c r="K86" s="169" t="s">
        <v>572</v>
      </c>
      <c r="L86">
        <v>408.8</v>
      </c>
    </row>
    <row r="87" spans="2:12">
      <c r="B87" s="215" t="s">
        <v>536</v>
      </c>
      <c r="C87" s="212">
        <v>42784</v>
      </c>
      <c r="D87" s="212">
        <v>4</v>
      </c>
      <c r="E87" s="212">
        <v>27.96</v>
      </c>
      <c r="F87" s="212">
        <v>13.52</v>
      </c>
      <c r="G87" s="212">
        <v>14.44</v>
      </c>
      <c r="H87" s="216" t="s">
        <v>554</v>
      </c>
      <c r="I87" s="214" t="str">
        <f t="shared" si="1"/>
        <v>Ucrania</v>
      </c>
      <c r="J87" s="214"/>
      <c r="K87" s="169" t="s">
        <v>573</v>
      </c>
      <c r="L87">
        <v>1373.01</v>
      </c>
    </row>
    <row r="88" spans="2:12">
      <c r="B88" s="215" t="s">
        <v>541</v>
      </c>
      <c r="C88" s="212">
        <v>42784</v>
      </c>
      <c r="D88" s="212">
        <v>1</v>
      </c>
      <c r="E88" s="212">
        <v>26</v>
      </c>
      <c r="F88" s="212">
        <v>11.26</v>
      </c>
      <c r="G88" s="212">
        <v>14.74</v>
      </c>
      <c r="H88" s="216" t="s">
        <v>555</v>
      </c>
      <c r="I88" s="214" t="str">
        <f t="shared" si="1"/>
        <v>Ustados Unidos</v>
      </c>
      <c r="J88" s="214"/>
      <c r="K88" s="169" t="s">
        <v>575</v>
      </c>
      <c r="L88">
        <v>1110.07</v>
      </c>
    </row>
    <row r="89" spans="2:12">
      <c r="B89" s="215" t="s">
        <v>541</v>
      </c>
      <c r="C89" s="212">
        <v>42784</v>
      </c>
      <c r="D89" s="212">
        <v>2</v>
      </c>
      <c r="E89" s="212">
        <v>47</v>
      </c>
      <c r="F89" s="212">
        <v>18.34</v>
      </c>
      <c r="G89" s="212">
        <v>28.66</v>
      </c>
      <c r="H89" s="216" t="s">
        <v>556</v>
      </c>
      <c r="I89" s="214" t="str">
        <f t="shared" si="1"/>
        <v>Venezuela</v>
      </c>
      <c r="J89" s="214"/>
      <c r="K89" s="169" t="s">
        <v>574</v>
      </c>
      <c r="L89">
        <v>918.28</v>
      </c>
    </row>
    <row r="90" spans="2:12">
      <c r="B90" s="215" t="s">
        <v>541</v>
      </c>
      <c r="C90" s="212">
        <v>42784</v>
      </c>
      <c r="D90" s="212">
        <v>41</v>
      </c>
      <c r="E90" s="212">
        <v>686.09</v>
      </c>
      <c r="F90" s="212">
        <v>423.12</v>
      </c>
      <c r="G90" s="212">
        <v>262.97000000000003</v>
      </c>
      <c r="H90" s="216" t="s">
        <v>519</v>
      </c>
      <c r="I90" s="214" t="str">
        <f t="shared" si="1"/>
        <v>Argentina</v>
      </c>
      <c r="J90" s="214"/>
      <c r="K90" s="169" t="s">
        <v>576</v>
      </c>
      <c r="L90">
        <v>971.63</v>
      </c>
    </row>
    <row r="91" spans="2:12">
      <c r="B91" s="215" t="s">
        <v>541</v>
      </c>
      <c r="C91" s="212">
        <v>42784</v>
      </c>
      <c r="D91" s="212">
        <v>2</v>
      </c>
      <c r="E91" s="212">
        <v>53.98</v>
      </c>
      <c r="F91" s="212">
        <v>23.44</v>
      </c>
      <c r="G91" s="212">
        <v>30.54</v>
      </c>
      <c r="H91" s="216" t="s">
        <v>557</v>
      </c>
      <c r="I91" s="214" t="str">
        <f t="shared" si="1"/>
        <v>Australia</v>
      </c>
      <c r="J91" s="214"/>
      <c r="K91" s="169" t="s">
        <v>578</v>
      </c>
      <c r="L91">
        <v>761.33</v>
      </c>
    </row>
    <row r="92" spans="2:12">
      <c r="B92" s="215" t="s">
        <v>541</v>
      </c>
      <c r="C92" s="212">
        <v>42784</v>
      </c>
      <c r="D92" s="212">
        <v>3</v>
      </c>
      <c r="E92" s="212">
        <v>80.97</v>
      </c>
      <c r="F92" s="212">
        <v>31.28</v>
      </c>
      <c r="G92" s="212">
        <v>49.69</v>
      </c>
      <c r="H92" s="216" t="s">
        <v>558</v>
      </c>
      <c r="I92" s="214" t="str">
        <f t="shared" si="1"/>
        <v>Austria</v>
      </c>
      <c r="J92" s="214"/>
      <c r="K92" s="169" t="s">
        <v>160</v>
      </c>
      <c r="L92">
        <v>1736.46</v>
      </c>
    </row>
    <row r="93" spans="2:12">
      <c r="B93" s="215" t="s">
        <v>541</v>
      </c>
      <c r="C93" s="212">
        <v>42784</v>
      </c>
      <c r="D93" s="212">
        <v>3</v>
      </c>
      <c r="E93" s="212">
        <v>80.97</v>
      </c>
      <c r="F93" s="212">
        <v>31.28</v>
      </c>
      <c r="G93" s="212">
        <v>49.69</v>
      </c>
      <c r="H93" s="216" t="s">
        <v>559</v>
      </c>
      <c r="I93" s="214" t="str">
        <f t="shared" si="1"/>
        <v>Belgica</v>
      </c>
      <c r="J93" s="214"/>
      <c r="K93" s="169" t="s">
        <v>579</v>
      </c>
      <c r="L93">
        <v>677.01</v>
      </c>
    </row>
    <row r="94" spans="2:12">
      <c r="B94" s="215" t="s">
        <v>542</v>
      </c>
      <c r="C94" s="212">
        <v>42784</v>
      </c>
      <c r="D94" s="212">
        <v>4</v>
      </c>
      <c r="E94" s="212">
        <v>47.8</v>
      </c>
      <c r="F94" s="212">
        <v>20.37</v>
      </c>
      <c r="G94" s="212">
        <v>27.43</v>
      </c>
      <c r="H94" s="216" t="s">
        <v>560</v>
      </c>
      <c r="I94" s="214" t="str">
        <f t="shared" si="1"/>
        <v>Bulgaria</v>
      </c>
      <c r="J94" s="214"/>
      <c r="K94" s="169" t="s">
        <v>593</v>
      </c>
      <c r="L94">
        <v>483.21</v>
      </c>
    </row>
    <row r="95" spans="2:12">
      <c r="B95" s="215" t="s">
        <v>520</v>
      </c>
      <c r="C95" s="212">
        <v>42784</v>
      </c>
      <c r="D95" s="212">
        <v>3</v>
      </c>
      <c r="E95" s="212">
        <v>86.85</v>
      </c>
      <c r="F95" s="212">
        <v>33.78</v>
      </c>
      <c r="G95" s="212">
        <v>53.07</v>
      </c>
      <c r="H95" s="216" t="s">
        <v>561</v>
      </c>
      <c r="I95" s="214" t="str">
        <f t="shared" si="1"/>
        <v>Brazil</v>
      </c>
      <c r="J95" s="214"/>
      <c r="K95" s="169" t="s">
        <v>580</v>
      </c>
      <c r="L95">
        <v>644.29</v>
      </c>
    </row>
    <row r="96" spans="2:12">
      <c r="B96" s="215" t="s">
        <v>520</v>
      </c>
      <c r="C96" s="212">
        <v>42784</v>
      </c>
      <c r="D96" s="212">
        <v>1</v>
      </c>
      <c r="E96" s="212">
        <v>122</v>
      </c>
      <c r="F96" s="212">
        <v>49.28</v>
      </c>
      <c r="G96" s="212">
        <v>72.72</v>
      </c>
      <c r="H96" s="216" t="s">
        <v>526</v>
      </c>
      <c r="I96" s="214" t="str">
        <f t="shared" si="1"/>
        <v>Canada</v>
      </c>
      <c r="J96" s="214"/>
      <c r="K96" s="169" t="s">
        <v>582</v>
      </c>
      <c r="L96">
        <v>697.36</v>
      </c>
    </row>
    <row r="97" spans="2:12">
      <c r="B97" s="215" t="s">
        <v>520</v>
      </c>
      <c r="C97" s="212">
        <v>42784</v>
      </c>
      <c r="D97" s="212">
        <v>3</v>
      </c>
      <c r="E97" s="212">
        <v>366</v>
      </c>
      <c r="F97" s="212">
        <v>126.94</v>
      </c>
      <c r="G97" s="212">
        <v>239.06</v>
      </c>
      <c r="H97" s="216" t="s">
        <v>527</v>
      </c>
      <c r="I97" s="214" t="str">
        <f t="shared" si="1"/>
        <v>Suiza</v>
      </c>
      <c r="J97" s="214"/>
      <c r="K97" s="169" t="s">
        <v>583</v>
      </c>
      <c r="L97">
        <v>766.25</v>
      </c>
    </row>
    <row r="98" spans="2:12">
      <c r="B98" s="215" t="s">
        <v>518</v>
      </c>
      <c r="C98" s="212">
        <v>42784</v>
      </c>
      <c r="D98" s="212">
        <v>1</v>
      </c>
      <c r="E98" s="212">
        <v>71</v>
      </c>
      <c r="F98" s="212">
        <v>29.65</v>
      </c>
      <c r="G98" s="212">
        <v>41.35</v>
      </c>
      <c r="H98" s="216" t="s">
        <v>562</v>
      </c>
      <c r="I98" s="214" t="str">
        <f t="shared" si="1"/>
        <v>Chile</v>
      </c>
      <c r="J98" s="214"/>
      <c r="K98" s="169" t="s">
        <v>584</v>
      </c>
      <c r="L98">
        <v>892.31</v>
      </c>
    </row>
    <row r="99" spans="2:12">
      <c r="B99" s="215" t="s">
        <v>518</v>
      </c>
      <c r="C99" s="212">
        <v>42784</v>
      </c>
      <c r="D99" s="212">
        <v>2</v>
      </c>
      <c r="E99" s="212">
        <v>142</v>
      </c>
      <c r="F99" s="212">
        <v>52.03</v>
      </c>
      <c r="G99" s="212">
        <v>89.97</v>
      </c>
      <c r="H99" s="216" t="s">
        <v>521</v>
      </c>
      <c r="I99" s="214" t="str">
        <f t="shared" si="1"/>
        <v>Colombia</v>
      </c>
      <c r="J99" s="214"/>
      <c r="K99" s="169" t="s">
        <v>585</v>
      </c>
      <c r="L99">
        <v>836.68</v>
      </c>
    </row>
    <row r="100" spans="2:12">
      <c r="B100" s="215" t="s">
        <v>520</v>
      </c>
      <c r="C100" s="212">
        <v>42786</v>
      </c>
      <c r="D100" s="212">
        <v>3</v>
      </c>
      <c r="E100" s="212">
        <v>77.849999999999994</v>
      </c>
      <c r="F100" s="212">
        <v>28.32</v>
      </c>
      <c r="G100" s="212">
        <v>49.53</v>
      </c>
      <c r="H100" s="216" t="s">
        <v>563</v>
      </c>
      <c r="I100" s="214" t="str">
        <f t="shared" si="1"/>
        <v>Costa Rica</v>
      </c>
      <c r="J100" s="214"/>
      <c r="K100" s="169" t="s">
        <v>586</v>
      </c>
      <c r="L100">
        <v>835.19</v>
      </c>
    </row>
    <row r="101" spans="2:12">
      <c r="B101" s="215" t="s">
        <v>520</v>
      </c>
      <c r="C101" s="212">
        <v>42784</v>
      </c>
      <c r="D101" s="212">
        <v>2</v>
      </c>
      <c r="E101" s="212">
        <v>51.9</v>
      </c>
      <c r="F101" s="212">
        <v>20.18</v>
      </c>
      <c r="G101" s="212">
        <v>31.72</v>
      </c>
      <c r="H101" s="216" t="s">
        <v>564</v>
      </c>
      <c r="I101" s="214" t="str">
        <f t="shared" si="1"/>
        <v>Czech Republic</v>
      </c>
      <c r="J101" s="214"/>
      <c r="K101" s="169" t="s">
        <v>587</v>
      </c>
      <c r="L101">
        <v>419.2</v>
      </c>
    </row>
    <row r="102" spans="2:12">
      <c r="B102" s="215" t="s">
        <v>542</v>
      </c>
      <c r="C102" s="212">
        <v>42784</v>
      </c>
      <c r="D102" s="212">
        <v>2</v>
      </c>
      <c r="E102" s="212">
        <v>83.9</v>
      </c>
      <c r="F102" s="212">
        <v>32.32</v>
      </c>
      <c r="G102" s="212">
        <v>51.58</v>
      </c>
      <c r="H102" s="216" t="s">
        <v>522</v>
      </c>
      <c r="I102" s="214" t="str">
        <f t="shared" si="1"/>
        <v>Germany</v>
      </c>
      <c r="J102" s="214"/>
      <c r="K102" s="169" t="s">
        <v>588</v>
      </c>
      <c r="L102">
        <v>746.61</v>
      </c>
    </row>
    <row r="103" spans="2:12">
      <c r="B103" s="215" t="s">
        <v>542</v>
      </c>
      <c r="C103" s="212">
        <v>42784</v>
      </c>
      <c r="D103" s="212">
        <v>36</v>
      </c>
      <c r="E103" s="212">
        <v>936.32</v>
      </c>
      <c r="F103" s="212">
        <v>616.32000000000005</v>
      </c>
      <c r="G103" s="212">
        <v>320</v>
      </c>
      <c r="H103" s="216" t="s">
        <v>565</v>
      </c>
      <c r="I103" s="214" t="str">
        <f t="shared" si="1"/>
        <v>Dinamarca</v>
      </c>
      <c r="J103" s="214"/>
      <c r="K103" s="169" t="s">
        <v>581</v>
      </c>
      <c r="L103">
        <v>1102.07</v>
      </c>
    </row>
    <row r="104" spans="2:12">
      <c r="B104" s="215" t="s">
        <v>542</v>
      </c>
      <c r="C104" s="212">
        <v>42784</v>
      </c>
      <c r="D104" s="212">
        <v>2</v>
      </c>
      <c r="E104" s="212">
        <v>83.9</v>
      </c>
      <c r="F104" s="212">
        <v>29.12</v>
      </c>
      <c r="G104" s="212">
        <v>54.78</v>
      </c>
      <c r="H104" s="216" t="s">
        <v>523</v>
      </c>
      <c r="I104" s="214" t="str">
        <f t="shared" si="1"/>
        <v>Dominican Republic</v>
      </c>
      <c r="J104" s="214"/>
      <c r="K104" s="169" t="s">
        <v>590</v>
      </c>
      <c r="L104">
        <v>653.89</v>
      </c>
    </row>
    <row r="105" spans="2:12">
      <c r="B105" s="215" t="s">
        <v>542</v>
      </c>
      <c r="C105" s="212">
        <v>42784</v>
      </c>
      <c r="D105" s="212">
        <v>2</v>
      </c>
      <c r="E105" s="212">
        <v>83.9</v>
      </c>
      <c r="F105" s="212">
        <v>30.4</v>
      </c>
      <c r="G105" s="212">
        <v>53.5</v>
      </c>
      <c r="H105" s="216" t="s">
        <v>524</v>
      </c>
      <c r="I105" s="214" t="str">
        <f t="shared" si="1"/>
        <v>Ecuador</v>
      </c>
      <c r="J105" s="214"/>
      <c r="K105" s="169" t="s">
        <v>601</v>
      </c>
      <c r="L105">
        <v>753.72</v>
      </c>
    </row>
    <row r="106" spans="2:12">
      <c r="B106" s="215" t="s">
        <v>536</v>
      </c>
      <c r="C106" s="212">
        <v>42784</v>
      </c>
      <c r="D106" s="212">
        <v>1</v>
      </c>
      <c r="E106" s="212">
        <v>21.95</v>
      </c>
      <c r="F106" s="212">
        <v>9.17</v>
      </c>
      <c r="G106" s="212">
        <v>12.78</v>
      </c>
      <c r="H106" s="216" t="s">
        <v>537</v>
      </c>
      <c r="I106" s="214" t="str">
        <f t="shared" si="1"/>
        <v>España</v>
      </c>
      <c r="J106" s="214"/>
      <c r="K106" s="169" t="s">
        <v>592</v>
      </c>
      <c r="L106">
        <v>612.72</v>
      </c>
    </row>
    <row r="107" spans="2:12">
      <c r="B107" s="215" t="s">
        <v>536</v>
      </c>
      <c r="C107" s="212">
        <v>42784</v>
      </c>
      <c r="D107" s="212">
        <v>2</v>
      </c>
      <c r="E107" s="212">
        <v>43.9</v>
      </c>
      <c r="F107" s="212">
        <v>17.47</v>
      </c>
      <c r="G107" s="212">
        <v>26.43</v>
      </c>
      <c r="H107" s="216" t="s">
        <v>538</v>
      </c>
      <c r="I107" s="214" t="str">
        <f t="shared" si="1"/>
        <v>Estonia</v>
      </c>
      <c r="J107" s="214"/>
      <c r="K107" s="169" t="s">
        <v>591</v>
      </c>
      <c r="L107">
        <v>1210.83</v>
      </c>
    </row>
    <row r="108" spans="2:12">
      <c r="B108" s="215" t="s">
        <v>536</v>
      </c>
      <c r="C108" s="212">
        <v>42784</v>
      </c>
      <c r="D108" s="212">
        <v>1</v>
      </c>
      <c r="E108" s="212">
        <v>21.95</v>
      </c>
      <c r="F108" s="212">
        <v>7.53</v>
      </c>
      <c r="G108" s="212">
        <v>14.42</v>
      </c>
      <c r="H108" s="216" t="s">
        <v>539</v>
      </c>
      <c r="I108" s="214" t="str">
        <f t="shared" si="1"/>
        <v>Finlandia</v>
      </c>
      <c r="J108" s="214"/>
      <c r="K108" s="169" t="s">
        <v>594</v>
      </c>
      <c r="L108">
        <v>669.67</v>
      </c>
    </row>
    <row r="109" spans="2:12">
      <c r="B109" s="215" t="s">
        <v>536</v>
      </c>
      <c r="C109" s="212">
        <v>42784</v>
      </c>
      <c r="D109" s="212">
        <v>1</v>
      </c>
      <c r="E109" s="212">
        <v>21.95</v>
      </c>
      <c r="F109" s="212">
        <v>7.96</v>
      </c>
      <c r="G109" s="212">
        <v>13.99</v>
      </c>
      <c r="H109" s="216" t="s">
        <v>540</v>
      </c>
      <c r="I109" s="214" t="str">
        <f t="shared" si="1"/>
        <v>Francia</v>
      </c>
      <c r="J109" s="214"/>
      <c r="K109" s="169" t="s">
        <v>595</v>
      </c>
      <c r="L109">
        <v>660.81</v>
      </c>
    </row>
    <row r="110" spans="2:12">
      <c r="B110" s="215" t="s">
        <v>525</v>
      </c>
      <c r="C110" s="212">
        <v>42784</v>
      </c>
      <c r="D110" s="212">
        <v>1</v>
      </c>
      <c r="E110" s="212">
        <v>23.95</v>
      </c>
      <c r="F110" s="212">
        <v>8.34</v>
      </c>
      <c r="G110" s="212">
        <v>15.61</v>
      </c>
      <c r="H110" s="216" t="s">
        <v>528</v>
      </c>
      <c r="I110" s="214" t="str">
        <f t="shared" si="1"/>
        <v>UK</v>
      </c>
      <c r="J110" s="214"/>
      <c r="K110" s="169" t="s">
        <v>596</v>
      </c>
      <c r="L110">
        <v>603.08000000000004</v>
      </c>
    </row>
    <row r="111" spans="2:12">
      <c r="B111" s="215" t="s">
        <v>525</v>
      </c>
      <c r="C111" s="212">
        <v>42784</v>
      </c>
      <c r="D111" s="212">
        <v>1</v>
      </c>
      <c r="E111" s="212">
        <v>23.95</v>
      </c>
      <c r="F111" s="212">
        <v>10.43</v>
      </c>
      <c r="G111" s="212">
        <v>13.52</v>
      </c>
      <c r="H111" s="216" t="s">
        <v>529</v>
      </c>
      <c r="I111" s="214" t="str">
        <f t="shared" si="1"/>
        <v>Grecia</v>
      </c>
      <c r="J111" s="214"/>
      <c r="K111" s="169" t="s">
        <v>599</v>
      </c>
      <c r="L111">
        <v>533.38</v>
      </c>
    </row>
    <row r="112" spans="2:12">
      <c r="B112" s="215" t="s">
        <v>525</v>
      </c>
      <c r="C112" s="212">
        <v>42784</v>
      </c>
      <c r="D112" s="212">
        <v>1</v>
      </c>
      <c r="E112" s="212">
        <v>23.95</v>
      </c>
      <c r="F112" s="212">
        <v>8.82</v>
      </c>
      <c r="G112" s="212">
        <v>15.13</v>
      </c>
      <c r="H112" s="216" t="s">
        <v>531</v>
      </c>
      <c r="I112" s="214" t="str">
        <f t="shared" si="1"/>
        <v>Hong Kong</v>
      </c>
      <c r="J112" s="214"/>
      <c r="K112" s="169" t="s">
        <v>597</v>
      </c>
      <c r="L112">
        <v>775.96</v>
      </c>
    </row>
    <row r="113" spans="2:12">
      <c r="B113" s="215" t="s">
        <v>530</v>
      </c>
      <c r="C113" s="212">
        <v>42784</v>
      </c>
      <c r="D113" s="212">
        <v>2</v>
      </c>
      <c r="E113" s="212">
        <v>51.98</v>
      </c>
      <c r="F113" s="212">
        <v>19.64</v>
      </c>
      <c r="G113" s="212">
        <v>32.340000000000003</v>
      </c>
      <c r="H113" s="216" t="s">
        <v>543</v>
      </c>
      <c r="I113" s="214" t="str">
        <f t="shared" si="1"/>
        <v>Honduras</v>
      </c>
      <c r="J113" s="214"/>
      <c r="K113" s="169" t="s">
        <v>598</v>
      </c>
      <c r="L113">
        <v>813.51</v>
      </c>
    </row>
    <row r="114" spans="2:12">
      <c r="B114" s="215" t="s">
        <v>530</v>
      </c>
      <c r="C114" s="212">
        <v>42784</v>
      </c>
      <c r="D114" s="212">
        <v>1</v>
      </c>
      <c r="E114" s="212">
        <v>25.99</v>
      </c>
      <c r="F114" s="212">
        <v>9.52</v>
      </c>
      <c r="G114" s="212">
        <v>16.47</v>
      </c>
      <c r="H114" s="216" t="s">
        <v>544</v>
      </c>
      <c r="I114" s="214" t="str">
        <f t="shared" si="1"/>
        <v>Croatia</v>
      </c>
      <c r="J114" s="214"/>
      <c r="K114" s="169" t="s">
        <v>600</v>
      </c>
      <c r="L114">
        <v>274.13</v>
      </c>
    </row>
    <row r="115" spans="2:12">
      <c r="B115" s="215" t="s">
        <v>530</v>
      </c>
      <c r="C115" s="212">
        <v>42784</v>
      </c>
      <c r="D115" s="212">
        <v>3</v>
      </c>
      <c r="E115" s="212">
        <v>77.97</v>
      </c>
      <c r="F115" s="212">
        <v>29.76</v>
      </c>
      <c r="G115" s="212">
        <v>48.21</v>
      </c>
      <c r="H115" s="216" t="s">
        <v>532</v>
      </c>
      <c r="I115" s="214" t="str">
        <f t="shared" si="1"/>
        <v>Hungria</v>
      </c>
      <c r="J115" s="214"/>
      <c r="K115" s="169" t="s">
        <v>602</v>
      </c>
      <c r="L115">
        <v>232.1</v>
      </c>
    </row>
    <row r="116" spans="2:12">
      <c r="B116" s="215" t="s">
        <v>518</v>
      </c>
      <c r="C116" s="212">
        <v>42785</v>
      </c>
      <c r="D116" s="212">
        <v>2</v>
      </c>
      <c r="E116" s="212">
        <v>47.9</v>
      </c>
      <c r="F116" s="212">
        <v>17.149999999999999</v>
      </c>
      <c r="G116" s="212">
        <v>30.75</v>
      </c>
      <c r="H116" s="216" t="s">
        <v>533</v>
      </c>
      <c r="I116" s="214" t="str">
        <f t="shared" si="1"/>
        <v>Irlanda</v>
      </c>
      <c r="J116" s="214"/>
      <c r="K116" s="169" t="s">
        <v>603</v>
      </c>
      <c r="L116">
        <v>346.8</v>
      </c>
    </row>
    <row r="117" spans="2:12">
      <c r="B117" s="215" t="s">
        <v>518</v>
      </c>
      <c r="C117" s="212">
        <v>42785</v>
      </c>
      <c r="D117" s="212">
        <v>3</v>
      </c>
      <c r="E117" s="212">
        <v>71.849999999999994</v>
      </c>
      <c r="F117" s="212">
        <v>29.36</v>
      </c>
      <c r="G117" s="212">
        <v>42.49</v>
      </c>
      <c r="H117" s="216" t="s">
        <v>535</v>
      </c>
      <c r="I117" s="214" t="str">
        <f t="shared" si="1"/>
        <v>Italia</v>
      </c>
      <c r="J117" s="214"/>
      <c r="K117" s="169" t="s">
        <v>604</v>
      </c>
      <c r="L117">
        <v>520.83000000000004</v>
      </c>
    </row>
    <row r="118" spans="2:12">
      <c r="B118" s="215" t="s">
        <v>530</v>
      </c>
      <c r="C118" s="212">
        <v>42785</v>
      </c>
      <c r="D118" s="212">
        <v>2</v>
      </c>
      <c r="E118" s="212">
        <v>43.9</v>
      </c>
      <c r="F118" s="212">
        <v>16.28</v>
      </c>
      <c r="G118" s="212">
        <v>27.62</v>
      </c>
      <c r="H118" s="216" t="s">
        <v>545</v>
      </c>
      <c r="I118" s="214" t="str">
        <f t="shared" si="1"/>
        <v>Lithuania</v>
      </c>
      <c r="J118" s="214"/>
      <c r="K118" s="169" t="s">
        <v>605</v>
      </c>
      <c r="L118">
        <v>689.63</v>
      </c>
    </row>
    <row r="119" spans="2:12">
      <c r="B119" s="215" t="s">
        <v>530</v>
      </c>
      <c r="C119" s="212">
        <v>42785</v>
      </c>
      <c r="D119" s="212">
        <v>1</v>
      </c>
      <c r="E119" s="212">
        <v>21.95</v>
      </c>
      <c r="F119" s="212">
        <v>7.89</v>
      </c>
      <c r="G119" s="212">
        <v>14.06</v>
      </c>
      <c r="H119" s="216" t="s">
        <v>566</v>
      </c>
      <c r="I119" s="214" t="str">
        <f t="shared" si="1"/>
        <v>Luxembourg</v>
      </c>
      <c r="J119" s="214"/>
      <c r="K119" s="169" t="s">
        <v>606</v>
      </c>
      <c r="L119">
        <v>486.34</v>
      </c>
    </row>
    <row r="120" spans="2:12">
      <c r="B120" s="215" t="s">
        <v>530</v>
      </c>
      <c r="C120" s="212">
        <v>42785</v>
      </c>
      <c r="D120" s="212">
        <v>36</v>
      </c>
      <c r="E120" s="212">
        <v>513.63</v>
      </c>
      <c r="F120" s="212">
        <v>268.64999999999998</v>
      </c>
      <c r="G120" s="212">
        <v>244.98</v>
      </c>
      <c r="H120" s="216" t="s">
        <v>567</v>
      </c>
      <c r="I120" s="214" t="str">
        <f t="shared" si="1"/>
        <v>Latvia</v>
      </c>
      <c r="J120" s="214"/>
      <c r="K120" s="169" t="s">
        <v>607</v>
      </c>
      <c r="L120">
        <v>1192.04</v>
      </c>
    </row>
    <row r="121" spans="2:12">
      <c r="B121" s="215" t="s">
        <v>534</v>
      </c>
      <c r="C121" s="212">
        <v>42785</v>
      </c>
      <c r="D121" s="212">
        <v>2</v>
      </c>
      <c r="E121" s="212">
        <v>47.9</v>
      </c>
      <c r="F121" s="212">
        <v>17.22</v>
      </c>
      <c r="G121" s="212">
        <v>30.68</v>
      </c>
      <c r="H121" s="216" t="s">
        <v>568</v>
      </c>
      <c r="I121" s="214" t="str">
        <f t="shared" si="1"/>
        <v>Mexico</v>
      </c>
      <c r="J121" s="214"/>
      <c r="K121" s="169" t="s">
        <v>608</v>
      </c>
      <c r="L121">
        <v>371.21</v>
      </c>
    </row>
    <row r="122" spans="2:12">
      <c r="B122" s="215" t="s">
        <v>536</v>
      </c>
      <c r="C122" s="212">
        <v>42785</v>
      </c>
      <c r="D122" s="212">
        <v>2</v>
      </c>
      <c r="E122" s="212">
        <v>13.98</v>
      </c>
      <c r="F122" s="212">
        <v>6.18</v>
      </c>
      <c r="G122" s="212">
        <v>7.8</v>
      </c>
      <c r="H122" s="216" t="s">
        <v>546</v>
      </c>
      <c r="I122" s="214" t="str">
        <f t="shared" si="1"/>
        <v>Holanda</v>
      </c>
      <c r="J122" s="214"/>
      <c r="K122" s="169" t="s">
        <v>577</v>
      </c>
      <c r="L122">
        <v>750.29</v>
      </c>
    </row>
    <row r="123" spans="2:12">
      <c r="B123" s="215" t="s">
        <v>536</v>
      </c>
      <c r="C123" s="212">
        <v>42785</v>
      </c>
      <c r="D123" s="212">
        <v>3</v>
      </c>
      <c r="E123" s="212">
        <v>20.97</v>
      </c>
      <c r="F123" s="212">
        <v>9.75</v>
      </c>
      <c r="G123" s="212">
        <v>11.22</v>
      </c>
      <c r="H123" s="216" t="s">
        <v>547</v>
      </c>
      <c r="I123" s="214" t="str">
        <f t="shared" si="1"/>
        <v>Norway</v>
      </c>
      <c r="J123" s="214"/>
      <c r="K123" s="169" t="s">
        <v>609</v>
      </c>
      <c r="L123">
        <v>434.5</v>
      </c>
    </row>
    <row r="124" spans="2:12">
      <c r="B124" s="215" t="s">
        <v>536</v>
      </c>
      <c r="C124" s="212">
        <v>42787</v>
      </c>
      <c r="D124" s="212">
        <v>4</v>
      </c>
      <c r="E124" s="212">
        <v>27.96</v>
      </c>
      <c r="F124" s="212">
        <v>13</v>
      </c>
      <c r="G124" s="212">
        <v>14.96</v>
      </c>
      <c r="H124" s="216" t="s">
        <v>548</v>
      </c>
      <c r="I124" s="214" t="str">
        <f t="shared" si="1"/>
        <v>Peru</v>
      </c>
      <c r="J124" s="214"/>
      <c r="K124" s="169" t="s">
        <v>589</v>
      </c>
      <c r="L124">
        <v>775.23</v>
      </c>
    </row>
    <row r="125" spans="2:12">
      <c r="B125" s="215" t="s">
        <v>536</v>
      </c>
      <c r="C125" s="212">
        <v>42785</v>
      </c>
      <c r="D125" s="212">
        <v>1</v>
      </c>
      <c r="E125" s="212">
        <v>6.99</v>
      </c>
      <c r="F125" s="212">
        <v>3.06</v>
      </c>
      <c r="G125" s="212">
        <v>3.93</v>
      </c>
      <c r="H125" s="216" t="s">
        <v>549</v>
      </c>
      <c r="I125" s="214" t="str">
        <f t="shared" si="1"/>
        <v>Polonia</v>
      </c>
      <c r="J125" s="214"/>
      <c r="K125" s="169" t="s">
        <v>610</v>
      </c>
      <c r="L125">
        <v>857.32</v>
      </c>
    </row>
    <row r="126" spans="2:12">
      <c r="B126" s="215" t="s">
        <v>536</v>
      </c>
      <c r="C126" s="212">
        <v>42787</v>
      </c>
      <c r="D126" s="212">
        <v>6</v>
      </c>
      <c r="E126" s="212">
        <v>41.94</v>
      </c>
      <c r="F126" s="212">
        <v>21.06</v>
      </c>
      <c r="G126" s="212">
        <v>20.88</v>
      </c>
      <c r="H126" s="216" t="s">
        <v>550</v>
      </c>
      <c r="I126" s="214" t="str">
        <f t="shared" si="1"/>
        <v>Portugal</v>
      </c>
      <c r="J126" s="214"/>
      <c r="K126" s="169" t="s">
        <v>611</v>
      </c>
      <c r="L126">
        <v>609.66999999999996</v>
      </c>
    </row>
    <row r="127" spans="2:12">
      <c r="B127" s="215" t="s">
        <v>536</v>
      </c>
      <c r="C127" s="212">
        <v>42785</v>
      </c>
      <c r="D127" s="212">
        <v>3</v>
      </c>
      <c r="E127" s="212">
        <v>20.97</v>
      </c>
      <c r="F127" s="212">
        <v>9.26</v>
      </c>
      <c r="G127" s="212">
        <v>11.71</v>
      </c>
      <c r="H127" s="216" t="s">
        <v>551</v>
      </c>
      <c r="I127" s="214" t="str">
        <f t="shared" si="1"/>
        <v>Slovakia</v>
      </c>
      <c r="J127" s="214"/>
      <c r="K127" s="169" t="s">
        <v>410</v>
      </c>
      <c r="L127">
        <v>34139.980000000003</v>
      </c>
    </row>
    <row r="128" spans="2:12">
      <c r="B128" s="215" t="s">
        <v>536</v>
      </c>
      <c r="C128" s="212">
        <v>42785</v>
      </c>
      <c r="D128" s="212">
        <v>39</v>
      </c>
      <c r="E128" s="212">
        <v>177.2</v>
      </c>
      <c r="F128" s="212">
        <v>130.55000000000001</v>
      </c>
      <c r="G128" s="212">
        <v>46.65</v>
      </c>
      <c r="H128" s="216" t="s">
        <v>552</v>
      </c>
      <c r="I128" s="214" t="str">
        <f t="shared" si="1"/>
        <v>Slovenia</v>
      </c>
      <c r="J128" s="214"/>
    </row>
    <row r="129" spans="2:10">
      <c r="B129" s="215" t="s">
        <v>536</v>
      </c>
      <c r="C129" s="212">
        <v>42785</v>
      </c>
      <c r="D129" s="212">
        <v>4</v>
      </c>
      <c r="E129" s="212">
        <v>27.96</v>
      </c>
      <c r="F129" s="212">
        <v>11.31</v>
      </c>
      <c r="G129" s="212">
        <v>16.649999999999999</v>
      </c>
      <c r="H129" s="216" t="s">
        <v>553</v>
      </c>
      <c r="I129" s="214" t="str">
        <f t="shared" si="1"/>
        <v>Suecia</v>
      </c>
      <c r="J129" s="214"/>
    </row>
    <row r="130" spans="2:10">
      <c r="B130" s="215" t="s">
        <v>536</v>
      </c>
      <c r="C130" s="212">
        <v>42785</v>
      </c>
      <c r="D130" s="212">
        <v>1</v>
      </c>
      <c r="E130" s="212">
        <v>6.99</v>
      </c>
      <c r="F130" s="212">
        <v>3.35</v>
      </c>
      <c r="G130" s="212">
        <v>3.64</v>
      </c>
      <c r="H130" s="216" t="s">
        <v>554</v>
      </c>
      <c r="I130" s="214" t="str">
        <f t="shared" si="1"/>
        <v>Ucrania</v>
      </c>
      <c r="J130" s="214"/>
    </row>
    <row r="131" spans="2:10">
      <c r="B131" s="215" t="s">
        <v>536</v>
      </c>
      <c r="C131" s="212">
        <v>42785</v>
      </c>
      <c r="D131" s="212">
        <v>1</v>
      </c>
      <c r="E131" s="212">
        <v>6.99</v>
      </c>
      <c r="F131" s="212">
        <v>3.25</v>
      </c>
      <c r="G131" s="212">
        <v>3.74</v>
      </c>
      <c r="H131" s="216" t="s">
        <v>555</v>
      </c>
      <c r="I131" s="214" t="str">
        <f t="shared" si="1"/>
        <v>Ustados Unidos</v>
      </c>
      <c r="J131" s="214"/>
    </row>
    <row r="132" spans="2:10">
      <c r="B132" s="215" t="s">
        <v>541</v>
      </c>
      <c r="C132" s="212">
        <v>42785</v>
      </c>
      <c r="D132" s="212">
        <v>1</v>
      </c>
      <c r="E132" s="212">
        <v>26</v>
      </c>
      <c r="F132" s="212">
        <v>9.49</v>
      </c>
      <c r="G132" s="212">
        <v>16.510000000000002</v>
      </c>
      <c r="H132" s="216" t="s">
        <v>556</v>
      </c>
      <c r="I132" s="214" t="str">
        <f t="shared" si="1"/>
        <v>Venezuela</v>
      </c>
      <c r="J132" s="214"/>
    </row>
    <row r="133" spans="2:10">
      <c r="B133" s="215" t="s">
        <v>541</v>
      </c>
      <c r="C133" s="212">
        <v>42785</v>
      </c>
      <c r="D133" s="212">
        <v>1</v>
      </c>
      <c r="E133" s="212">
        <v>26.99</v>
      </c>
      <c r="F133" s="212">
        <v>9.35</v>
      </c>
      <c r="G133" s="212">
        <v>17.64</v>
      </c>
      <c r="H133" s="216" t="s">
        <v>519</v>
      </c>
      <c r="I133" s="214" t="str">
        <f t="shared" ref="I133:I196" si="2">VLOOKUP(H133,$L$4:$M$46,2,FALSE)</f>
        <v>Argentina</v>
      </c>
      <c r="J133" s="214"/>
    </row>
    <row r="134" spans="2:10">
      <c r="B134" s="215" t="s">
        <v>520</v>
      </c>
      <c r="C134" s="212">
        <v>42787</v>
      </c>
      <c r="D134" s="212">
        <v>4</v>
      </c>
      <c r="E134" s="212">
        <v>1008</v>
      </c>
      <c r="F134" s="212">
        <v>376.94</v>
      </c>
      <c r="G134" s="212">
        <v>631.05999999999995</v>
      </c>
      <c r="H134" s="216" t="s">
        <v>557</v>
      </c>
      <c r="I134" s="214" t="str">
        <f t="shared" si="2"/>
        <v>Australia</v>
      </c>
      <c r="J134" s="214"/>
    </row>
    <row r="135" spans="2:10">
      <c r="B135" s="215" t="s">
        <v>520</v>
      </c>
      <c r="C135" s="212">
        <v>42789</v>
      </c>
      <c r="D135" s="212">
        <v>2</v>
      </c>
      <c r="E135" s="212">
        <v>83.9</v>
      </c>
      <c r="F135" s="212">
        <v>45.47</v>
      </c>
      <c r="G135" s="212">
        <v>38.43</v>
      </c>
      <c r="H135" s="216" t="s">
        <v>558</v>
      </c>
      <c r="I135" s="214" t="str">
        <f t="shared" si="2"/>
        <v>Austria</v>
      </c>
      <c r="J135" s="214"/>
    </row>
    <row r="136" spans="2:10">
      <c r="B136" s="215" t="s">
        <v>520</v>
      </c>
      <c r="C136" s="212">
        <v>42791</v>
      </c>
      <c r="D136" s="212">
        <v>1</v>
      </c>
      <c r="E136" s="212">
        <v>28.95</v>
      </c>
      <c r="F136" s="212">
        <v>10.57</v>
      </c>
      <c r="G136" s="212">
        <v>18.38</v>
      </c>
      <c r="H136" s="216" t="s">
        <v>559</v>
      </c>
      <c r="I136" s="214" t="str">
        <f t="shared" si="2"/>
        <v>Belgica</v>
      </c>
      <c r="J136" s="214"/>
    </row>
    <row r="137" spans="2:10">
      <c r="B137" s="215" t="s">
        <v>520</v>
      </c>
      <c r="C137" s="212">
        <v>42793</v>
      </c>
      <c r="D137" s="212">
        <v>3</v>
      </c>
      <c r="E137" s="212">
        <v>86.85</v>
      </c>
      <c r="F137" s="212">
        <v>29.3</v>
      </c>
      <c r="G137" s="212">
        <v>57.55</v>
      </c>
      <c r="H137" s="216" t="s">
        <v>560</v>
      </c>
      <c r="I137" s="214" t="str">
        <f t="shared" si="2"/>
        <v>Bulgaria</v>
      </c>
      <c r="J137" s="214"/>
    </row>
    <row r="138" spans="2:10">
      <c r="B138" s="215" t="s">
        <v>520</v>
      </c>
      <c r="C138" s="212">
        <v>42785</v>
      </c>
      <c r="D138" s="212">
        <v>2</v>
      </c>
      <c r="E138" s="212">
        <v>244</v>
      </c>
      <c r="F138" s="212">
        <v>85.62</v>
      </c>
      <c r="G138" s="212">
        <v>158.38</v>
      </c>
      <c r="H138" s="216" t="s">
        <v>561</v>
      </c>
      <c r="I138" s="214" t="str">
        <f t="shared" si="2"/>
        <v>Brazil</v>
      </c>
      <c r="J138" s="214"/>
    </row>
    <row r="139" spans="2:10">
      <c r="B139" s="215" t="s">
        <v>520</v>
      </c>
      <c r="C139" s="212">
        <v>42787</v>
      </c>
      <c r="D139" s="212">
        <v>2</v>
      </c>
      <c r="E139" s="212">
        <v>57.9</v>
      </c>
      <c r="F139" s="212">
        <v>22.75</v>
      </c>
      <c r="G139" s="212">
        <v>35.15</v>
      </c>
      <c r="H139" s="216" t="s">
        <v>526</v>
      </c>
      <c r="I139" s="214" t="str">
        <f t="shared" si="2"/>
        <v>Canada</v>
      </c>
      <c r="J139" s="214"/>
    </row>
    <row r="140" spans="2:10">
      <c r="B140" s="215" t="s">
        <v>520</v>
      </c>
      <c r="C140" s="212">
        <v>42785</v>
      </c>
      <c r="D140" s="212">
        <v>2</v>
      </c>
      <c r="E140" s="212">
        <v>83.9</v>
      </c>
      <c r="F140" s="212">
        <v>37.75</v>
      </c>
      <c r="G140" s="212">
        <v>46.15</v>
      </c>
      <c r="H140" s="216" t="s">
        <v>527</v>
      </c>
      <c r="I140" s="214" t="str">
        <f t="shared" si="2"/>
        <v>Suiza</v>
      </c>
      <c r="J140" s="214"/>
    </row>
    <row r="141" spans="2:10">
      <c r="B141" s="215" t="s">
        <v>520</v>
      </c>
      <c r="C141" s="212">
        <v>42785</v>
      </c>
      <c r="D141" s="212">
        <v>1</v>
      </c>
      <c r="E141" s="212">
        <v>28.95</v>
      </c>
      <c r="F141" s="212">
        <v>10.23</v>
      </c>
      <c r="G141" s="212">
        <v>18.72</v>
      </c>
      <c r="H141" s="216" t="s">
        <v>562</v>
      </c>
      <c r="I141" s="214" t="str">
        <f t="shared" si="2"/>
        <v>Chile</v>
      </c>
      <c r="J141" s="214"/>
    </row>
    <row r="142" spans="2:10">
      <c r="B142" s="215" t="s">
        <v>536</v>
      </c>
      <c r="C142" s="212">
        <v>42785</v>
      </c>
      <c r="D142" s="212">
        <v>40</v>
      </c>
      <c r="E142" s="212">
        <v>535.58000000000004</v>
      </c>
      <c r="F142" s="212">
        <v>321.77999999999997</v>
      </c>
      <c r="G142" s="212">
        <v>213.8</v>
      </c>
      <c r="H142" s="216" t="s">
        <v>521</v>
      </c>
      <c r="I142" s="214" t="str">
        <f t="shared" si="2"/>
        <v>Colombia</v>
      </c>
      <c r="J142" s="214"/>
    </row>
    <row r="143" spans="2:10">
      <c r="B143" s="215" t="s">
        <v>536</v>
      </c>
      <c r="C143" s="212">
        <v>42787</v>
      </c>
      <c r="D143" s="212">
        <v>1</v>
      </c>
      <c r="E143" s="212">
        <v>21.95</v>
      </c>
      <c r="F143" s="212">
        <v>8.0399999999999991</v>
      </c>
      <c r="G143" s="212">
        <v>13.91</v>
      </c>
      <c r="H143" s="216" t="s">
        <v>563</v>
      </c>
      <c r="I143" s="214" t="str">
        <f t="shared" si="2"/>
        <v>Costa Rica</v>
      </c>
      <c r="J143" s="214"/>
    </row>
    <row r="144" spans="2:10">
      <c r="B144" s="215" t="s">
        <v>536</v>
      </c>
      <c r="C144" s="212">
        <v>42785</v>
      </c>
      <c r="D144" s="212">
        <v>1</v>
      </c>
      <c r="E144" s="212">
        <v>21.95</v>
      </c>
      <c r="F144" s="212">
        <v>8.3000000000000007</v>
      </c>
      <c r="G144" s="212">
        <v>13.65</v>
      </c>
      <c r="H144" s="216" t="s">
        <v>564</v>
      </c>
      <c r="I144" s="214" t="str">
        <f t="shared" si="2"/>
        <v>Czech Republic</v>
      </c>
      <c r="J144" s="214"/>
    </row>
    <row r="145" spans="2:10">
      <c r="B145" s="215" t="s">
        <v>525</v>
      </c>
      <c r="C145" s="212">
        <v>42787</v>
      </c>
      <c r="D145" s="212">
        <v>4</v>
      </c>
      <c r="E145" s="212">
        <v>58</v>
      </c>
      <c r="F145" s="212">
        <v>23.28</v>
      </c>
      <c r="G145" s="212">
        <v>34.72</v>
      </c>
      <c r="H145" s="216" t="s">
        <v>522</v>
      </c>
      <c r="I145" s="214" t="str">
        <f t="shared" si="2"/>
        <v>Germany</v>
      </c>
      <c r="J145" s="214"/>
    </row>
    <row r="146" spans="2:10">
      <c r="B146" s="215" t="s">
        <v>525</v>
      </c>
      <c r="C146" s="212">
        <v>42789</v>
      </c>
      <c r="D146" s="212">
        <v>2</v>
      </c>
      <c r="E146" s="212">
        <v>47.9</v>
      </c>
      <c r="F146" s="212">
        <v>18.39</v>
      </c>
      <c r="G146" s="212">
        <v>29.51</v>
      </c>
      <c r="H146" s="216" t="s">
        <v>565</v>
      </c>
      <c r="I146" s="214" t="str">
        <f t="shared" si="2"/>
        <v>Dinamarca</v>
      </c>
      <c r="J146" s="214"/>
    </row>
    <row r="147" spans="2:10">
      <c r="B147" s="215" t="s">
        <v>525</v>
      </c>
      <c r="C147" s="212">
        <v>42785</v>
      </c>
      <c r="D147" s="212">
        <v>1</v>
      </c>
      <c r="E147" s="212">
        <v>23.95</v>
      </c>
      <c r="F147" s="212">
        <v>8.91</v>
      </c>
      <c r="G147" s="212">
        <v>15.04</v>
      </c>
      <c r="H147" s="216" t="s">
        <v>523</v>
      </c>
      <c r="I147" s="214" t="str">
        <f t="shared" si="2"/>
        <v>Dominican Republic</v>
      </c>
      <c r="J147" s="214"/>
    </row>
    <row r="148" spans="2:10">
      <c r="B148" s="215" t="s">
        <v>530</v>
      </c>
      <c r="C148" s="212">
        <v>42785</v>
      </c>
      <c r="D148" s="212">
        <v>2</v>
      </c>
      <c r="E148" s="212">
        <v>51.98</v>
      </c>
      <c r="F148" s="212">
        <v>18.239999999999998</v>
      </c>
      <c r="G148" s="212">
        <v>33.74</v>
      </c>
      <c r="H148" s="216" t="s">
        <v>524</v>
      </c>
      <c r="I148" s="214" t="str">
        <f t="shared" si="2"/>
        <v>Ecuador</v>
      </c>
      <c r="J148" s="214"/>
    </row>
    <row r="149" spans="2:10">
      <c r="B149" s="215" t="s">
        <v>530</v>
      </c>
      <c r="C149" s="212">
        <v>42785</v>
      </c>
      <c r="D149" s="212">
        <v>2</v>
      </c>
      <c r="E149" s="212">
        <v>51.98</v>
      </c>
      <c r="F149" s="212">
        <v>18.84</v>
      </c>
      <c r="G149" s="212">
        <v>33.14</v>
      </c>
      <c r="H149" s="216" t="s">
        <v>537</v>
      </c>
      <c r="I149" s="214" t="str">
        <f t="shared" si="2"/>
        <v>España</v>
      </c>
      <c r="J149" s="214"/>
    </row>
    <row r="150" spans="2:10">
      <c r="B150" s="215" t="s">
        <v>530</v>
      </c>
      <c r="C150" s="212">
        <v>42785</v>
      </c>
      <c r="D150" s="212">
        <v>3</v>
      </c>
      <c r="E150" s="212">
        <v>77.97</v>
      </c>
      <c r="F150" s="212">
        <v>29.46</v>
      </c>
      <c r="G150" s="212">
        <v>48.51</v>
      </c>
      <c r="H150" s="216" t="s">
        <v>538</v>
      </c>
      <c r="I150" s="214" t="str">
        <f t="shared" si="2"/>
        <v>Estonia</v>
      </c>
      <c r="J150" s="214"/>
    </row>
    <row r="151" spans="2:10">
      <c r="B151" s="215" t="s">
        <v>518</v>
      </c>
      <c r="C151" s="212">
        <v>42787</v>
      </c>
      <c r="D151" s="212">
        <v>2</v>
      </c>
      <c r="E151" s="212">
        <v>47.9</v>
      </c>
      <c r="F151" s="212">
        <v>21.79</v>
      </c>
      <c r="G151" s="212">
        <v>26.11</v>
      </c>
      <c r="H151" s="216" t="s">
        <v>539</v>
      </c>
      <c r="I151" s="214" t="str">
        <f t="shared" si="2"/>
        <v>Finlandia</v>
      </c>
      <c r="J151" s="214"/>
    </row>
    <row r="152" spans="2:10">
      <c r="B152" s="215" t="s">
        <v>530</v>
      </c>
      <c r="C152" s="212">
        <v>42789</v>
      </c>
      <c r="D152" s="212">
        <v>1</v>
      </c>
      <c r="E152" s="212">
        <v>21.95</v>
      </c>
      <c r="F152" s="212">
        <v>9.16</v>
      </c>
      <c r="G152" s="212">
        <v>12.79</v>
      </c>
      <c r="H152" s="216" t="s">
        <v>540</v>
      </c>
      <c r="I152" s="214" t="str">
        <f t="shared" si="2"/>
        <v>Francia</v>
      </c>
      <c r="J152" s="214"/>
    </row>
    <row r="153" spans="2:10">
      <c r="B153" s="215" t="s">
        <v>530</v>
      </c>
      <c r="C153" s="212">
        <v>42786</v>
      </c>
      <c r="D153" s="212">
        <v>4</v>
      </c>
      <c r="E153" s="212">
        <v>87.8</v>
      </c>
      <c r="F153" s="212">
        <v>32.56</v>
      </c>
      <c r="G153" s="212">
        <v>55.24</v>
      </c>
      <c r="H153" s="216" t="s">
        <v>528</v>
      </c>
      <c r="I153" s="214" t="str">
        <f t="shared" si="2"/>
        <v>UK</v>
      </c>
      <c r="J153" s="214"/>
    </row>
    <row r="154" spans="2:10">
      <c r="B154" s="215" t="s">
        <v>530</v>
      </c>
      <c r="C154" s="212">
        <v>42786</v>
      </c>
      <c r="D154" s="212">
        <v>3</v>
      </c>
      <c r="E154" s="212">
        <v>65.849999999999994</v>
      </c>
      <c r="F154" s="212">
        <v>26.71</v>
      </c>
      <c r="G154" s="212">
        <v>39.14</v>
      </c>
      <c r="H154" s="216" t="s">
        <v>529</v>
      </c>
      <c r="I154" s="214" t="str">
        <f t="shared" si="2"/>
        <v>Grecia</v>
      </c>
      <c r="J154" s="214"/>
    </row>
    <row r="155" spans="2:10">
      <c r="B155" s="215" t="s">
        <v>530</v>
      </c>
      <c r="C155" s="212">
        <v>42786</v>
      </c>
      <c r="D155" s="212">
        <v>52</v>
      </c>
      <c r="E155" s="212">
        <v>604.94000000000005</v>
      </c>
      <c r="F155" s="212">
        <v>379.23</v>
      </c>
      <c r="G155" s="212">
        <v>225.71</v>
      </c>
      <c r="H155" s="216" t="s">
        <v>531</v>
      </c>
      <c r="I155" s="214" t="str">
        <f t="shared" si="2"/>
        <v>Hong Kong</v>
      </c>
      <c r="J155" s="214"/>
    </row>
    <row r="156" spans="2:10">
      <c r="B156" s="215" t="s">
        <v>534</v>
      </c>
      <c r="C156" s="212">
        <v>42786</v>
      </c>
      <c r="D156" s="212">
        <v>24</v>
      </c>
      <c r="E156" s="212">
        <v>350.63</v>
      </c>
      <c r="F156" s="212">
        <v>226.04</v>
      </c>
      <c r="G156" s="212">
        <v>124.59</v>
      </c>
      <c r="H156" s="216" t="s">
        <v>543</v>
      </c>
      <c r="I156" s="214" t="str">
        <f t="shared" si="2"/>
        <v>Honduras</v>
      </c>
      <c r="J156" s="214"/>
    </row>
    <row r="157" spans="2:10">
      <c r="B157" s="215" t="s">
        <v>536</v>
      </c>
      <c r="C157" s="212">
        <v>42786</v>
      </c>
      <c r="D157" s="212">
        <v>2</v>
      </c>
      <c r="E157" s="212">
        <v>13.98</v>
      </c>
      <c r="F157" s="212">
        <v>6.24</v>
      </c>
      <c r="G157" s="212">
        <v>7.74</v>
      </c>
      <c r="H157" s="216" t="s">
        <v>544</v>
      </c>
      <c r="I157" s="214" t="str">
        <f t="shared" si="2"/>
        <v>Croatia</v>
      </c>
      <c r="J157" s="214"/>
    </row>
    <row r="158" spans="2:10">
      <c r="B158" s="215" t="s">
        <v>536</v>
      </c>
      <c r="C158" s="212">
        <v>42788</v>
      </c>
      <c r="D158" s="212">
        <v>2</v>
      </c>
      <c r="E158" s="212">
        <v>13.98</v>
      </c>
      <c r="F158" s="212">
        <v>7.15</v>
      </c>
      <c r="G158" s="212">
        <v>6.83</v>
      </c>
      <c r="H158" s="216" t="s">
        <v>532</v>
      </c>
      <c r="I158" s="214" t="str">
        <f t="shared" si="2"/>
        <v>Hungria</v>
      </c>
      <c r="J158" s="214"/>
    </row>
    <row r="159" spans="2:10">
      <c r="B159" s="215" t="s">
        <v>536</v>
      </c>
      <c r="C159" s="212">
        <v>42786</v>
      </c>
      <c r="D159" s="212">
        <v>2</v>
      </c>
      <c r="E159" s="212">
        <v>13.98</v>
      </c>
      <c r="F159" s="212">
        <v>6.57</v>
      </c>
      <c r="G159" s="212">
        <v>7.41</v>
      </c>
      <c r="H159" s="216" t="s">
        <v>533</v>
      </c>
      <c r="I159" s="214" t="str">
        <f t="shared" si="2"/>
        <v>Irlanda</v>
      </c>
      <c r="J159" s="214"/>
    </row>
    <row r="160" spans="2:10">
      <c r="B160" s="215" t="s">
        <v>541</v>
      </c>
      <c r="C160" s="212">
        <v>42789</v>
      </c>
      <c r="D160" s="212">
        <v>4</v>
      </c>
      <c r="E160" s="212">
        <v>104</v>
      </c>
      <c r="F160" s="212">
        <v>37.979999999999997</v>
      </c>
      <c r="G160" s="212">
        <v>66.02</v>
      </c>
      <c r="H160" s="216" t="s">
        <v>535</v>
      </c>
      <c r="I160" s="214" t="str">
        <f t="shared" si="2"/>
        <v>Italia</v>
      </c>
      <c r="J160" s="214"/>
    </row>
    <row r="161" spans="2:10">
      <c r="B161" s="215" t="s">
        <v>541</v>
      </c>
      <c r="C161" s="212">
        <v>42786</v>
      </c>
      <c r="D161" s="212">
        <v>71</v>
      </c>
      <c r="E161" s="212">
        <v>1015.63</v>
      </c>
      <c r="F161" s="212">
        <v>831.94</v>
      </c>
      <c r="G161" s="212">
        <v>183.69</v>
      </c>
      <c r="H161" s="216" t="s">
        <v>545</v>
      </c>
      <c r="I161" s="214" t="str">
        <f t="shared" si="2"/>
        <v>Lithuania</v>
      </c>
      <c r="J161" s="214"/>
    </row>
    <row r="162" spans="2:10">
      <c r="B162" s="215" t="s">
        <v>541</v>
      </c>
      <c r="C162" s="212">
        <v>42786</v>
      </c>
      <c r="D162" s="212">
        <v>3</v>
      </c>
      <c r="E162" s="212">
        <v>80.97</v>
      </c>
      <c r="F162" s="212">
        <v>28.7</v>
      </c>
      <c r="G162" s="212">
        <v>52.27</v>
      </c>
      <c r="H162" s="216" t="s">
        <v>566</v>
      </c>
      <c r="I162" s="214" t="str">
        <f t="shared" si="2"/>
        <v>Luxembourg</v>
      </c>
      <c r="J162" s="214"/>
    </row>
    <row r="163" spans="2:10">
      <c r="B163" s="215" t="s">
        <v>541</v>
      </c>
      <c r="C163" s="212">
        <v>42788</v>
      </c>
      <c r="D163" s="212">
        <v>2</v>
      </c>
      <c r="E163" s="212">
        <v>53.98</v>
      </c>
      <c r="F163" s="212">
        <v>23.01</v>
      </c>
      <c r="G163" s="212">
        <v>30.97</v>
      </c>
      <c r="H163" s="216" t="s">
        <v>567</v>
      </c>
      <c r="I163" s="214" t="str">
        <f t="shared" si="2"/>
        <v>Latvia</v>
      </c>
      <c r="J163" s="214"/>
    </row>
    <row r="164" spans="2:10">
      <c r="B164" s="215" t="s">
        <v>541</v>
      </c>
      <c r="C164" s="212">
        <v>42786</v>
      </c>
      <c r="D164" s="212">
        <v>3</v>
      </c>
      <c r="E164" s="212">
        <v>80.97</v>
      </c>
      <c r="F164" s="212">
        <v>27.74</v>
      </c>
      <c r="G164" s="212">
        <v>53.23</v>
      </c>
      <c r="H164" s="216" t="s">
        <v>568</v>
      </c>
      <c r="I164" s="214" t="str">
        <f t="shared" si="2"/>
        <v>Mexico</v>
      </c>
      <c r="J164" s="214"/>
    </row>
    <row r="165" spans="2:10">
      <c r="B165" s="215" t="s">
        <v>541</v>
      </c>
      <c r="C165" s="212">
        <v>42786</v>
      </c>
      <c r="D165" s="212">
        <v>53</v>
      </c>
      <c r="E165" s="212">
        <v>772.45</v>
      </c>
      <c r="F165" s="212">
        <v>541.26</v>
      </c>
      <c r="G165" s="212">
        <v>231.19</v>
      </c>
      <c r="H165" s="216" t="s">
        <v>546</v>
      </c>
      <c r="I165" s="214" t="str">
        <f t="shared" si="2"/>
        <v>Holanda</v>
      </c>
      <c r="J165" s="214"/>
    </row>
    <row r="166" spans="2:10">
      <c r="B166" s="215" t="s">
        <v>541</v>
      </c>
      <c r="C166" s="212">
        <v>42786</v>
      </c>
      <c r="D166" s="212">
        <v>1</v>
      </c>
      <c r="E166" s="212">
        <v>26.99</v>
      </c>
      <c r="F166" s="212">
        <v>10.210000000000001</v>
      </c>
      <c r="G166" s="212">
        <v>16.78</v>
      </c>
      <c r="H166" s="216" t="s">
        <v>547</v>
      </c>
      <c r="I166" s="214" t="str">
        <f t="shared" si="2"/>
        <v>Norway</v>
      </c>
      <c r="J166" s="214"/>
    </row>
    <row r="167" spans="2:10">
      <c r="B167" s="215" t="s">
        <v>541</v>
      </c>
      <c r="C167" s="212">
        <v>42786</v>
      </c>
      <c r="D167" s="212">
        <v>2</v>
      </c>
      <c r="E167" s="212">
        <v>53.98</v>
      </c>
      <c r="F167" s="212">
        <v>22.79</v>
      </c>
      <c r="G167" s="212">
        <v>31.19</v>
      </c>
      <c r="H167" s="216" t="s">
        <v>548</v>
      </c>
      <c r="I167" s="214" t="str">
        <f t="shared" si="2"/>
        <v>Peru</v>
      </c>
      <c r="J167" s="214"/>
    </row>
    <row r="168" spans="2:10">
      <c r="B168" s="215" t="s">
        <v>542</v>
      </c>
      <c r="C168" s="212">
        <v>42786</v>
      </c>
      <c r="D168" s="212">
        <v>1</v>
      </c>
      <c r="E168" s="212">
        <v>11.95</v>
      </c>
      <c r="F168" s="212">
        <v>5.36</v>
      </c>
      <c r="G168" s="212">
        <v>6.59</v>
      </c>
      <c r="H168" s="216" t="s">
        <v>549</v>
      </c>
      <c r="I168" s="214" t="str">
        <f t="shared" si="2"/>
        <v>Polonia</v>
      </c>
      <c r="J168" s="214"/>
    </row>
    <row r="169" spans="2:10">
      <c r="B169" s="215" t="s">
        <v>534</v>
      </c>
      <c r="C169" s="212">
        <v>42786</v>
      </c>
      <c r="D169" s="212">
        <v>2</v>
      </c>
      <c r="E169" s="212">
        <v>504</v>
      </c>
      <c r="F169" s="212">
        <v>212.53</v>
      </c>
      <c r="G169" s="212">
        <v>291.47000000000003</v>
      </c>
      <c r="H169" s="216" t="s">
        <v>550</v>
      </c>
      <c r="I169" s="214" t="str">
        <f t="shared" si="2"/>
        <v>Portugal</v>
      </c>
      <c r="J169" s="214"/>
    </row>
    <row r="170" spans="2:10">
      <c r="B170" s="215" t="s">
        <v>520</v>
      </c>
      <c r="C170" s="212">
        <v>42786</v>
      </c>
      <c r="D170" s="212">
        <v>2</v>
      </c>
      <c r="E170" s="212">
        <v>57.9</v>
      </c>
      <c r="F170" s="212">
        <v>19.760000000000002</v>
      </c>
      <c r="G170" s="212">
        <v>38.14</v>
      </c>
      <c r="H170" s="216" t="s">
        <v>551</v>
      </c>
      <c r="I170" s="214" t="str">
        <f t="shared" si="2"/>
        <v>Slovakia</v>
      </c>
      <c r="J170" s="214"/>
    </row>
    <row r="171" spans="2:10">
      <c r="B171" s="215" t="s">
        <v>520</v>
      </c>
      <c r="C171" s="212">
        <v>42786</v>
      </c>
      <c r="D171" s="212">
        <v>24</v>
      </c>
      <c r="E171" s="212">
        <v>423.83</v>
      </c>
      <c r="F171" s="212">
        <v>237.15</v>
      </c>
      <c r="G171" s="212">
        <v>186.68</v>
      </c>
      <c r="H171" s="216" t="s">
        <v>552</v>
      </c>
      <c r="I171" s="214" t="str">
        <f t="shared" si="2"/>
        <v>Slovenia</v>
      </c>
      <c r="J171" s="214"/>
    </row>
    <row r="172" spans="2:10">
      <c r="B172" s="215" t="s">
        <v>520</v>
      </c>
      <c r="C172" s="212">
        <v>42786</v>
      </c>
      <c r="D172" s="212">
        <v>3</v>
      </c>
      <c r="E172" s="212">
        <v>77.849999999999994</v>
      </c>
      <c r="F172" s="212">
        <v>35.15</v>
      </c>
      <c r="G172" s="212">
        <v>42.7</v>
      </c>
      <c r="H172" s="216" t="s">
        <v>553</v>
      </c>
      <c r="I172" s="214" t="str">
        <f t="shared" si="2"/>
        <v>Suecia</v>
      </c>
      <c r="J172" s="214"/>
    </row>
    <row r="173" spans="2:10">
      <c r="B173" s="215" t="s">
        <v>520</v>
      </c>
      <c r="C173" s="212">
        <v>42788</v>
      </c>
      <c r="D173" s="212">
        <v>3</v>
      </c>
      <c r="E173" s="212">
        <v>77.849999999999994</v>
      </c>
      <c r="F173" s="212">
        <v>32.22</v>
      </c>
      <c r="G173" s="212">
        <v>45.63</v>
      </c>
      <c r="H173" s="216" t="s">
        <v>554</v>
      </c>
      <c r="I173" s="214" t="str">
        <f t="shared" si="2"/>
        <v>Ucrania</v>
      </c>
      <c r="J173" s="214"/>
    </row>
    <row r="174" spans="2:10">
      <c r="B174" s="215" t="s">
        <v>542</v>
      </c>
      <c r="C174" s="212">
        <v>42786</v>
      </c>
      <c r="D174" s="212">
        <v>1</v>
      </c>
      <c r="E174" s="212">
        <v>41.95</v>
      </c>
      <c r="F174" s="212">
        <v>14.72</v>
      </c>
      <c r="G174" s="212">
        <v>27.23</v>
      </c>
      <c r="H174" s="216" t="s">
        <v>555</v>
      </c>
      <c r="I174" s="214" t="str">
        <f t="shared" si="2"/>
        <v>Ustados Unidos</v>
      </c>
      <c r="J174" s="214"/>
    </row>
    <row r="175" spans="2:10">
      <c r="B175" s="215" t="s">
        <v>536</v>
      </c>
      <c r="C175" s="212">
        <v>42786</v>
      </c>
      <c r="D175" s="212">
        <v>3</v>
      </c>
      <c r="E175" s="212">
        <v>65.849999999999994</v>
      </c>
      <c r="F175" s="212">
        <v>24.39</v>
      </c>
      <c r="G175" s="212">
        <v>41.46</v>
      </c>
      <c r="H175" s="216" t="s">
        <v>556</v>
      </c>
      <c r="I175" s="214" t="str">
        <f t="shared" si="2"/>
        <v>Venezuela</v>
      </c>
      <c r="J175" s="214"/>
    </row>
    <row r="176" spans="2:10">
      <c r="B176" s="215" t="s">
        <v>525</v>
      </c>
      <c r="C176" s="212">
        <v>42786</v>
      </c>
      <c r="D176" s="212">
        <v>3</v>
      </c>
      <c r="E176" s="212">
        <v>71.849999999999994</v>
      </c>
      <c r="F176" s="212">
        <v>28.72</v>
      </c>
      <c r="G176" s="212">
        <v>43.13</v>
      </c>
      <c r="H176" s="216" t="s">
        <v>519</v>
      </c>
      <c r="I176" s="214" t="str">
        <f t="shared" si="2"/>
        <v>Argentina</v>
      </c>
      <c r="J176" s="214"/>
    </row>
    <row r="177" spans="2:10">
      <c r="B177" s="215" t="s">
        <v>525</v>
      </c>
      <c r="C177" s="212">
        <v>42786</v>
      </c>
      <c r="D177" s="212">
        <v>2</v>
      </c>
      <c r="E177" s="212">
        <v>47.9</v>
      </c>
      <c r="F177" s="212">
        <v>19.34</v>
      </c>
      <c r="G177" s="212">
        <v>28.56</v>
      </c>
      <c r="H177" s="216" t="s">
        <v>557</v>
      </c>
      <c r="I177" s="214" t="str">
        <f t="shared" si="2"/>
        <v>Australia</v>
      </c>
      <c r="J177" s="214"/>
    </row>
    <row r="178" spans="2:10">
      <c r="B178" s="215" t="s">
        <v>530</v>
      </c>
      <c r="C178" s="212">
        <v>42786</v>
      </c>
      <c r="D178" s="212">
        <v>1</v>
      </c>
      <c r="E178" s="212">
        <v>25.99</v>
      </c>
      <c r="F178" s="212">
        <v>8.6199999999999992</v>
      </c>
      <c r="G178" s="212">
        <v>17.37</v>
      </c>
      <c r="H178" s="216" t="s">
        <v>558</v>
      </c>
      <c r="I178" s="214" t="str">
        <f t="shared" si="2"/>
        <v>Austria</v>
      </c>
      <c r="J178" s="214"/>
    </row>
    <row r="179" spans="2:10">
      <c r="B179" s="215" t="s">
        <v>530</v>
      </c>
      <c r="C179" s="212">
        <v>42786</v>
      </c>
      <c r="D179" s="212">
        <v>1</v>
      </c>
      <c r="E179" s="212">
        <v>25.99</v>
      </c>
      <c r="F179" s="212">
        <v>9.7200000000000006</v>
      </c>
      <c r="G179" s="212">
        <v>16.27</v>
      </c>
      <c r="H179" s="216" t="s">
        <v>559</v>
      </c>
      <c r="I179" s="214" t="str">
        <f t="shared" si="2"/>
        <v>Belgica</v>
      </c>
      <c r="J179" s="214"/>
    </row>
    <row r="180" spans="2:10">
      <c r="B180" s="215" t="s">
        <v>530</v>
      </c>
      <c r="C180" s="212">
        <v>42786</v>
      </c>
      <c r="D180" s="212">
        <v>1</v>
      </c>
      <c r="E180" s="212">
        <v>25.99</v>
      </c>
      <c r="F180" s="212">
        <v>8.52</v>
      </c>
      <c r="G180" s="212">
        <v>17.47</v>
      </c>
      <c r="H180" s="216" t="s">
        <v>560</v>
      </c>
      <c r="I180" s="214" t="str">
        <f t="shared" si="2"/>
        <v>Bulgaria</v>
      </c>
      <c r="J180" s="214"/>
    </row>
    <row r="181" spans="2:10">
      <c r="B181" s="215" t="s">
        <v>530</v>
      </c>
      <c r="C181" s="212">
        <v>42786</v>
      </c>
      <c r="D181" s="212">
        <v>1</v>
      </c>
      <c r="E181" s="212">
        <v>25.99</v>
      </c>
      <c r="F181" s="212">
        <v>9.82</v>
      </c>
      <c r="G181" s="212">
        <v>16.170000000000002</v>
      </c>
      <c r="H181" s="216" t="s">
        <v>561</v>
      </c>
      <c r="I181" s="214" t="str">
        <f t="shared" si="2"/>
        <v>Brazil</v>
      </c>
      <c r="J181" s="214"/>
    </row>
    <row r="182" spans="2:10">
      <c r="B182" s="215" t="s">
        <v>518</v>
      </c>
      <c r="C182" s="212">
        <v>42788</v>
      </c>
      <c r="D182" s="212">
        <v>2</v>
      </c>
      <c r="E182" s="212">
        <v>47.9</v>
      </c>
      <c r="F182" s="212">
        <v>20.58</v>
      </c>
      <c r="G182" s="212">
        <v>27.32</v>
      </c>
      <c r="H182" s="216" t="s">
        <v>526</v>
      </c>
      <c r="I182" s="214" t="str">
        <f t="shared" si="2"/>
        <v>Canada</v>
      </c>
      <c r="J182" s="214"/>
    </row>
    <row r="183" spans="2:10">
      <c r="B183" s="215" t="s">
        <v>530</v>
      </c>
      <c r="C183" s="212">
        <v>42790</v>
      </c>
      <c r="D183" s="212">
        <v>2</v>
      </c>
      <c r="E183" s="212">
        <v>43.9</v>
      </c>
      <c r="F183" s="212">
        <v>14.42</v>
      </c>
      <c r="G183" s="212">
        <v>29.48</v>
      </c>
      <c r="H183" s="216" t="s">
        <v>527</v>
      </c>
      <c r="I183" s="214" t="str">
        <f t="shared" si="2"/>
        <v>Suiza</v>
      </c>
      <c r="J183" s="214"/>
    </row>
    <row r="184" spans="2:10">
      <c r="B184" s="215" t="s">
        <v>534</v>
      </c>
      <c r="C184" s="212">
        <v>42788</v>
      </c>
      <c r="D184" s="212">
        <v>3</v>
      </c>
      <c r="E184" s="212">
        <v>71.849999999999994</v>
      </c>
      <c r="F184" s="212">
        <v>23.41</v>
      </c>
      <c r="G184" s="212">
        <v>48.44</v>
      </c>
      <c r="H184" s="216" t="s">
        <v>562</v>
      </c>
      <c r="I184" s="214" t="str">
        <f t="shared" si="2"/>
        <v>Chile</v>
      </c>
      <c r="J184" s="214"/>
    </row>
    <row r="185" spans="2:10">
      <c r="B185" s="215" t="s">
        <v>536</v>
      </c>
      <c r="C185" s="212">
        <v>42790</v>
      </c>
      <c r="D185" s="212">
        <v>2</v>
      </c>
      <c r="E185" s="212">
        <v>13.98</v>
      </c>
      <c r="F185" s="212">
        <v>6.63</v>
      </c>
      <c r="G185" s="212">
        <v>7.35</v>
      </c>
      <c r="H185" s="216" t="s">
        <v>521</v>
      </c>
      <c r="I185" s="214" t="str">
        <f t="shared" si="2"/>
        <v>Colombia</v>
      </c>
      <c r="J185" s="214"/>
    </row>
    <row r="186" spans="2:10">
      <c r="B186" s="215" t="s">
        <v>536</v>
      </c>
      <c r="C186" s="212">
        <v>42792</v>
      </c>
      <c r="D186" s="212">
        <v>2</v>
      </c>
      <c r="E186" s="212">
        <v>13.98</v>
      </c>
      <c r="F186" s="212">
        <v>6.7</v>
      </c>
      <c r="G186" s="212">
        <v>7.28</v>
      </c>
      <c r="H186" s="216" t="s">
        <v>563</v>
      </c>
      <c r="I186" s="214" t="str">
        <f t="shared" si="2"/>
        <v>Costa Rica</v>
      </c>
      <c r="J186" s="214"/>
    </row>
    <row r="187" spans="2:10">
      <c r="B187" s="215" t="s">
        <v>536</v>
      </c>
      <c r="C187" s="212">
        <v>42794</v>
      </c>
      <c r="D187" s="212">
        <v>1</v>
      </c>
      <c r="E187" s="212">
        <v>6.99</v>
      </c>
      <c r="F187" s="212">
        <v>3.41</v>
      </c>
      <c r="G187" s="212">
        <v>3.58</v>
      </c>
      <c r="H187" s="216" t="s">
        <v>564</v>
      </c>
      <c r="I187" s="214" t="str">
        <f t="shared" si="2"/>
        <v>Czech Republic</v>
      </c>
      <c r="J187" s="214"/>
    </row>
    <row r="188" spans="2:10">
      <c r="B188" s="215" t="s">
        <v>520</v>
      </c>
      <c r="C188" s="212">
        <v>42796</v>
      </c>
      <c r="D188" s="212">
        <v>3</v>
      </c>
      <c r="E188" s="212">
        <v>86.85</v>
      </c>
      <c r="F188" s="212">
        <v>32.4</v>
      </c>
      <c r="G188" s="212">
        <v>54.45</v>
      </c>
      <c r="H188" s="216" t="s">
        <v>522</v>
      </c>
      <c r="I188" s="214" t="str">
        <f t="shared" si="2"/>
        <v>Germany</v>
      </c>
      <c r="J188" s="214"/>
    </row>
    <row r="189" spans="2:10">
      <c r="B189" s="215" t="s">
        <v>520</v>
      </c>
      <c r="C189" s="212">
        <v>42798</v>
      </c>
      <c r="D189" s="212">
        <v>1</v>
      </c>
      <c r="E189" s="212">
        <v>28.95</v>
      </c>
      <c r="F189" s="212">
        <v>12.52</v>
      </c>
      <c r="G189" s="212">
        <v>16.43</v>
      </c>
      <c r="H189" s="216" t="s">
        <v>565</v>
      </c>
      <c r="I189" s="214" t="str">
        <f t="shared" si="2"/>
        <v>Dinamarca</v>
      </c>
      <c r="J189" s="214"/>
    </row>
    <row r="190" spans="2:10">
      <c r="B190" s="215" t="s">
        <v>520</v>
      </c>
      <c r="C190" s="212">
        <v>42800</v>
      </c>
      <c r="D190" s="212">
        <v>3</v>
      </c>
      <c r="E190" s="212">
        <v>86.85</v>
      </c>
      <c r="F190" s="212">
        <v>35.159999999999997</v>
      </c>
      <c r="G190" s="212">
        <v>51.69</v>
      </c>
      <c r="H190" s="216" t="s">
        <v>523</v>
      </c>
      <c r="I190" s="214" t="str">
        <f t="shared" si="2"/>
        <v>Dominican Republic</v>
      </c>
      <c r="J190" s="214"/>
    </row>
    <row r="191" spans="2:10">
      <c r="B191" s="215" t="s">
        <v>520</v>
      </c>
      <c r="C191" s="212">
        <v>42802</v>
      </c>
      <c r="D191" s="212">
        <v>2</v>
      </c>
      <c r="E191" s="212">
        <v>57.9</v>
      </c>
      <c r="F191" s="212">
        <v>22.06</v>
      </c>
      <c r="G191" s="212">
        <v>35.840000000000003</v>
      </c>
      <c r="H191" s="216" t="s">
        <v>524</v>
      </c>
      <c r="I191" s="214" t="str">
        <f t="shared" si="2"/>
        <v>Ecuador</v>
      </c>
      <c r="J191" s="214"/>
    </row>
    <row r="192" spans="2:10">
      <c r="B192" s="215" t="s">
        <v>520</v>
      </c>
      <c r="C192" s="212">
        <v>42804</v>
      </c>
      <c r="D192" s="212">
        <v>3</v>
      </c>
      <c r="E192" s="212">
        <v>86.85</v>
      </c>
      <c r="F192" s="212">
        <v>35.85</v>
      </c>
      <c r="G192" s="212">
        <v>51</v>
      </c>
      <c r="H192" s="216" t="s">
        <v>537</v>
      </c>
      <c r="I192" s="214" t="str">
        <f t="shared" si="2"/>
        <v>España</v>
      </c>
      <c r="J192" s="214"/>
    </row>
    <row r="193" spans="2:10">
      <c r="B193" s="215" t="s">
        <v>542</v>
      </c>
      <c r="C193" s="212">
        <v>42787</v>
      </c>
      <c r="D193" s="212">
        <v>3</v>
      </c>
      <c r="E193" s="212">
        <v>125.85</v>
      </c>
      <c r="F193" s="212">
        <v>49.92</v>
      </c>
      <c r="G193" s="212">
        <v>75.930000000000007</v>
      </c>
      <c r="H193" s="216" t="s">
        <v>538</v>
      </c>
      <c r="I193" s="214" t="str">
        <f t="shared" si="2"/>
        <v>Estonia</v>
      </c>
      <c r="J193" s="214"/>
    </row>
    <row r="194" spans="2:10">
      <c r="B194" s="215" t="s">
        <v>536</v>
      </c>
      <c r="C194" s="212">
        <v>42789</v>
      </c>
      <c r="D194" s="212">
        <v>2</v>
      </c>
      <c r="E194" s="212">
        <v>43.9</v>
      </c>
      <c r="F194" s="212">
        <v>14.71</v>
      </c>
      <c r="G194" s="212">
        <v>29.19</v>
      </c>
      <c r="H194" s="216" t="s">
        <v>539</v>
      </c>
      <c r="I194" s="214" t="str">
        <f t="shared" si="2"/>
        <v>Finlandia</v>
      </c>
      <c r="J194" s="214"/>
    </row>
    <row r="195" spans="2:10">
      <c r="B195" s="215" t="s">
        <v>525</v>
      </c>
      <c r="C195" s="212">
        <v>42791</v>
      </c>
      <c r="D195" s="212">
        <v>1</v>
      </c>
      <c r="E195" s="212">
        <v>14.5</v>
      </c>
      <c r="F195" s="212">
        <v>5.0999999999999996</v>
      </c>
      <c r="G195" s="212">
        <v>9.4</v>
      </c>
      <c r="H195" s="216" t="s">
        <v>540</v>
      </c>
      <c r="I195" s="214" t="str">
        <f t="shared" si="2"/>
        <v>Francia</v>
      </c>
      <c r="J195" s="214"/>
    </row>
    <row r="196" spans="2:10">
      <c r="B196" s="215" t="s">
        <v>525</v>
      </c>
      <c r="C196" s="212">
        <v>42793</v>
      </c>
      <c r="D196" s="212">
        <v>3</v>
      </c>
      <c r="E196" s="212">
        <v>71.849999999999994</v>
      </c>
      <c r="F196" s="212">
        <v>29.29</v>
      </c>
      <c r="G196" s="212">
        <v>42.56</v>
      </c>
      <c r="H196" s="216" t="s">
        <v>528</v>
      </c>
      <c r="I196" s="214" t="str">
        <f t="shared" si="2"/>
        <v>UK</v>
      </c>
      <c r="J196" s="214"/>
    </row>
    <row r="197" spans="2:10">
      <c r="B197" s="215" t="s">
        <v>518</v>
      </c>
      <c r="C197" s="212">
        <v>42795</v>
      </c>
      <c r="D197" s="212">
        <v>1</v>
      </c>
      <c r="E197" s="212">
        <v>23.95</v>
      </c>
      <c r="F197" s="212">
        <v>11.1</v>
      </c>
      <c r="G197" s="212">
        <v>12.85</v>
      </c>
      <c r="H197" s="216" t="s">
        <v>529</v>
      </c>
      <c r="I197" s="214" t="str">
        <f t="shared" ref="I197:I260" si="3">VLOOKUP(H197,$L$4:$M$46,2,FALSE)</f>
        <v>Grecia</v>
      </c>
      <c r="J197" s="214"/>
    </row>
    <row r="198" spans="2:10">
      <c r="B198" s="215" t="s">
        <v>530</v>
      </c>
      <c r="C198" s="212">
        <v>42797</v>
      </c>
      <c r="D198" s="212">
        <v>4</v>
      </c>
      <c r="E198" s="212">
        <v>87.8</v>
      </c>
      <c r="F198" s="212">
        <v>30.53</v>
      </c>
      <c r="G198" s="212">
        <v>57.27</v>
      </c>
      <c r="H198" s="216" t="s">
        <v>531</v>
      </c>
      <c r="I198" s="214" t="str">
        <f t="shared" si="3"/>
        <v>Hong Kong</v>
      </c>
      <c r="J198" s="214"/>
    </row>
    <row r="199" spans="2:10">
      <c r="B199" s="215" t="s">
        <v>536</v>
      </c>
      <c r="C199" s="212">
        <v>42799</v>
      </c>
      <c r="D199" s="212">
        <v>1</v>
      </c>
      <c r="E199" s="212">
        <v>6.99</v>
      </c>
      <c r="F199" s="212">
        <v>2.89</v>
      </c>
      <c r="G199" s="212">
        <v>4.0999999999999996</v>
      </c>
      <c r="H199" s="216" t="s">
        <v>543</v>
      </c>
      <c r="I199" s="214" t="str">
        <f t="shared" si="3"/>
        <v>Honduras</v>
      </c>
      <c r="J199" s="214"/>
    </row>
    <row r="200" spans="2:10">
      <c r="B200" s="215" t="s">
        <v>536</v>
      </c>
      <c r="C200" s="212">
        <v>42801</v>
      </c>
      <c r="D200" s="212">
        <v>48</v>
      </c>
      <c r="E200" s="212">
        <v>171.12</v>
      </c>
      <c r="F200" s="212">
        <v>143.52000000000001</v>
      </c>
      <c r="G200" s="212">
        <v>27.6</v>
      </c>
      <c r="H200" s="216" t="s">
        <v>544</v>
      </c>
      <c r="I200" s="214" t="str">
        <f t="shared" si="3"/>
        <v>Croatia</v>
      </c>
      <c r="J200" s="214"/>
    </row>
    <row r="201" spans="2:10">
      <c r="B201" s="215" t="s">
        <v>541</v>
      </c>
      <c r="C201" s="212">
        <v>42803</v>
      </c>
      <c r="D201" s="212">
        <v>72</v>
      </c>
      <c r="E201" s="212">
        <v>971.64</v>
      </c>
      <c r="F201" s="212">
        <v>735.3</v>
      </c>
      <c r="G201" s="212">
        <v>236.34</v>
      </c>
      <c r="H201" s="216" t="s">
        <v>532</v>
      </c>
      <c r="I201" s="214" t="str">
        <f t="shared" si="3"/>
        <v>Hungria</v>
      </c>
      <c r="J201" s="214"/>
    </row>
    <row r="202" spans="2:10">
      <c r="B202" s="215" t="s">
        <v>541</v>
      </c>
      <c r="C202" s="212">
        <v>42805</v>
      </c>
      <c r="D202" s="212">
        <v>1</v>
      </c>
      <c r="E202" s="212">
        <v>26.99</v>
      </c>
      <c r="F202" s="212">
        <v>10.75</v>
      </c>
      <c r="G202" s="212">
        <v>16.239999999999998</v>
      </c>
      <c r="H202" s="216" t="s">
        <v>533</v>
      </c>
      <c r="I202" s="214" t="str">
        <f t="shared" si="3"/>
        <v>Irlanda</v>
      </c>
      <c r="J202" s="214"/>
    </row>
    <row r="203" spans="2:10">
      <c r="B203" s="215" t="s">
        <v>542</v>
      </c>
      <c r="C203" s="212">
        <v>42807</v>
      </c>
      <c r="D203" s="212">
        <v>2</v>
      </c>
      <c r="E203" s="212">
        <v>39.9</v>
      </c>
      <c r="F203" s="212">
        <v>17.850000000000001</v>
      </c>
      <c r="G203" s="212">
        <v>22.05</v>
      </c>
      <c r="H203" s="216" t="s">
        <v>535</v>
      </c>
      <c r="I203" s="214" t="str">
        <f t="shared" si="3"/>
        <v>Italia</v>
      </c>
      <c r="J203" s="214"/>
    </row>
    <row r="204" spans="2:10">
      <c r="B204" s="215" t="s">
        <v>520</v>
      </c>
      <c r="C204" s="212">
        <v>42809</v>
      </c>
      <c r="D204" s="212">
        <v>1</v>
      </c>
      <c r="E204" s="212">
        <v>25.95</v>
      </c>
      <c r="F204" s="212">
        <v>11.83</v>
      </c>
      <c r="G204" s="212">
        <v>14.12</v>
      </c>
      <c r="H204" s="216" t="s">
        <v>545</v>
      </c>
      <c r="I204" s="214" t="str">
        <f t="shared" si="3"/>
        <v>Lithuania</v>
      </c>
      <c r="J204" s="214"/>
    </row>
    <row r="205" spans="2:10">
      <c r="B205" s="215" t="s">
        <v>518</v>
      </c>
      <c r="C205" s="212">
        <v>42811</v>
      </c>
      <c r="D205" s="212">
        <v>38</v>
      </c>
      <c r="E205" s="212">
        <v>573.36</v>
      </c>
      <c r="F205" s="212">
        <v>360.41</v>
      </c>
      <c r="G205" s="212">
        <v>212.95</v>
      </c>
      <c r="H205" s="216" t="s">
        <v>566</v>
      </c>
      <c r="I205" s="214" t="str">
        <f t="shared" si="3"/>
        <v>Luxembourg</v>
      </c>
      <c r="J205" s="214"/>
    </row>
    <row r="206" spans="2:10">
      <c r="B206" s="215" t="s">
        <v>530</v>
      </c>
      <c r="C206" s="212">
        <v>42813</v>
      </c>
      <c r="D206" s="212">
        <v>2</v>
      </c>
      <c r="E206" s="212">
        <v>43.9</v>
      </c>
      <c r="F206" s="212">
        <v>14.76</v>
      </c>
      <c r="G206" s="212">
        <v>29.14</v>
      </c>
      <c r="H206" s="216" t="s">
        <v>567</v>
      </c>
      <c r="I206" s="214" t="str">
        <f t="shared" si="3"/>
        <v>Latvia</v>
      </c>
      <c r="J206" s="214"/>
    </row>
    <row r="207" spans="2:10">
      <c r="B207" s="215" t="s">
        <v>536</v>
      </c>
      <c r="C207" s="212">
        <v>42815</v>
      </c>
      <c r="D207" s="212">
        <v>1</v>
      </c>
      <c r="E207" s="212">
        <v>6.99</v>
      </c>
      <c r="F207" s="212">
        <v>3.48</v>
      </c>
      <c r="G207" s="212">
        <v>3.51</v>
      </c>
      <c r="H207" s="216" t="s">
        <v>568</v>
      </c>
      <c r="I207" s="214" t="str">
        <f t="shared" si="3"/>
        <v>Mexico</v>
      </c>
      <c r="J207" s="214"/>
    </row>
    <row r="208" spans="2:10">
      <c r="B208" s="215" t="s">
        <v>536</v>
      </c>
      <c r="C208" s="212">
        <v>42817</v>
      </c>
      <c r="D208" s="212">
        <v>4</v>
      </c>
      <c r="E208" s="212">
        <v>27.96</v>
      </c>
      <c r="F208" s="212">
        <v>14.04</v>
      </c>
      <c r="G208" s="212">
        <v>13.92</v>
      </c>
      <c r="H208" s="216" t="s">
        <v>546</v>
      </c>
      <c r="I208" s="214" t="str">
        <f t="shared" si="3"/>
        <v>Holanda</v>
      </c>
      <c r="J208" s="214"/>
    </row>
    <row r="209" spans="2:10">
      <c r="B209" s="215" t="s">
        <v>536</v>
      </c>
      <c r="C209" s="212">
        <v>42819</v>
      </c>
      <c r="D209" s="212">
        <v>2</v>
      </c>
      <c r="E209" s="212">
        <v>13.98</v>
      </c>
      <c r="F209" s="212">
        <v>5.53</v>
      </c>
      <c r="G209" s="212">
        <v>8.4499999999999993</v>
      </c>
      <c r="H209" s="216" t="s">
        <v>547</v>
      </c>
      <c r="I209" s="214" t="str">
        <f t="shared" si="3"/>
        <v>Norway</v>
      </c>
      <c r="J209" s="214"/>
    </row>
    <row r="210" spans="2:10">
      <c r="B210" s="215" t="s">
        <v>541</v>
      </c>
      <c r="C210" s="212">
        <v>42816</v>
      </c>
      <c r="D210" s="212">
        <v>2</v>
      </c>
      <c r="E210" s="212">
        <v>52</v>
      </c>
      <c r="F210" s="212">
        <v>24.07</v>
      </c>
      <c r="G210" s="212">
        <v>27.93</v>
      </c>
      <c r="H210" s="216" t="s">
        <v>548</v>
      </c>
      <c r="I210" s="214" t="str">
        <f t="shared" si="3"/>
        <v>Peru</v>
      </c>
      <c r="J210" s="214"/>
    </row>
    <row r="211" spans="2:10">
      <c r="B211" s="215" t="s">
        <v>520</v>
      </c>
      <c r="C211" s="212">
        <v>42818</v>
      </c>
      <c r="D211" s="212">
        <v>1</v>
      </c>
      <c r="E211" s="212">
        <v>28.95</v>
      </c>
      <c r="F211" s="212">
        <v>10.69</v>
      </c>
      <c r="G211" s="212">
        <v>18.260000000000002</v>
      </c>
      <c r="H211" s="216" t="s">
        <v>549</v>
      </c>
      <c r="I211" s="214" t="str">
        <f t="shared" si="3"/>
        <v>Polonia</v>
      </c>
      <c r="J211" s="214"/>
    </row>
    <row r="212" spans="2:10">
      <c r="B212" s="215" t="s">
        <v>520</v>
      </c>
      <c r="C212" s="212">
        <v>42820</v>
      </c>
      <c r="D212" s="212">
        <v>2</v>
      </c>
      <c r="E212" s="212">
        <v>57.9</v>
      </c>
      <c r="F212" s="212">
        <v>25.05</v>
      </c>
      <c r="G212" s="212">
        <v>32.85</v>
      </c>
      <c r="H212" s="216" t="s">
        <v>550</v>
      </c>
      <c r="I212" s="214" t="str">
        <f t="shared" si="3"/>
        <v>Portugal</v>
      </c>
      <c r="J212" s="214"/>
    </row>
    <row r="213" spans="2:10">
      <c r="B213" s="215" t="s">
        <v>520</v>
      </c>
      <c r="C213" s="212">
        <v>42822</v>
      </c>
      <c r="D213" s="212">
        <v>1</v>
      </c>
      <c r="E213" s="212">
        <v>28.95</v>
      </c>
      <c r="F213" s="212">
        <v>10.23</v>
      </c>
      <c r="G213" s="212">
        <v>18.72</v>
      </c>
      <c r="H213" s="216" t="s">
        <v>551</v>
      </c>
      <c r="I213" s="214" t="str">
        <f t="shared" si="3"/>
        <v>Slovakia</v>
      </c>
      <c r="J213" s="214"/>
    </row>
    <row r="214" spans="2:10">
      <c r="B214" s="215" t="s">
        <v>520</v>
      </c>
      <c r="C214" s="212">
        <v>42824</v>
      </c>
      <c r="D214" s="212">
        <v>2</v>
      </c>
      <c r="E214" s="212">
        <v>244</v>
      </c>
      <c r="F214" s="212">
        <v>84.63</v>
      </c>
      <c r="G214" s="212">
        <v>159.37</v>
      </c>
      <c r="H214" s="216" t="s">
        <v>552</v>
      </c>
      <c r="I214" s="214" t="str">
        <f t="shared" si="3"/>
        <v>Slovenia</v>
      </c>
      <c r="J214" s="214"/>
    </row>
    <row r="215" spans="2:10">
      <c r="B215" s="215" t="s">
        <v>520</v>
      </c>
      <c r="C215" s="212">
        <v>42826</v>
      </c>
      <c r="D215" s="212">
        <v>2</v>
      </c>
      <c r="E215" s="212">
        <v>57.9</v>
      </c>
      <c r="F215" s="212">
        <v>21.83</v>
      </c>
      <c r="G215" s="212">
        <v>36.07</v>
      </c>
      <c r="H215" s="216" t="s">
        <v>553</v>
      </c>
      <c r="I215" s="214" t="str">
        <f t="shared" si="3"/>
        <v>Suecia</v>
      </c>
      <c r="J215" s="214"/>
    </row>
    <row r="216" spans="2:10">
      <c r="B216" s="215" t="s">
        <v>542</v>
      </c>
      <c r="C216" s="212">
        <v>42828</v>
      </c>
      <c r="D216" s="212">
        <v>2</v>
      </c>
      <c r="E216" s="212">
        <v>83.9</v>
      </c>
      <c r="F216" s="212">
        <v>35.200000000000003</v>
      </c>
      <c r="G216" s="212">
        <v>48.7</v>
      </c>
      <c r="H216" s="216" t="s">
        <v>554</v>
      </c>
      <c r="I216" s="214" t="str">
        <f t="shared" si="3"/>
        <v>Ucrania</v>
      </c>
      <c r="J216" s="214"/>
    </row>
    <row r="217" spans="2:10">
      <c r="B217" s="215" t="s">
        <v>536</v>
      </c>
      <c r="C217" s="212">
        <v>42830</v>
      </c>
      <c r="D217" s="212">
        <v>60</v>
      </c>
      <c r="E217" s="212">
        <v>724.35</v>
      </c>
      <c r="F217" s="212">
        <v>498.24</v>
      </c>
      <c r="G217" s="212">
        <v>226.11</v>
      </c>
      <c r="H217" s="216" t="s">
        <v>555</v>
      </c>
      <c r="I217" s="214" t="str">
        <f t="shared" si="3"/>
        <v>Ustados Unidos</v>
      </c>
      <c r="J217" s="214"/>
    </row>
    <row r="218" spans="2:10">
      <c r="B218" s="215" t="s">
        <v>525</v>
      </c>
      <c r="C218" s="212">
        <v>42832</v>
      </c>
      <c r="D218" s="212">
        <v>53</v>
      </c>
      <c r="E218" s="212">
        <v>407.31</v>
      </c>
      <c r="F218" s="212">
        <v>273.48</v>
      </c>
      <c r="G218" s="212">
        <v>133.83000000000001</v>
      </c>
      <c r="H218" s="216" t="s">
        <v>556</v>
      </c>
      <c r="I218" s="214" t="str">
        <f t="shared" si="3"/>
        <v>Venezuela</v>
      </c>
      <c r="J218" s="214"/>
    </row>
    <row r="219" spans="2:10">
      <c r="B219" s="215" t="s">
        <v>525</v>
      </c>
      <c r="C219" s="212">
        <v>42834</v>
      </c>
      <c r="D219" s="212">
        <v>50</v>
      </c>
      <c r="E219" s="212">
        <v>598.75</v>
      </c>
      <c r="F219" s="212">
        <v>417.12</v>
      </c>
      <c r="G219" s="212">
        <v>181.63</v>
      </c>
      <c r="H219" s="216" t="s">
        <v>519</v>
      </c>
      <c r="I219" s="214" t="str">
        <f t="shared" si="3"/>
        <v>Argentina</v>
      </c>
      <c r="J219" s="214"/>
    </row>
    <row r="220" spans="2:10">
      <c r="B220" s="215" t="s">
        <v>518</v>
      </c>
      <c r="C220" s="212">
        <v>42836</v>
      </c>
      <c r="D220" s="212">
        <v>1</v>
      </c>
      <c r="E220" s="212">
        <v>23.95</v>
      </c>
      <c r="F220" s="212">
        <v>10.19</v>
      </c>
      <c r="G220" s="212">
        <v>13.76</v>
      </c>
      <c r="H220" s="216" t="s">
        <v>557</v>
      </c>
      <c r="I220" s="214" t="str">
        <f t="shared" si="3"/>
        <v>Australia</v>
      </c>
      <c r="J220" s="214"/>
    </row>
    <row r="221" spans="2:10">
      <c r="B221" s="215" t="s">
        <v>530</v>
      </c>
      <c r="C221" s="212">
        <v>42838</v>
      </c>
      <c r="D221" s="212">
        <v>2</v>
      </c>
      <c r="E221" s="212">
        <v>43.9</v>
      </c>
      <c r="F221" s="212">
        <v>18.489999999999998</v>
      </c>
      <c r="G221" s="212">
        <v>25.41</v>
      </c>
      <c r="H221" s="216" t="s">
        <v>558</v>
      </c>
      <c r="I221" s="214" t="str">
        <f t="shared" si="3"/>
        <v>Austria</v>
      </c>
      <c r="J221" s="214"/>
    </row>
    <row r="222" spans="2:10">
      <c r="B222" s="215" t="s">
        <v>536</v>
      </c>
      <c r="C222" s="212">
        <v>42840</v>
      </c>
      <c r="D222" s="212">
        <v>2</v>
      </c>
      <c r="E222" s="212">
        <v>13.98</v>
      </c>
      <c r="F222" s="212">
        <v>5.66</v>
      </c>
      <c r="G222" s="212">
        <v>8.32</v>
      </c>
      <c r="H222" s="216" t="s">
        <v>559</v>
      </c>
      <c r="I222" s="214" t="str">
        <f t="shared" si="3"/>
        <v>Belgica</v>
      </c>
      <c r="J222" s="214"/>
    </row>
    <row r="223" spans="2:10">
      <c r="B223" s="215" t="s">
        <v>536</v>
      </c>
      <c r="C223" s="212">
        <v>42842</v>
      </c>
      <c r="D223" s="212">
        <v>1</v>
      </c>
      <c r="E223" s="212">
        <v>6.99</v>
      </c>
      <c r="F223" s="212">
        <v>3.19</v>
      </c>
      <c r="G223" s="212">
        <v>3.8</v>
      </c>
      <c r="H223" s="216" t="s">
        <v>560</v>
      </c>
      <c r="I223" s="214" t="str">
        <f t="shared" si="3"/>
        <v>Bulgaria</v>
      </c>
      <c r="J223" s="214"/>
    </row>
    <row r="224" spans="2:10">
      <c r="B224" s="215" t="s">
        <v>541</v>
      </c>
      <c r="C224" s="212">
        <v>42844</v>
      </c>
      <c r="D224" s="212">
        <v>1</v>
      </c>
      <c r="E224" s="212">
        <v>26.99</v>
      </c>
      <c r="F224" s="212">
        <v>10.210000000000001</v>
      </c>
      <c r="G224" s="212">
        <v>16.78</v>
      </c>
      <c r="H224" s="216" t="s">
        <v>561</v>
      </c>
      <c r="I224" s="214" t="str">
        <f t="shared" si="3"/>
        <v>Brazil</v>
      </c>
      <c r="J224" s="214"/>
    </row>
    <row r="225" spans="2:10">
      <c r="B225" s="215" t="s">
        <v>541</v>
      </c>
      <c r="C225" s="212">
        <v>42846</v>
      </c>
      <c r="D225" s="212">
        <v>3</v>
      </c>
      <c r="E225" s="212">
        <v>80.97</v>
      </c>
      <c r="F225" s="212">
        <v>27.74</v>
      </c>
      <c r="G225" s="212">
        <v>53.23</v>
      </c>
      <c r="H225" s="216" t="s">
        <v>526</v>
      </c>
      <c r="I225" s="214" t="str">
        <f t="shared" si="3"/>
        <v>Canada</v>
      </c>
      <c r="J225" s="214"/>
    </row>
    <row r="226" spans="2:10">
      <c r="B226" s="215" t="s">
        <v>542</v>
      </c>
      <c r="C226" s="212">
        <v>42848</v>
      </c>
      <c r="D226" s="212">
        <v>2</v>
      </c>
      <c r="E226" s="212">
        <v>39.9</v>
      </c>
      <c r="F226" s="212">
        <v>17.850000000000001</v>
      </c>
      <c r="G226" s="212">
        <v>22.05</v>
      </c>
      <c r="H226" s="216" t="s">
        <v>527</v>
      </c>
      <c r="I226" s="214" t="str">
        <f t="shared" si="3"/>
        <v>Suiza</v>
      </c>
      <c r="J226" s="214"/>
    </row>
    <row r="227" spans="2:10">
      <c r="B227" s="215" t="s">
        <v>520</v>
      </c>
      <c r="C227" s="212">
        <v>42850</v>
      </c>
      <c r="D227" s="212">
        <v>1</v>
      </c>
      <c r="E227" s="212">
        <v>25.95</v>
      </c>
      <c r="F227" s="212">
        <v>9.8699999999999992</v>
      </c>
      <c r="G227" s="212">
        <v>16.079999999999998</v>
      </c>
      <c r="H227" s="216" t="s">
        <v>562</v>
      </c>
      <c r="I227" s="214" t="str">
        <f t="shared" si="3"/>
        <v>Chile</v>
      </c>
      <c r="J227" s="214"/>
    </row>
    <row r="228" spans="2:10">
      <c r="B228" s="215" t="s">
        <v>518</v>
      </c>
      <c r="C228" s="212">
        <v>42852</v>
      </c>
      <c r="D228" s="212">
        <v>2</v>
      </c>
      <c r="E228" s="212">
        <v>47.9</v>
      </c>
      <c r="F228" s="212">
        <v>17.760000000000002</v>
      </c>
      <c r="G228" s="212">
        <v>30.14</v>
      </c>
      <c r="H228" s="216" t="s">
        <v>521</v>
      </c>
      <c r="I228" s="214" t="str">
        <f t="shared" si="3"/>
        <v>Colombia</v>
      </c>
      <c r="J228" s="214"/>
    </row>
    <row r="229" spans="2:10">
      <c r="B229" s="215" t="s">
        <v>530</v>
      </c>
      <c r="C229" s="212">
        <v>42854</v>
      </c>
      <c r="D229" s="212">
        <v>3</v>
      </c>
      <c r="E229" s="212">
        <v>65.849999999999994</v>
      </c>
      <c r="F229" s="212">
        <v>27.98</v>
      </c>
      <c r="G229" s="212">
        <v>37.869999999999997</v>
      </c>
      <c r="H229" s="216" t="s">
        <v>563</v>
      </c>
      <c r="I229" s="214" t="str">
        <f t="shared" si="3"/>
        <v>Costa Rica</v>
      </c>
      <c r="J229" s="214"/>
    </row>
    <row r="230" spans="2:10">
      <c r="B230" s="215" t="s">
        <v>536</v>
      </c>
      <c r="C230" s="212">
        <v>42856</v>
      </c>
      <c r="D230" s="212">
        <v>53</v>
      </c>
      <c r="E230" s="212">
        <v>200.05</v>
      </c>
      <c r="F230" s="212">
        <v>161.91999999999999</v>
      </c>
      <c r="G230" s="212">
        <v>38.130000000000003</v>
      </c>
      <c r="H230" s="216" t="s">
        <v>564</v>
      </c>
      <c r="I230" s="214" t="str">
        <f t="shared" si="3"/>
        <v>Czech Republic</v>
      </c>
      <c r="J230" s="214"/>
    </row>
    <row r="231" spans="2:10">
      <c r="B231" s="215" t="s">
        <v>536</v>
      </c>
      <c r="C231" s="212">
        <v>42858</v>
      </c>
      <c r="D231" s="212">
        <v>1</v>
      </c>
      <c r="E231" s="212">
        <v>6.99</v>
      </c>
      <c r="F231" s="212">
        <v>3.45</v>
      </c>
      <c r="G231" s="212">
        <v>3.54</v>
      </c>
      <c r="H231" s="216" t="s">
        <v>522</v>
      </c>
      <c r="I231" s="214" t="str">
        <f t="shared" si="3"/>
        <v>Germany</v>
      </c>
      <c r="J231" s="214"/>
    </row>
    <row r="232" spans="2:10">
      <c r="B232" s="215" t="s">
        <v>536</v>
      </c>
      <c r="C232" s="212">
        <v>42860</v>
      </c>
      <c r="D232" s="212">
        <v>3</v>
      </c>
      <c r="E232" s="212">
        <v>20.97</v>
      </c>
      <c r="F232" s="212">
        <v>9.4600000000000009</v>
      </c>
      <c r="G232" s="212">
        <v>11.51</v>
      </c>
      <c r="H232" s="216" t="s">
        <v>565</v>
      </c>
      <c r="I232" s="214" t="str">
        <f t="shared" si="3"/>
        <v>Dinamarca</v>
      </c>
      <c r="J232" s="214"/>
    </row>
    <row r="233" spans="2:10">
      <c r="B233" s="215" t="s">
        <v>541</v>
      </c>
      <c r="C233" s="212">
        <v>42858</v>
      </c>
      <c r="D233" s="212">
        <v>4</v>
      </c>
      <c r="E233" s="212">
        <v>104</v>
      </c>
      <c r="F233" s="212">
        <v>40.630000000000003</v>
      </c>
      <c r="G233" s="212">
        <v>63.37</v>
      </c>
      <c r="H233" s="216" t="s">
        <v>523</v>
      </c>
      <c r="I233" s="214" t="str">
        <f t="shared" si="3"/>
        <v>Dominican Republic</v>
      </c>
      <c r="J233" s="214"/>
    </row>
    <row r="234" spans="2:10">
      <c r="B234" s="215" t="s">
        <v>520</v>
      </c>
      <c r="C234" s="212">
        <v>42860</v>
      </c>
      <c r="D234" s="212">
        <v>2</v>
      </c>
      <c r="E234" s="212">
        <v>244</v>
      </c>
      <c r="F234" s="212">
        <v>84.63</v>
      </c>
      <c r="G234" s="212">
        <v>159.37</v>
      </c>
      <c r="H234" s="216" t="s">
        <v>524</v>
      </c>
      <c r="I234" s="214" t="str">
        <f t="shared" si="3"/>
        <v>Ecuador</v>
      </c>
      <c r="J234" s="214"/>
    </row>
    <row r="235" spans="2:10">
      <c r="B235" s="215" t="s">
        <v>520</v>
      </c>
      <c r="C235" s="212">
        <v>42862</v>
      </c>
      <c r="D235" s="212">
        <v>1</v>
      </c>
      <c r="E235" s="212">
        <v>28.95</v>
      </c>
      <c r="F235" s="212">
        <v>12.06</v>
      </c>
      <c r="G235" s="212">
        <v>16.89</v>
      </c>
      <c r="H235" s="216" t="s">
        <v>537</v>
      </c>
      <c r="I235" s="214" t="str">
        <f t="shared" si="3"/>
        <v>España</v>
      </c>
      <c r="J235" s="214"/>
    </row>
    <row r="236" spans="2:10">
      <c r="B236" s="215" t="s">
        <v>520</v>
      </c>
      <c r="C236" s="212">
        <v>42864</v>
      </c>
      <c r="D236" s="212">
        <v>1</v>
      </c>
      <c r="E236" s="212">
        <v>28.95</v>
      </c>
      <c r="F236" s="212">
        <v>10.34</v>
      </c>
      <c r="G236" s="212">
        <v>18.61</v>
      </c>
      <c r="H236" s="216" t="s">
        <v>538</v>
      </c>
      <c r="I236" s="214" t="str">
        <f t="shared" si="3"/>
        <v>Estonia</v>
      </c>
      <c r="J236" s="214"/>
    </row>
    <row r="237" spans="2:10">
      <c r="B237" s="215" t="s">
        <v>520</v>
      </c>
      <c r="C237" s="212">
        <v>42866</v>
      </c>
      <c r="D237" s="212">
        <v>1</v>
      </c>
      <c r="E237" s="212">
        <v>28.95</v>
      </c>
      <c r="F237" s="212">
        <v>10.92</v>
      </c>
      <c r="G237" s="212">
        <v>18.03</v>
      </c>
      <c r="H237" s="216" t="s">
        <v>539</v>
      </c>
      <c r="I237" s="214" t="str">
        <f t="shared" si="3"/>
        <v>Finlandia</v>
      </c>
      <c r="J237" s="214"/>
    </row>
    <row r="238" spans="2:10">
      <c r="B238" s="215" t="s">
        <v>520</v>
      </c>
      <c r="C238" s="212">
        <v>42868</v>
      </c>
      <c r="D238" s="212">
        <v>2</v>
      </c>
      <c r="E238" s="212">
        <v>57.9</v>
      </c>
      <c r="F238" s="212">
        <v>20.68</v>
      </c>
      <c r="G238" s="212">
        <v>37.22</v>
      </c>
      <c r="H238" s="216" t="s">
        <v>540</v>
      </c>
      <c r="I238" s="214" t="str">
        <f t="shared" si="3"/>
        <v>Francia</v>
      </c>
      <c r="J238" s="214"/>
    </row>
    <row r="239" spans="2:10">
      <c r="B239" s="215" t="s">
        <v>542</v>
      </c>
      <c r="C239" s="212">
        <v>42870</v>
      </c>
      <c r="D239" s="212">
        <v>4</v>
      </c>
      <c r="E239" s="212">
        <v>167.8</v>
      </c>
      <c r="F239" s="212">
        <v>56.96</v>
      </c>
      <c r="G239" s="212">
        <v>110.84</v>
      </c>
      <c r="H239" s="216" t="s">
        <v>528</v>
      </c>
      <c r="I239" s="214" t="str">
        <f t="shared" si="3"/>
        <v>UK</v>
      </c>
      <c r="J239" s="214"/>
    </row>
    <row r="240" spans="2:10">
      <c r="B240" s="215" t="s">
        <v>536</v>
      </c>
      <c r="C240" s="212">
        <v>42872</v>
      </c>
      <c r="D240" s="212">
        <v>1</v>
      </c>
      <c r="E240" s="212">
        <v>21.95</v>
      </c>
      <c r="F240" s="212">
        <v>7.53</v>
      </c>
      <c r="G240" s="212">
        <v>14.42</v>
      </c>
      <c r="H240" s="216" t="s">
        <v>529</v>
      </c>
      <c r="I240" s="214" t="str">
        <f t="shared" si="3"/>
        <v>Grecia</v>
      </c>
      <c r="J240" s="214"/>
    </row>
    <row r="241" spans="2:10">
      <c r="B241" s="215" t="s">
        <v>525</v>
      </c>
      <c r="C241" s="212">
        <v>42874</v>
      </c>
      <c r="D241" s="212">
        <v>3</v>
      </c>
      <c r="E241" s="212">
        <v>43.5</v>
      </c>
      <c r="F241" s="212">
        <v>19.260000000000002</v>
      </c>
      <c r="G241" s="212">
        <v>24.24</v>
      </c>
      <c r="H241" s="216" t="s">
        <v>531</v>
      </c>
      <c r="I241" s="214" t="str">
        <f t="shared" si="3"/>
        <v>Hong Kong</v>
      </c>
      <c r="J241" s="214"/>
    </row>
    <row r="242" spans="2:10">
      <c r="B242" s="215" t="s">
        <v>525</v>
      </c>
      <c r="C242" s="212">
        <v>42876</v>
      </c>
      <c r="D242" s="212">
        <v>2</v>
      </c>
      <c r="E242" s="212">
        <v>47.9</v>
      </c>
      <c r="F242" s="212">
        <v>20.86</v>
      </c>
      <c r="G242" s="212">
        <v>27.04</v>
      </c>
      <c r="H242" s="216" t="s">
        <v>543</v>
      </c>
      <c r="I242" s="214" t="str">
        <f t="shared" si="3"/>
        <v>Honduras</v>
      </c>
      <c r="J242" s="214"/>
    </row>
    <row r="243" spans="2:10">
      <c r="B243" s="215" t="s">
        <v>518</v>
      </c>
      <c r="C243" s="212">
        <v>42878</v>
      </c>
      <c r="D243" s="212">
        <v>5</v>
      </c>
      <c r="E243" s="212">
        <v>119.75</v>
      </c>
      <c r="F243" s="212">
        <v>48.43</v>
      </c>
      <c r="G243" s="212">
        <v>71.319999999999993</v>
      </c>
      <c r="H243" s="216" t="s">
        <v>544</v>
      </c>
      <c r="I243" s="214" t="str">
        <f t="shared" si="3"/>
        <v>Croatia</v>
      </c>
      <c r="J243" s="214"/>
    </row>
    <row r="244" spans="2:10">
      <c r="B244" s="215" t="s">
        <v>530</v>
      </c>
      <c r="C244" s="212">
        <v>42880</v>
      </c>
      <c r="D244" s="212">
        <v>2</v>
      </c>
      <c r="E244" s="212">
        <v>43.9</v>
      </c>
      <c r="F244" s="212">
        <v>17.98</v>
      </c>
      <c r="G244" s="212">
        <v>25.92</v>
      </c>
      <c r="H244" s="216" t="s">
        <v>532</v>
      </c>
      <c r="I244" s="214" t="str">
        <f t="shared" si="3"/>
        <v>Hungria</v>
      </c>
      <c r="J244" s="214"/>
    </row>
    <row r="245" spans="2:10">
      <c r="B245" s="215" t="s">
        <v>536</v>
      </c>
      <c r="C245" s="212">
        <v>42882</v>
      </c>
      <c r="D245" s="212">
        <v>2</v>
      </c>
      <c r="E245" s="212">
        <v>13.98</v>
      </c>
      <c r="F245" s="212">
        <v>6.18</v>
      </c>
      <c r="G245" s="212">
        <v>7.8</v>
      </c>
      <c r="H245" s="216" t="s">
        <v>533</v>
      </c>
      <c r="I245" s="214" t="str">
        <f t="shared" si="3"/>
        <v>Irlanda</v>
      </c>
      <c r="J245" s="214"/>
    </row>
    <row r="246" spans="2:10">
      <c r="B246" s="215" t="s">
        <v>536</v>
      </c>
      <c r="C246" s="212">
        <v>42884</v>
      </c>
      <c r="D246" s="212">
        <v>4</v>
      </c>
      <c r="E246" s="212">
        <v>27.96</v>
      </c>
      <c r="F246" s="212">
        <v>14.3</v>
      </c>
      <c r="G246" s="212">
        <v>13.66</v>
      </c>
      <c r="H246" s="216" t="s">
        <v>535</v>
      </c>
      <c r="I246" s="214" t="str">
        <f t="shared" si="3"/>
        <v>Italia</v>
      </c>
      <c r="J246" s="214"/>
    </row>
    <row r="247" spans="2:10">
      <c r="B247" s="215" t="s">
        <v>541</v>
      </c>
      <c r="C247" s="212">
        <v>42883</v>
      </c>
      <c r="D247" s="212">
        <v>2</v>
      </c>
      <c r="E247" s="212">
        <v>52</v>
      </c>
      <c r="F247" s="212">
        <v>24.29</v>
      </c>
      <c r="G247" s="212">
        <v>27.71</v>
      </c>
      <c r="H247" s="216" t="s">
        <v>545</v>
      </c>
      <c r="I247" s="214" t="str">
        <f t="shared" si="3"/>
        <v>Lithuania</v>
      </c>
      <c r="J247" s="214"/>
    </row>
    <row r="248" spans="2:10">
      <c r="B248" s="215" t="s">
        <v>541</v>
      </c>
      <c r="C248" s="212">
        <v>42885</v>
      </c>
      <c r="D248" s="212">
        <v>2</v>
      </c>
      <c r="E248" s="212">
        <v>53.98</v>
      </c>
      <c r="F248" s="212">
        <v>19.78</v>
      </c>
      <c r="G248" s="212">
        <v>34.200000000000003</v>
      </c>
      <c r="H248" s="216" t="s">
        <v>566</v>
      </c>
      <c r="I248" s="214" t="str">
        <f t="shared" si="3"/>
        <v>Luxembourg</v>
      </c>
      <c r="J248" s="214"/>
    </row>
    <row r="249" spans="2:10">
      <c r="B249" s="215" t="s">
        <v>541</v>
      </c>
      <c r="C249" s="212">
        <v>42887</v>
      </c>
      <c r="D249" s="212">
        <v>1</v>
      </c>
      <c r="E249" s="212">
        <v>26.99</v>
      </c>
      <c r="F249" s="212">
        <v>11.29</v>
      </c>
      <c r="G249" s="212">
        <v>15.7</v>
      </c>
      <c r="H249" s="216" t="s">
        <v>567</v>
      </c>
      <c r="I249" s="214" t="str">
        <f t="shared" si="3"/>
        <v>Latvia</v>
      </c>
      <c r="J249" s="214"/>
    </row>
    <row r="250" spans="2:10">
      <c r="B250" s="215" t="s">
        <v>542</v>
      </c>
      <c r="C250" s="212">
        <v>42889</v>
      </c>
      <c r="D250" s="212">
        <v>3</v>
      </c>
      <c r="E250" s="212">
        <v>59.85</v>
      </c>
      <c r="F250" s="212">
        <v>22.19</v>
      </c>
      <c r="G250" s="212">
        <v>37.659999999999997</v>
      </c>
      <c r="H250" s="216" t="s">
        <v>568</v>
      </c>
      <c r="I250" s="214" t="str">
        <f t="shared" si="3"/>
        <v>Mexico</v>
      </c>
      <c r="J250" s="214"/>
    </row>
    <row r="251" spans="2:10">
      <c r="B251" s="215" t="s">
        <v>520</v>
      </c>
      <c r="C251" s="212">
        <v>42891</v>
      </c>
      <c r="D251" s="212">
        <v>72</v>
      </c>
      <c r="E251" s="212">
        <v>990.25</v>
      </c>
      <c r="F251" s="212">
        <v>695.27</v>
      </c>
      <c r="G251" s="212">
        <v>294.98</v>
      </c>
      <c r="H251" s="216" t="s">
        <v>546</v>
      </c>
      <c r="I251" s="214" t="str">
        <f t="shared" si="3"/>
        <v>Holanda</v>
      </c>
      <c r="J251" s="214"/>
    </row>
    <row r="252" spans="2:10">
      <c r="B252" s="215" t="s">
        <v>518</v>
      </c>
      <c r="C252" s="212">
        <v>42893</v>
      </c>
      <c r="D252" s="212">
        <v>2</v>
      </c>
      <c r="E252" s="212">
        <v>47.9</v>
      </c>
      <c r="F252" s="212">
        <v>20.38</v>
      </c>
      <c r="G252" s="212">
        <v>27.52</v>
      </c>
      <c r="H252" s="216" t="s">
        <v>547</v>
      </c>
      <c r="I252" s="214" t="str">
        <f t="shared" si="3"/>
        <v>Norway</v>
      </c>
      <c r="J252" s="214"/>
    </row>
    <row r="253" spans="2:10">
      <c r="B253" s="215" t="s">
        <v>530</v>
      </c>
      <c r="C253" s="212">
        <v>42895</v>
      </c>
      <c r="D253" s="212">
        <v>2</v>
      </c>
      <c r="E253" s="212">
        <v>43.9</v>
      </c>
      <c r="F253" s="212">
        <v>17.809999999999999</v>
      </c>
      <c r="G253" s="212">
        <v>26.09</v>
      </c>
      <c r="H253" s="216" t="s">
        <v>548</v>
      </c>
      <c r="I253" s="214" t="str">
        <f t="shared" si="3"/>
        <v>Peru</v>
      </c>
      <c r="J253" s="214"/>
    </row>
    <row r="254" spans="2:10">
      <c r="B254" s="215" t="s">
        <v>536</v>
      </c>
      <c r="C254" s="212">
        <v>42897</v>
      </c>
      <c r="D254" s="212">
        <v>2</v>
      </c>
      <c r="E254" s="212">
        <v>13.98</v>
      </c>
      <c r="F254" s="212">
        <v>6.11</v>
      </c>
      <c r="G254" s="212">
        <v>7.87</v>
      </c>
      <c r="H254" s="216" t="s">
        <v>549</v>
      </c>
      <c r="I254" s="214" t="str">
        <f t="shared" si="3"/>
        <v>Polonia</v>
      </c>
      <c r="J254" s="214"/>
    </row>
    <row r="255" spans="2:10">
      <c r="B255" s="215" t="s">
        <v>536</v>
      </c>
      <c r="C255" s="212">
        <v>42899</v>
      </c>
      <c r="D255" s="212">
        <v>1</v>
      </c>
      <c r="E255" s="212">
        <v>6.99</v>
      </c>
      <c r="F255" s="212">
        <v>3.38</v>
      </c>
      <c r="G255" s="212">
        <v>3.61</v>
      </c>
      <c r="H255" s="216" t="s">
        <v>550</v>
      </c>
      <c r="I255" s="214" t="str">
        <f t="shared" si="3"/>
        <v>Portugal</v>
      </c>
      <c r="J255" s="214"/>
    </row>
    <row r="256" spans="2:10">
      <c r="B256" s="215" t="s">
        <v>536</v>
      </c>
      <c r="C256" s="212">
        <v>42901</v>
      </c>
      <c r="D256" s="212">
        <v>1</v>
      </c>
      <c r="E256" s="212">
        <v>6.99</v>
      </c>
      <c r="F256" s="212">
        <v>3.28</v>
      </c>
      <c r="G256" s="212">
        <v>3.71</v>
      </c>
      <c r="H256" s="216" t="s">
        <v>551</v>
      </c>
      <c r="I256" s="214" t="str">
        <f t="shared" si="3"/>
        <v>Slovakia</v>
      </c>
      <c r="J256" s="214"/>
    </row>
    <row r="257" spans="2:10">
      <c r="B257" s="215" t="s">
        <v>520</v>
      </c>
      <c r="C257" s="212">
        <v>42903</v>
      </c>
      <c r="D257" s="212">
        <v>1</v>
      </c>
      <c r="E257" s="212">
        <v>28.95</v>
      </c>
      <c r="F257" s="212">
        <v>12.52</v>
      </c>
      <c r="G257" s="212">
        <v>16.43</v>
      </c>
      <c r="H257" s="216" t="s">
        <v>552</v>
      </c>
      <c r="I257" s="214" t="str">
        <f t="shared" si="3"/>
        <v>Slovenia</v>
      </c>
      <c r="J257" s="214"/>
    </row>
    <row r="258" spans="2:10">
      <c r="B258" s="215" t="s">
        <v>520</v>
      </c>
      <c r="C258" s="212">
        <v>42905</v>
      </c>
      <c r="D258" s="212">
        <v>3</v>
      </c>
      <c r="E258" s="212">
        <v>86.85</v>
      </c>
      <c r="F258" s="212">
        <v>35.5</v>
      </c>
      <c r="G258" s="212">
        <v>51.35</v>
      </c>
      <c r="H258" s="216" t="s">
        <v>553</v>
      </c>
      <c r="I258" s="214" t="str">
        <f t="shared" si="3"/>
        <v>Suecia</v>
      </c>
      <c r="J258" s="214"/>
    </row>
    <row r="259" spans="2:10">
      <c r="B259" s="215" t="s">
        <v>520</v>
      </c>
      <c r="C259" s="212">
        <v>42907</v>
      </c>
      <c r="D259" s="212">
        <v>1</v>
      </c>
      <c r="E259" s="212">
        <v>28.95</v>
      </c>
      <c r="F259" s="212">
        <v>12.29</v>
      </c>
      <c r="G259" s="212">
        <v>16.66</v>
      </c>
      <c r="H259" s="216" t="s">
        <v>554</v>
      </c>
      <c r="I259" s="214" t="str">
        <f t="shared" si="3"/>
        <v>Ucrania</v>
      </c>
      <c r="J259" s="214"/>
    </row>
    <row r="260" spans="2:10">
      <c r="B260" s="215" t="s">
        <v>520</v>
      </c>
      <c r="C260" s="212">
        <v>42909</v>
      </c>
      <c r="D260" s="212">
        <v>60</v>
      </c>
      <c r="E260" s="212">
        <v>937.98</v>
      </c>
      <c r="F260" s="212">
        <v>737.66</v>
      </c>
      <c r="G260" s="212">
        <v>200.32</v>
      </c>
      <c r="H260" s="216" t="s">
        <v>555</v>
      </c>
      <c r="I260" s="214" t="str">
        <f t="shared" si="3"/>
        <v>Ustados Unidos</v>
      </c>
      <c r="J260" s="214"/>
    </row>
    <row r="261" spans="2:10">
      <c r="B261" s="215" t="s">
        <v>520</v>
      </c>
      <c r="C261" s="212">
        <v>42911</v>
      </c>
      <c r="D261" s="212">
        <v>2</v>
      </c>
      <c r="E261" s="212">
        <v>57.9</v>
      </c>
      <c r="F261" s="212">
        <v>24.36</v>
      </c>
      <c r="G261" s="212">
        <v>33.54</v>
      </c>
      <c r="H261" s="216" t="s">
        <v>556</v>
      </c>
      <c r="I261" s="214" t="str">
        <f t="shared" ref="I261:I324" si="4">VLOOKUP(H261,$L$4:$M$46,2,FALSE)</f>
        <v>Venezuela</v>
      </c>
      <c r="J261" s="214"/>
    </row>
    <row r="262" spans="2:10">
      <c r="B262" s="215" t="s">
        <v>542</v>
      </c>
      <c r="C262" s="212">
        <v>42913</v>
      </c>
      <c r="D262" s="212">
        <v>24</v>
      </c>
      <c r="E262" s="212">
        <v>654.41999999999996</v>
      </c>
      <c r="F262" s="212">
        <v>384</v>
      </c>
      <c r="G262" s="212">
        <v>270.42</v>
      </c>
      <c r="H262" s="216" t="s">
        <v>519</v>
      </c>
      <c r="I262" s="214" t="str">
        <f t="shared" si="4"/>
        <v>Argentina</v>
      </c>
      <c r="J262" s="214"/>
    </row>
    <row r="263" spans="2:10">
      <c r="B263" s="215" t="s">
        <v>536</v>
      </c>
      <c r="C263" s="212">
        <v>42915</v>
      </c>
      <c r="D263" s="212">
        <v>60</v>
      </c>
      <c r="E263" s="212">
        <v>698.01</v>
      </c>
      <c r="F263" s="212">
        <v>493.05</v>
      </c>
      <c r="G263" s="212">
        <v>204.96</v>
      </c>
      <c r="H263" s="216" t="s">
        <v>557</v>
      </c>
      <c r="I263" s="214" t="str">
        <f t="shared" si="4"/>
        <v>Australia</v>
      </c>
      <c r="J263" s="214"/>
    </row>
    <row r="264" spans="2:10">
      <c r="B264" s="215" t="s">
        <v>525</v>
      </c>
      <c r="C264" s="212">
        <v>42913</v>
      </c>
      <c r="D264" s="212">
        <v>1</v>
      </c>
      <c r="E264" s="212">
        <v>14.5</v>
      </c>
      <c r="F264" s="212">
        <v>6.36</v>
      </c>
      <c r="G264" s="212">
        <v>8.14</v>
      </c>
      <c r="H264" s="216" t="s">
        <v>558</v>
      </c>
      <c r="I264" s="214" t="str">
        <f t="shared" si="4"/>
        <v>Austria</v>
      </c>
      <c r="J264" s="214"/>
    </row>
    <row r="265" spans="2:10">
      <c r="B265" s="215" t="s">
        <v>525</v>
      </c>
      <c r="C265" s="212">
        <v>42915</v>
      </c>
      <c r="D265" s="212">
        <v>1</v>
      </c>
      <c r="E265" s="212">
        <v>23.95</v>
      </c>
      <c r="F265" s="212">
        <v>8.5299999999999994</v>
      </c>
      <c r="G265" s="212">
        <v>15.42</v>
      </c>
      <c r="H265" s="216" t="s">
        <v>559</v>
      </c>
      <c r="I265" s="214" t="str">
        <f t="shared" si="4"/>
        <v>Belgica</v>
      </c>
      <c r="J265" s="214"/>
    </row>
    <row r="266" spans="2:10">
      <c r="B266" s="215" t="s">
        <v>518</v>
      </c>
      <c r="C266" s="212">
        <v>42794</v>
      </c>
      <c r="D266" s="212">
        <v>4</v>
      </c>
      <c r="E266" s="212">
        <v>95.8</v>
      </c>
      <c r="F266" s="212">
        <v>37.94</v>
      </c>
      <c r="G266" s="212">
        <v>57.86</v>
      </c>
      <c r="H266" s="216" t="s">
        <v>560</v>
      </c>
      <c r="I266" s="214" t="str">
        <f t="shared" si="4"/>
        <v>Bulgaria</v>
      </c>
      <c r="J266" s="214"/>
    </row>
    <row r="267" spans="2:10">
      <c r="B267" s="215" t="s">
        <v>518</v>
      </c>
      <c r="C267" s="212">
        <v>42796</v>
      </c>
      <c r="D267" s="212">
        <v>1</v>
      </c>
      <c r="E267" s="212">
        <v>23.95</v>
      </c>
      <c r="F267" s="212">
        <v>10.7</v>
      </c>
      <c r="G267" s="212">
        <v>13.25</v>
      </c>
      <c r="H267" s="216" t="s">
        <v>561</v>
      </c>
      <c r="I267" s="214" t="str">
        <f t="shared" si="4"/>
        <v>Brazil</v>
      </c>
      <c r="J267" s="214"/>
    </row>
    <row r="268" spans="2:10">
      <c r="B268" s="215" t="s">
        <v>518</v>
      </c>
      <c r="C268" s="212">
        <v>42794</v>
      </c>
      <c r="D268" s="212">
        <v>2</v>
      </c>
      <c r="E268" s="212">
        <v>47.9</v>
      </c>
      <c r="F268" s="212">
        <v>22.2</v>
      </c>
      <c r="G268" s="212">
        <v>25.7</v>
      </c>
      <c r="H268" s="216" t="s">
        <v>526</v>
      </c>
      <c r="I268" s="214" t="str">
        <f t="shared" si="4"/>
        <v>Canada</v>
      </c>
      <c r="J268" s="214"/>
    </row>
    <row r="269" spans="2:10">
      <c r="B269" s="215" t="s">
        <v>518</v>
      </c>
      <c r="C269" s="212">
        <v>42794</v>
      </c>
      <c r="D269" s="212">
        <v>2</v>
      </c>
      <c r="E269" s="212">
        <v>47.9</v>
      </c>
      <c r="F269" s="212">
        <v>21.19</v>
      </c>
      <c r="G269" s="212">
        <v>26.71</v>
      </c>
      <c r="H269" s="216" t="s">
        <v>527</v>
      </c>
      <c r="I269" s="214" t="str">
        <f t="shared" si="4"/>
        <v>Suiza</v>
      </c>
      <c r="J269" s="214"/>
    </row>
    <row r="270" spans="2:10">
      <c r="B270" s="215" t="s">
        <v>530</v>
      </c>
      <c r="C270" s="212">
        <v>42796</v>
      </c>
      <c r="D270" s="212">
        <v>2</v>
      </c>
      <c r="E270" s="212">
        <v>43.9</v>
      </c>
      <c r="F270" s="212">
        <v>18.489999999999998</v>
      </c>
      <c r="G270" s="212">
        <v>25.41</v>
      </c>
      <c r="H270" s="216" t="s">
        <v>562</v>
      </c>
      <c r="I270" s="214" t="str">
        <f t="shared" si="4"/>
        <v>Chile</v>
      </c>
      <c r="J270" s="214"/>
    </row>
    <row r="271" spans="2:10">
      <c r="B271" s="215" t="s">
        <v>530</v>
      </c>
      <c r="C271" s="212">
        <v>42794</v>
      </c>
      <c r="D271" s="212">
        <v>2</v>
      </c>
      <c r="E271" s="212">
        <v>43.9</v>
      </c>
      <c r="F271" s="212">
        <v>18.66</v>
      </c>
      <c r="G271" s="212">
        <v>25.24</v>
      </c>
      <c r="H271" s="216" t="s">
        <v>521</v>
      </c>
      <c r="I271" s="214" t="str">
        <f t="shared" si="4"/>
        <v>Colombia</v>
      </c>
      <c r="J271" s="214"/>
    </row>
    <row r="272" spans="2:10">
      <c r="B272" s="215" t="s">
        <v>530</v>
      </c>
      <c r="C272" s="212">
        <v>42794</v>
      </c>
      <c r="D272" s="212">
        <v>3</v>
      </c>
      <c r="E272" s="212">
        <v>65.849999999999994</v>
      </c>
      <c r="F272" s="212">
        <v>25.19</v>
      </c>
      <c r="G272" s="212">
        <v>40.659999999999997</v>
      </c>
      <c r="H272" s="216" t="s">
        <v>563</v>
      </c>
      <c r="I272" s="214" t="str">
        <f t="shared" si="4"/>
        <v>Costa Rica</v>
      </c>
      <c r="J272" s="214"/>
    </row>
    <row r="273" spans="2:10">
      <c r="B273" s="215" t="s">
        <v>530</v>
      </c>
      <c r="C273" s="212">
        <v>42794</v>
      </c>
      <c r="D273" s="212">
        <v>1</v>
      </c>
      <c r="E273" s="212">
        <v>21.95</v>
      </c>
      <c r="F273" s="212">
        <v>8.48</v>
      </c>
      <c r="G273" s="212">
        <v>13.47</v>
      </c>
      <c r="H273" s="216" t="s">
        <v>564</v>
      </c>
      <c r="I273" s="214" t="str">
        <f t="shared" si="4"/>
        <v>Czech Republic</v>
      </c>
      <c r="J273" s="214"/>
    </row>
    <row r="274" spans="2:10">
      <c r="B274" s="215" t="s">
        <v>534</v>
      </c>
      <c r="C274" s="212">
        <v>42794</v>
      </c>
      <c r="D274" s="212">
        <v>2</v>
      </c>
      <c r="E274" s="212">
        <v>47.9</v>
      </c>
      <c r="F274" s="212">
        <v>19.02</v>
      </c>
      <c r="G274" s="212">
        <v>28.88</v>
      </c>
      <c r="H274" s="216" t="s">
        <v>522</v>
      </c>
      <c r="I274" s="214" t="str">
        <f t="shared" si="4"/>
        <v>Germany</v>
      </c>
      <c r="J274" s="214"/>
    </row>
    <row r="275" spans="2:10">
      <c r="B275" s="215" t="s">
        <v>536</v>
      </c>
      <c r="C275" s="212">
        <v>42794</v>
      </c>
      <c r="D275" s="212">
        <v>4</v>
      </c>
      <c r="E275" s="212">
        <v>27.96</v>
      </c>
      <c r="F275" s="212">
        <v>14.17</v>
      </c>
      <c r="G275" s="212">
        <v>13.79</v>
      </c>
      <c r="H275" s="216" t="s">
        <v>565</v>
      </c>
      <c r="I275" s="214" t="str">
        <f t="shared" si="4"/>
        <v>Dinamarca</v>
      </c>
      <c r="J275" s="214"/>
    </row>
    <row r="276" spans="2:10">
      <c r="B276" s="215" t="s">
        <v>536</v>
      </c>
      <c r="C276" s="212">
        <v>42794</v>
      </c>
      <c r="D276" s="212">
        <v>2</v>
      </c>
      <c r="E276" s="212">
        <v>13.98</v>
      </c>
      <c r="F276" s="212">
        <v>6.63</v>
      </c>
      <c r="G276" s="212">
        <v>7.35</v>
      </c>
      <c r="H276" s="216" t="s">
        <v>523</v>
      </c>
      <c r="I276" s="214" t="str">
        <f t="shared" si="4"/>
        <v>Dominican Republic</v>
      </c>
      <c r="J276" s="214"/>
    </row>
    <row r="277" spans="2:10">
      <c r="B277" s="215" t="s">
        <v>536</v>
      </c>
      <c r="C277" s="212">
        <v>42794</v>
      </c>
      <c r="D277" s="212">
        <v>1</v>
      </c>
      <c r="E277" s="212">
        <v>6.99</v>
      </c>
      <c r="F277" s="212">
        <v>3.28</v>
      </c>
      <c r="G277" s="212">
        <v>3.71</v>
      </c>
      <c r="H277" s="216" t="s">
        <v>524</v>
      </c>
      <c r="I277" s="214" t="str">
        <f t="shared" si="4"/>
        <v>Ecuador</v>
      </c>
      <c r="J277" s="214"/>
    </row>
    <row r="278" spans="2:10">
      <c r="B278" s="215" t="s">
        <v>536</v>
      </c>
      <c r="C278" s="212">
        <v>42796</v>
      </c>
      <c r="D278" s="212">
        <v>1</v>
      </c>
      <c r="E278" s="212">
        <v>6.99</v>
      </c>
      <c r="F278" s="212">
        <v>3.02</v>
      </c>
      <c r="G278" s="212">
        <v>3.97</v>
      </c>
      <c r="H278" s="216" t="s">
        <v>537</v>
      </c>
      <c r="I278" s="214" t="str">
        <f t="shared" si="4"/>
        <v>España</v>
      </c>
      <c r="J278" s="214"/>
    </row>
    <row r="279" spans="2:10">
      <c r="B279" s="215" t="s">
        <v>536</v>
      </c>
      <c r="C279" s="212">
        <v>42794</v>
      </c>
      <c r="D279" s="212">
        <v>2</v>
      </c>
      <c r="E279" s="212">
        <v>13.98</v>
      </c>
      <c r="F279" s="212">
        <v>6.57</v>
      </c>
      <c r="G279" s="212">
        <v>7.41</v>
      </c>
      <c r="H279" s="216" t="s">
        <v>538</v>
      </c>
      <c r="I279" s="214" t="str">
        <f t="shared" si="4"/>
        <v>Estonia</v>
      </c>
      <c r="J279" s="214"/>
    </row>
    <row r="280" spans="2:10">
      <c r="B280" s="215" t="s">
        <v>536</v>
      </c>
      <c r="C280" s="212">
        <v>42796</v>
      </c>
      <c r="D280" s="212">
        <v>2</v>
      </c>
      <c r="E280" s="212">
        <v>13.98</v>
      </c>
      <c r="F280" s="212">
        <v>5.53</v>
      </c>
      <c r="G280" s="212">
        <v>8.4499999999999993</v>
      </c>
      <c r="H280" s="216" t="s">
        <v>539</v>
      </c>
      <c r="I280" s="214" t="str">
        <f t="shared" si="4"/>
        <v>Finlandia</v>
      </c>
      <c r="J280" s="214"/>
    </row>
    <row r="281" spans="2:10">
      <c r="B281" s="215" t="s">
        <v>541</v>
      </c>
      <c r="C281" s="212">
        <v>42794</v>
      </c>
      <c r="D281" s="212">
        <v>1</v>
      </c>
      <c r="E281" s="212">
        <v>26.99</v>
      </c>
      <c r="F281" s="212">
        <v>11.72</v>
      </c>
      <c r="G281" s="212">
        <v>15.27</v>
      </c>
      <c r="H281" s="216" t="s">
        <v>540</v>
      </c>
      <c r="I281" s="214" t="str">
        <f t="shared" si="4"/>
        <v>Francia</v>
      </c>
      <c r="J281" s="214"/>
    </row>
    <row r="282" spans="2:10">
      <c r="B282" s="215" t="s">
        <v>541</v>
      </c>
      <c r="C282" s="212">
        <v>42796</v>
      </c>
      <c r="D282" s="212">
        <v>1</v>
      </c>
      <c r="E282" s="212">
        <v>26.99</v>
      </c>
      <c r="F282" s="212">
        <v>10.64</v>
      </c>
      <c r="G282" s="212">
        <v>16.350000000000001</v>
      </c>
      <c r="H282" s="216" t="s">
        <v>528</v>
      </c>
      <c r="I282" s="214" t="str">
        <f t="shared" si="4"/>
        <v>UK</v>
      </c>
      <c r="J282" s="214"/>
    </row>
    <row r="283" spans="2:10">
      <c r="B283" s="215" t="s">
        <v>541</v>
      </c>
      <c r="C283" s="212">
        <v>42798</v>
      </c>
      <c r="D283" s="212">
        <v>2</v>
      </c>
      <c r="E283" s="212">
        <v>53.98</v>
      </c>
      <c r="F283" s="212">
        <v>22.79</v>
      </c>
      <c r="G283" s="212">
        <v>31.19</v>
      </c>
      <c r="H283" s="216" t="s">
        <v>529</v>
      </c>
      <c r="I283" s="214" t="str">
        <f t="shared" si="4"/>
        <v>Grecia</v>
      </c>
      <c r="J283" s="214"/>
    </row>
    <row r="284" spans="2:10">
      <c r="B284" s="215" t="s">
        <v>542</v>
      </c>
      <c r="C284" s="212">
        <v>42794</v>
      </c>
      <c r="D284" s="212">
        <v>2</v>
      </c>
      <c r="E284" s="212">
        <v>23.9</v>
      </c>
      <c r="F284" s="212">
        <v>10.29</v>
      </c>
      <c r="G284" s="212">
        <v>13.61</v>
      </c>
      <c r="H284" s="216" t="s">
        <v>531</v>
      </c>
      <c r="I284" s="214" t="str">
        <f t="shared" si="4"/>
        <v>Hong Kong</v>
      </c>
      <c r="J284" s="214"/>
    </row>
    <row r="285" spans="2:10">
      <c r="B285" s="215" t="s">
        <v>542</v>
      </c>
      <c r="C285" s="212">
        <v>42794</v>
      </c>
      <c r="D285" s="212">
        <v>1</v>
      </c>
      <c r="E285" s="212">
        <v>11.95</v>
      </c>
      <c r="F285" s="212">
        <v>5.57</v>
      </c>
      <c r="G285" s="212">
        <v>6.38</v>
      </c>
      <c r="H285" s="216" t="s">
        <v>543</v>
      </c>
      <c r="I285" s="214" t="str">
        <f t="shared" si="4"/>
        <v>Honduras</v>
      </c>
      <c r="J285" s="214"/>
    </row>
    <row r="286" spans="2:10">
      <c r="B286" s="215" t="s">
        <v>520</v>
      </c>
      <c r="C286" s="212">
        <v>42794</v>
      </c>
      <c r="D286" s="212">
        <v>3</v>
      </c>
      <c r="E286" s="212">
        <v>86.85</v>
      </c>
      <c r="F286" s="212">
        <v>34.81</v>
      </c>
      <c r="G286" s="212">
        <v>52.04</v>
      </c>
      <c r="H286" s="216" t="s">
        <v>544</v>
      </c>
      <c r="I286" s="214" t="str">
        <f t="shared" si="4"/>
        <v>Croatia</v>
      </c>
      <c r="J286" s="214"/>
    </row>
    <row r="287" spans="2:10">
      <c r="B287" s="215" t="s">
        <v>520</v>
      </c>
      <c r="C287" s="212">
        <v>42794</v>
      </c>
      <c r="D287" s="212">
        <v>1</v>
      </c>
      <c r="E287" s="212">
        <v>25.95</v>
      </c>
      <c r="F287" s="212">
        <v>10.09</v>
      </c>
      <c r="G287" s="212">
        <v>15.86</v>
      </c>
      <c r="H287" s="216" t="s">
        <v>532</v>
      </c>
      <c r="I287" s="214" t="str">
        <f t="shared" si="4"/>
        <v>Hungria</v>
      </c>
      <c r="J287" s="214"/>
    </row>
    <row r="288" spans="2:10">
      <c r="B288" s="215" t="s">
        <v>520</v>
      </c>
      <c r="C288" s="212">
        <v>42796</v>
      </c>
      <c r="D288" s="212">
        <v>1</v>
      </c>
      <c r="E288" s="212">
        <v>25.95</v>
      </c>
      <c r="F288" s="212">
        <v>10.74</v>
      </c>
      <c r="G288" s="212">
        <v>15.21</v>
      </c>
      <c r="H288" s="216" t="s">
        <v>533</v>
      </c>
      <c r="I288" s="214" t="str">
        <f t="shared" si="4"/>
        <v>Irlanda</v>
      </c>
      <c r="J288" s="214"/>
    </row>
    <row r="289" spans="2:10">
      <c r="B289" s="215" t="s">
        <v>536</v>
      </c>
      <c r="C289" s="212">
        <v>42794</v>
      </c>
      <c r="D289" s="212">
        <v>3</v>
      </c>
      <c r="E289" s="212">
        <v>65.849999999999994</v>
      </c>
      <c r="F289" s="212">
        <v>26.21</v>
      </c>
      <c r="G289" s="212">
        <v>39.64</v>
      </c>
      <c r="H289" s="216" t="s">
        <v>535</v>
      </c>
      <c r="I289" s="214" t="str">
        <f t="shared" si="4"/>
        <v>Italia</v>
      </c>
      <c r="J289" s="214"/>
    </row>
    <row r="290" spans="2:10">
      <c r="B290" s="215" t="s">
        <v>525</v>
      </c>
      <c r="C290" s="212">
        <v>42794</v>
      </c>
      <c r="D290" s="212">
        <v>4</v>
      </c>
      <c r="E290" s="212">
        <v>95.8</v>
      </c>
      <c r="F290" s="212">
        <v>39.06</v>
      </c>
      <c r="G290" s="212">
        <v>56.74</v>
      </c>
      <c r="H290" s="216" t="s">
        <v>545</v>
      </c>
      <c r="I290" s="214" t="str">
        <f t="shared" si="4"/>
        <v>Lithuania</v>
      </c>
      <c r="J290" s="214"/>
    </row>
    <row r="291" spans="2:10">
      <c r="B291" s="215" t="s">
        <v>530</v>
      </c>
      <c r="C291" s="212">
        <v>42794</v>
      </c>
      <c r="D291" s="212">
        <v>2</v>
      </c>
      <c r="E291" s="212">
        <v>51.98</v>
      </c>
      <c r="F291" s="212">
        <v>17.03</v>
      </c>
      <c r="G291" s="212">
        <v>34.950000000000003</v>
      </c>
      <c r="H291" s="216" t="s">
        <v>566</v>
      </c>
      <c r="I291" s="214" t="str">
        <f t="shared" si="4"/>
        <v>Luxembourg</v>
      </c>
      <c r="J291" s="214"/>
    </row>
    <row r="292" spans="2:10">
      <c r="B292" s="215" t="s">
        <v>530</v>
      </c>
      <c r="C292" s="212">
        <v>42794</v>
      </c>
      <c r="D292" s="212">
        <v>3</v>
      </c>
      <c r="E292" s="212">
        <v>77.97</v>
      </c>
      <c r="F292" s="212">
        <v>31.26</v>
      </c>
      <c r="G292" s="212">
        <v>46.71</v>
      </c>
      <c r="H292" s="216" t="s">
        <v>567</v>
      </c>
      <c r="I292" s="214" t="str">
        <f t="shared" si="4"/>
        <v>Latvia</v>
      </c>
      <c r="J292" s="214"/>
    </row>
    <row r="293" spans="2:10">
      <c r="B293" s="215" t="s">
        <v>530</v>
      </c>
      <c r="C293" s="212">
        <v>42794</v>
      </c>
      <c r="D293" s="212">
        <v>1</v>
      </c>
      <c r="E293" s="212">
        <v>25.99</v>
      </c>
      <c r="F293" s="212">
        <v>9.92</v>
      </c>
      <c r="G293" s="212">
        <v>16.07</v>
      </c>
      <c r="H293" s="216" t="s">
        <v>568</v>
      </c>
      <c r="I293" s="214" t="str">
        <f t="shared" si="4"/>
        <v>Mexico</v>
      </c>
      <c r="J293" s="214"/>
    </row>
    <row r="294" spans="2:10">
      <c r="B294" s="215" t="s">
        <v>530</v>
      </c>
      <c r="C294" s="212">
        <v>42794</v>
      </c>
      <c r="D294" s="212">
        <v>4</v>
      </c>
      <c r="E294" s="212">
        <v>103.96</v>
      </c>
      <c r="F294" s="212">
        <v>38.479999999999997</v>
      </c>
      <c r="G294" s="212">
        <v>65.48</v>
      </c>
      <c r="H294" s="216" t="s">
        <v>546</v>
      </c>
      <c r="I294" s="214" t="str">
        <f t="shared" si="4"/>
        <v>Holanda</v>
      </c>
      <c r="J294" s="214"/>
    </row>
    <row r="295" spans="2:10">
      <c r="B295" s="215" t="s">
        <v>518</v>
      </c>
      <c r="C295" s="212">
        <v>42795</v>
      </c>
      <c r="D295" s="212">
        <v>2</v>
      </c>
      <c r="E295" s="212">
        <v>47.9</v>
      </c>
      <c r="F295" s="212">
        <v>17.559999999999999</v>
      </c>
      <c r="G295" s="212">
        <v>30.34</v>
      </c>
      <c r="H295" s="216" t="s">
        <v>547</v>
      </c>
      <c r="I295" s="214" t="str">
        <f t="shared" si="4"/>
        <v>Norway</v>
      </c>
      <c r="J295" s="214"/>
    </row>
    <row r="296" spans="2:10">
      <c r="B296" s="215" t="s">
        <v>518</v>
      </c>
      <c r="C296" s="212">
        <v>42795</v>
      </c>
      <c r="D296" s="212">
        <v>3</v>
      </c>
      <c r="E296" s="212">
        <v>71.849999999999994</v>
      </c>
      <c r="F296" s="212">
        <v>29.06</v>
      </c>
      <c r="G296" s="212">
        <v>42.79</v>
      </c>
      <c r="H296" s="216" t="s">
        <v>548</v>
      </c>
      <c r="I296" s="214" t="str">
        <f t="shared" si="4"/>
        <v>Peru</v>
      </c>
      <c r="J296" s="214"/>
    </row>
    <row r="297" spans="2:10">
      <c r="B297" s="215" t="s">
        <v>518</v>
      </c>
      <c r="C297" s="212">
        <v>42797</v>
      </c>
      <c r="D297" s="212">
        <v>31</v>
      </c>
      <c r="E297" s="212">
        <v>460.32</v>
      </c>
      <c r="F297" s="212">
        <v>294.02</v>
      </c>
      <c r="G297" s="212">
        <v>166.3</v>
      </c>
      <c r="H297" s="216" t="s">
        <v>549</v>
      </c>
      <c r="I297" s="214" t="str">
        <f t="shared" si="4"/>
        <v>Polonia</v>
      </c>
      <c r="J297" s="214"/>
    </row>
    <row r="298" spans="2:10">
      <c r="B298" s="215" t="s">
        <v>530</v>
      </c>
      <c r="C298" s="212">
        <v>42795</v>
      </c>
      <c r="D298" s="212">
        <v>1</v>
      </c>
      <c r="E298" s="212">
        <v>21.95</v>
      </c>
      <c r="F298" s="212">
        <v>8.65</v>
      </c>
      <c r="G298" s="212">
        <v>13.3</v>
      </c>
      <c r="H298" s="216" t="s">
        <v>550</v>
      </c>
      <c r="I298" s="214" t="str">
        <f t="shared" si="4"/>
        <v>Portugal</v>
      </c>
      <c r="J298" s="214"/>
    </row>
    <row r="299" spans="2:10">
      <c r="B299" s="215" t="s">
        <v>530</v>
      </c>
      <c r="C299" s="212">
        <v>42795</v>
      </c>
      <c r="D299" s="212">
        <v>1</v>
      </c>
      <c r="E299" s="212">
        <v>21.95</v>
      </c>
      <c r="F299" s="212">
        <v>8.23</v>
      </c>
      <c r="G299" s="212">
        <v>13.72</v>
      </c>
      <c r="H299" s="216" t="s">
        <v>551</v>
      </c>
      <c r="I299" s="214" t="str">
        <f t="shared" si="4"/>
        <v>Slovakia</v>
      </c>
      <c r="J299" s="214"/>
    </row>
    <row r="300" spans="2:10">
      <c r="B300" s="215" t="s">
        <v>530</v>
      </c>
      <c r="C300" s="212">
        <v>42797</v>
      </c>
      <c r="D300" s="212">
        <v>4</v>
      </c>
      <c r="E300" s="212">
        <v>87.8</v>
      </c>
      <c r="F300" s="212">
        <v>34.26</v>
      </c>
      <c r="G300" s="212">
        <v>53.54</v>
      </c>
      <c r="H300" s="216" t="s">
        <v>552</v>
      </c>
      <c r="I300" s="214" t="str">
        <f t="shared" si="4"/>
        <v>Slovenia</v>
      </c>
      <c r="J300" s="214"/>
    </row>
    <row r="301" spans="2:10">
      <c r="B301" s="215" t="s">
        <v>536</v>
      </c>
      <c r="C301" s="212">
        <v>42799</v>
      </c>
      <c r="D301" s="212">
        <v>1</v>
      </c>
      <c r="E301" s="212">
        <v>6.99</v>
      </c>
      <c r="F301" s="212">
        <v>3.54</v>
      </c>
      <c r="G301" s="212">
        <v>3.45</v>
      </c>
      <c r="H301" s="216" t="s">
        <v>553</v>
      </c>
      <c r="I301" s="214" t="str">
        <f t="shared" si="4"/>
        <v>Suecia</v>
      </c>
      <c r="J301" s="214"/>
    </row>
    <row r="302" spans="2:10">
      <c r="B302" s="215" t="s">
        <v>536</v>
      </c>
      <c r="C302" s="212">
        <v>42801</v>
      </c>
      <c r="D302" s="212">
        <v>1</v>
      </c>
      <c r="E302" s="212">
        <v>6.99</v>
      </c>
      <c r="F302" s="212">
        <v>3.32</v>
      </c>
      <c r="G302" s="212">
        <v>3.67</v>
      </c>
      <c r="H302" s="216" t="s">
        <v>554</v>
      </c>
      <c r="I302" s="214" t="str">
        <f t="shared" si="4"/>
        <v>Ucrania</v>
      </c>
      <c r="J302" s="214"/>
    </row>
    <row r="303" spans="2:10">
      <c r="B303" s="215" t="s">
        <v>536</v>
      </c>
      <c r="C303" s="212">
        <v>42803</v>
      </c>
      <c r="D303" s="212">
        <v>2</v>
      </c>
      <c r="E303" s="212">
        <v>13.98</v>
      </c>
      <c r="F303" s="212">
        <v>6.96</v>
      </c>
      <c r="G303" s="212">
        <v>7.02</v>
      </c>
      <c r="H303" s="216" t="s">
        <v>555</v>
      </c>
      <c r="I303" s="214" t="str">
        <f t="shared" si="4"/>
        <v>Ustados Unidos</v>
      </c>
      <c r="J303" s="214"/>
    </row>
    <row r="304" spans="2:10">
      <c r="B304" s="215" t="s">
        <v>536</v>
      </c>
      <c r="C304" s="212">
        <v>42795</v>
      </c>
      <c r="D304" s="212">
        <v>1</v>
      </c>
      <c r="E304" s="212">
        <v>6.99</v>
      </c>
      <c r="F304" s="212">
        <v>2.99</v>
      </c>
      <c r="G304" s="212">
        <v>4</v>
      </c>
      <c r="H304" s="216" t="s">
        <v>556</v>
      </c>
      <c r="I304" s="214" t="str">
        <f t="shared" si="4"/>
        <v>Venezuela</v>
      </c>
      <c r="J304" s="214"/>
    </row>
    <row r="305" spans="2:10">
      <c r="B305" s="215" t="s">
        <v>536</v>
      </c>
      <c r="C305" s="212">
        <v>42795</v>
      </c>
      <c r="D305" s="212">
        <v>2</v>
      </c>
      <c r="E305" s="212">
        <v>13.98</v>
      </c>
      <c r="F305" s="212">
        <v>6.44</v>
      </c>
      <c r="G305" s="212">
        <v>7.54</v>
      </c>
      <c r="H305" s="216" t="s">
        <v>519</v>
      </c>
      <c r="I305" s="214" t="str">
        <f t="shared" si="4"/>
        <v>Argentina</v>
      </c>
      <c r="J305" s="214"/>
    </row>
    <row r="306" spans="2:10">
      <c r="B306" s="215" t="s">
        <v>536</v>
      </c>
      <c r="C306" s="212">
        <v>42795</v>
      </c>
      <c r="D306" s="212">
        <v>1</v>
      </c>
      <c r="E306" s="212">
        <v>6.99</v>
      </c>
      <c r="F306" s="212">
        <v>3.09</v>
      </c>
      <c r="G306" s="212">
        <v>3.9</v>
      </c>
      <c r="H306" s="216" t="s">
        <v>557</v>
      </c>
      <c r="I306" s="214" t="str">
        <f t="shared" si="4"/>
        <v>Australia</v>
      </c>
      <c r="J306" s="214"/>
    </row>
    <row r="307" spans="2:10">
      <c r="B307" s="215" t="s">
        <v>536</v>
      </c>
      <c r="C307" s="212">
        <v>42795</v>
      </c>
      <c r="D307" s="212">
        <v>1</v>
      </c>
      <c r="E307" s="212">
        <v>6.99</v>
      </c>
      <c r="F307" s="212">
        <v>3.22</v>
      </c>
      <c r="G307" s="212">
        <v>3.77</v>
      </c>
      <c r="H307" s="216" t="s">
        <v>558</v>
      </c>
      <c r="I307" s="214" t="str">
        <f t="shared" si="4"/>
        <v>Austria</v>
      </c>
      <c r="J307" s="214"/>
    </row>
    <row r="308" spans="2:10">
      <c r="B308" s="215" t="s">
        <v>536</v>
      </c>
      <c r="C308" s="212">
        <v>42795</v>
      </c>
      <c r="D308" s="212">
        <v>4</v>
      </c>
      <c r="E308" s="212">
        <v>27.96</v>
      </c>
      <c r="F308" s="212">
        <v>11.57</v>
      </c>
      <c r="G308" s="212">
        <v>16.39</v>
      </c>
      <c r="H308" s="216" t="s">
        <v>559</v>
      </c>
      <c r="I308" s="214" t="str">
        <f t="shared" si="4"/>
        <v>Belgica</v>
      </c>
      <c r="J308" s="214"/>
    </row>
    <row r="309" spans="2:10">
      <c r="B309" s="215" t="s">
        <v>541</v>
      </c>
      <c r="C309" s="212">
        <v>42795</v>
      </c>
      <c r="D309" s="212">
        <v>2</v>
      </c>
      <c r="E309" s="212">
        <v>53.98</v>
      </c>
      <c r="F309" s="212">
        <v>20</v>
      </c>
      <c r="G309" s="212">
        <v>33.979999999999997</v>
      </c>
      <c r="H309" s="216" t="s">
        <v>560</v>
      </c>
      <c r="I309" s="214" t="str">
        <f t="shared" si="4"/>
        <v>Bulgaria</v>
      </c>
      <c r="J309" s="214"/>
    </row>
    <row r="310" spans="2:10">
      <c r="B310" s="215" t="s">
        <v>542</v>
      </c>
      <c r="C310" s="212">
        <v>42795</v>
      </c>
      <c r="D310" s="212">
        <v>1</v>
      </c>
      <c r="E310" s="212">
        <v>19.95</v>
      </c>
      <c r="F310" s="212">
        <v>9.27</v>
      </c>
      <c r="G310" s="212">
        <v>10.68</v>
      </c>
      <c r="H310" s="216" t="s">
        <v>561</v>
      </c>
      <c r="I310" s="214" t="str">
        <f t="shared" si="4"/>
        <v>Brazil</v>
      </c>
      <c r="J310" s="214"/>
    </row>
    <row r="311" spans="2:10">
      <c r="B311" s="215" t="s">
        <v>542</v>
      </c>
      <c r="C311" s="212">
        <v>42795</v>
      </c>
      <c r="D311" s="212">
        <v>1</v>
      </c>
      <c r="E311" s="212">
        <v>11.95</v>
      </c>
      <c r="F311" s="212">
        <v>4.57</v>
      </c>
      <c r="G311" s="212">
        <v>7.38</v>
      </c>
      <c r="H311" s="216" t="s">
        <v>526</v>
      </c>
      <c r="I311" s="214" t="str">
        <f t="shared" si="4"/>
        <v>Canada</v>
      </c>
      <c r="J311" s="214"/>
    </row>
    <row r="312" spans="2:10">
      <c r="B312" s="215" t="s">
        <v>520</v>
      </c>
      <c r="C312" s="212">
        <v>42797</v>
      </c>
      <c r="D312" s="212">
        <v>1</v>
      </c>
      <c r="E312" s="212">
        <v>122</v>
      </c>
      <c r="F312" s="212">
        <v>46.3</v>
      </c>
      <c r="G312" s="212">
        <v>75.7</v>
      </c>
      <c r="H312" s="216" t="s">
        <v>527</v>
      </c>
      <c r="I312" s="214" t="str">
        <f t="shared" si="4"/>
        <v>Suiza</v>
      </c>
      <c r="J312" s="214"/>
    </row>
    <row r="313" spans="2:10">
      <c r="B313" s="215" t="s">
        <v>520</v>
      </c>
      <c r="C313" s="212">
        <v>42799</v>
      </c>
      <c r="D313" s="212">
        <v>2</v>
      </c>
      <c r="E313" s="212">
        <v>57.9</v>
      </c>
      <c r="F313" s="212">
        <v>23.44</v>
      </c>
      <c r="G313" s="212">
        <v>34.46</v>
      </c>
      <c r="H313" s="216" t="s">
        <v>562</v>
      </c>
      <c r="I313" s="214" t="str">
        <f t="shared" si="4"/>
        <v>Chile</v>
      </c>
      <c r="J313" s="214"/>
    </row>
    <row r="314" spans="2:10">
      <c r="B314" s="215" t="s">
        <v>520</v>
      </c>
      <c r="C314" s="212">
        <v>42795</v>
      </c>
      <c r="D314" s="212">
        <v>4</v>
      </c>
      <c r="E314" s="212">
        <v>115.8</v>
      </c>
      <c r="F314" s="212">
        <v>43.66</v>
      </c>
      <c r="G314" s="212">
        <v>72.14</v>
      </c>
      <c r="H314" s="216" t="s">
        <v>521</v>
      </c>
      <c r="I314" s="214" t="str">
        <f t="shared" si="4"/>
        <v>Colombia</v>
      </c>
      <c r="J314" s="214"/>
    </row>
    <row r="315" spans="2:10">
      <c r="B315" s="215" t="s">
        <v>520</v>
      </c>
      <c r="C315" s="212">
        <v>42797</v>
      </c>
      <c r="D315" s="212">
        <v>3</v>
      </c>
      <c r="E315" s="212">
        <v>86.85</v>
      </c>
      <c r="F315" s="212">
        <v>34.47</v>
      </c>
      <c r="G315" s="212">
        <v>52.38</v>
      </c>
      <c r="H315" s="216" t="s">
        <v>563</v>
      </c>
      <c r="I315" s="214" t="str">
        <f t="shared" si="4"/>
        <v>Costa Rica</v>
      </c>
      <c r="J315" s="214"/>
    </row>
    <row r="316" spans="2:10">
      <c r="B316" s="215" t="s">
        <v>520</v>
      </c>
      <c r="C316" s="212">
        <v>42799</v>
      </c>
      <c r="D316" s="212">
        <v>1</v>
      </c>
      <c r="E316" s="212">
        <v>122</v>
      </c>
      <c r="F316" s="212">
        <v>52.27</v>
      </c>
      <c r="G316" s="212">
        <v>69.73</v>
      </c>
      <c r="H316" s="216" t="s">
        <v>564</v>
      </c>
      <c r="I316" s="214" t="str">
        <f t="shared" si="4"/>
        <v>Czech Republic</v>
      </c>
      <c r="J316" s="214"/>
    </row>
    <row r="317" spans="2:10">
      <c r="B317" s="215" t="s">
        <v>520</v>
      </c>
      <c r="C317" s="212">
        <v>42801</v>
      </c>
      <c r="D317" s="212">
        <v>2</v>
      </c>
      <c r="E317" s="212">
        <v>83.9</v>
      </c>
      <c r="F317" s="212">
        <v>39.9</v>
      </c>
      <c r="G317" s="212">
        <v>44</v>
      </c>
      <c r="H317" s="216" t="s">
        <v>522</v>
      </c>
      <c r="I317" s="214" t="str">
        <f t="shared" si="4"/>
        <v>Germany</v>
      </c>
      <c r="J317" s="214"/>
    </row>
    <row r="318" spans="2:10">
      <c r="B318" s="215" t="s">
        <v>520</v>
      </c>
      <c r="C318" s="212">
        <v>42795</v>
      </c>
      <c r="D318" s="212">
        <v>1</v>
      </c>
      <c r="E318" s="212">
        <v>41.95</v>
      </c>
      <c r="F318" s="212">
        <v>21.66</v>
      </c>
      <c r="G318" s="212">
        <v>20.29</v>
      </c>
      <c r="H318" s="216" t="s">
        <v>565</v>
      </c>
      <c r="I318" s="214" t="str">
        <f t="shared" si="4"/>
        <v>Dinamarca</v>
      </c>
      <c r="J318" s="214"/>
    </row>
    <row r="319" spans="2:10">
      <c r="B319" s="215" t="s">
        <v>520</v>
      </c>
      <c r="C319" s="212">
        <v>42795</v>
      </c>
      <c r="D319" s="212">
        <v>2</v>
      </c>
      <c r="E319" s="212">
        <v>57.9</v>
      </c>
      <c r="F319" s="212">
        <v>19.53</v>
      </c>
      <c r="G319" s="212">
        <v>38.369999999999997</v>
      </c>
      <c r="H319" s="216" t="s">
        <v>523</v>
      </c>
      <c r="I319" s="214" t="str">
        <f t="shared" si="4"/>
        <v>Dominican Republic</v>
      </c>
      <c r="J319" s="214"/>
    </row>
    <row r="320" spans="2:10">
      <c r="B320" s="215" t="s">
        <v>520</v>
      </c>
      <c r="C320" s="212">
        <v>42795</v>
      </c>
      <c r="D320" s="212">
        <v>3</v>
      </c>
      <c r="E320" s="212">
        <v>86.85</v>
      </c>
      <c r="F320" s="212">
        <v>31.71</v>
      </c>
      <c r="G320" s="212">
        <v>55.14</v>
      </c>
      <c r="H320" s="216" t="s">
        <v>524</v>
      </c>
      <c r="I320" s="214" t="str">
        <f t="shared" si="4"/>
        <v>Ecuador</v>
      </c>
      <c r="J320" s="214"/>
    </row>
    <row r="321" spans="2:10">
      <c r="B321" s="215" t="s">
        <v>518</v>
      </c>
      <c r="C321" s="212">
        <v>42795</v>
      </c>
      <c r="D321" s="212">
        <v>2</v>
      </c>
      <c r="E321" s="212">
        <v>90</v>
      </c>
      <c r="F321" s="212">
        <v>32.1</v>
      </c>
      <c r="G321" s="212">
        <v>57.9</v>
      </c>
      <c r="H321" s="216" t="s">
        <v>537</v>
      </c>
      <c r="I321" s="214" t="str">
        <f t="shared" si="4"/>
        <v>España</v>
      </c>
      <c r="J321" s="214"/>
    </row>
    <row r="322" spans="2:10">
      <c r="B322" s="215" t="s">
        <v>520</v>
      </c>
      <c r="C322" s="212">
        <v>42795</v>
      </c>
      <c r="D322" s="212">
        <v>1</v>
      </c>
      <c r="E322" s="212">
        <v>25.95</v>
      </c>
      <c r="F322" s="212">
        <v>9.8699999999999992</v>
      </c>
      <c r="G322" s="212">
        <v>16.079999999999998</v>
      </c>
      <c r="H322" s="216" t="s">
        <v>538</v>
      </c>
      <c r="I322" s="214" t="str">
        <f t="shared" si="4"/>
        <v>Estonia</v>
      </c>
      <c r="J322" s="214"/>
    </row>
    <row r="323" spans="2:10">
      <c r="B323" s="215" t="s">
        <v>520</v>
      </c>
      <c r="C323" s="212">
        <v>42795</v>
      </c>
      <c r="D323" s="212">
        <v>1</v>
      </c>
      <c r="E323" s="212">
        <v>25.95</v>
      </c>
      <c r="F323" s="212">
        <v>9.8699999999999992</v>
      </c>
      <c r="G323" s="212">
        <v>16.079999999999998</v>
      </c>
      <c r="H323" s="216" t="s">
        <v>539</v>
      </c>
      <c r="I323" s="214" t="str">
        <f t="shared" si="4"/>
        <v>Finlandia</v>
      </c>
      <c r="J323" s="214"/>
    </row>
    <row r="324" spans="2:10">
      <c r="B324" s="215" t="s">
        <v>542</v>
      </c>
      <c r="C324" s="212">
        <v>42795</v>
      </c>
      <c r="D324" s="212">
        <v>2</v>
      </c>
      <c r="E324" s="212">
        <v>83.9</v>
      </c>
      <c r="F324" s="212">
        <v>35.200000000000003</v>
      </c>
      <c r="G324" s="212">
        <v>48.7</v>
      </c>
      <c r="H324" s="216" t="s">
        <v>540</v>
      </c>
      <c r="I324" s="214" t="str">
        <f t="shared" si="4"/>
        <v>Francia</v>
      </c>
      <c r="J324" s="214"/>
    </row>
    <row r="325" spans="2:10">
      <c r="B325" s="215" t="s">
        <v>536</v>
      </c>
      <c r="C325" s="212">
        <v>42797</v>
      </c>
      <c r="D325" s="212">
        <v>2</v>
      </c>
      <c r="E325" s="212">
        <v>43.9</v>
      </c>
      <c r="F325" s="212">
        <v>18.86</v>
      </c>
      <c r="G325" s="212">
        <v>25.04</v>
      </c>
      <c r="H325" s="216" t="s">
        <v>528</v>
      </c>
      <c r="I325" s="214" t="str">
        <f t="shared" ref="I325:I388" si="5">VLOOKUP(H325,$L$4:$M$46,2,FALSE)</f>
        <v>UK</v>
      </c>
      <c r="J325" s="214"/>
    </row>
    <row r="326" spans="2:10">
      <c r="B326" s="215" t="s">
        <v>525</v>
      </c>
      <c r="C326" s="212">
        <v>42799</v>
      </c>
      <c r="D326" s="212">
        <v>1</v>
      </c>
      <c r="E326" s="212">
        <v>23.95</v>
      </c>
      <c r="F326" s="212">
        <v>8.15</v>
      </c>
      <c r="G326" s="212">
        <v>15.8</v>
      </c>
      <c r="H326" s="216" t="s">
        <v>529</v>
      </c>
      <c r="I326" s="214" t="str">
        <f t="shared" si="5"/>
        <v>Grecia</v>
      </c>
      <c r="J326" s="214"/>
    </row>
    <row r="327" spans="2:10">
      <c r="B327" s="215" t="s">
        <v>530</v>
      </c>
      <c r="C327" s="212">
        <v>42795</v>
      </c>
      <c r="D327" s="212">
        <v>1</v>
      </c>
      <c r="E327" s="212">
        <v>25.99</v>
      </c>
      <c r="F327" s="212">
        <v>9.2200000000000006</v>
      </c>
      <c r="G327" s="212">
        <v>16.77</v>
      </c>
      <c r="H327" s="216" t="s">
        <v>531</v>
      </c>
      <c r="I327" s="214" t="str">
        <f t="shared" si="5"/>
        <v>Hong Kong</v>
      </c>
      <c r="J327" s="214"/>
    </row>
    <row r="328" spans="2:10">
      <c r="B328" s="215" t="s">
        <v>530</v>
      </c>
      <c r="C328" s="212">
        <v>42795</v>
      </c>
      <c r="D328" s="212">
        <v>3</v>
      </c>
      <c r="E328" s="212">
        <v>77.97</v>
      </c>
      <c r="F328" s="212">
        <v>29.46</v>
      </c>
      <c r="G328" s="212">
        <v>48.51</v>
      </c>
      <c r="H328" s="216" t="s">
        <v>543</v>
      </c>
      <c r="I328" s="214" t="str">
        <f t="shared" si="5"/>
        <v>Honduras</v>
      </c>
      <c r="J328" s="214"/>
    </row>
    <row r="329" spans="2:10">
      <c r="B329" s="215" t="s">
        <v>518</v>
      </c>
      <c r="C329" s="212">
        <v>42796</v>
      </c>
      <c r="D329" s="212">
        <v>2</v>
      </c>
      <c r="E329" s="212">
        <v>47.9</v>
      </c>
      <c r="F329" s="212">
        <v>19.98</v>
      </c>
      <c r="G329" s="212">
        <v>27.92</v>
      </c>
      <c r="H329" s="216" t="s">
        <v>544</v>
      </c>
      <c r="I329" s="214" t="str">
        <f t="shared" si="5"/>
        <v>Croatia</v>
      </c>
      <c r="J329" s="214"/>
    </row>
    <row r="330" spans="2:10">
      <c r="B330" s="215" t="s">
        <v>518</v>
      </c>
      <c r="C330" s="212">
        <v>42796</v>
      </c>
      <c r="D330" s="212">
        <v>2</v>
      </c>
      <c r="E330" s="212">
        <v>47.9</v>
      </c>
      <c r="F330" s="212">
        <v>17.149999999999999</v>
      </c>
      <c r="G330" s="212">
        <v>30.75</v>
      </c>
      <c r="H330" s="216" t="s">
        <v>532</v>
      </c>
      <c r="I330" s="214" t="str">
        <f t="shared" si="5"/>
        <v>Hungria</v>
      </c>
      <c r="J330" s="214"/>
    </row>
    <row r="331" spans="2:10">
      <c r="B331" s="215" t="s">
        <v>518</v>
      </c>
      <c r="C331" s="212">
        <v>42798</v>
      </c>
      <c r="D331" s="212">
        <v>24</v>
      </c>
      <c r="E331" s="212">
        <v>344.88</v>
      </c>
      <c r="F331" s="212">
        <v>213.1</v>
      </c>
      <c r="G331" s="212">
        <v>131.78</v>
      </c>
      <c r="H331" s="216" t="s">
        <v>533</v>
      </c>
      <c r="I331" s="214" t="str">
        <f t="shared" si="5"/>
        <v>Irlanda</v>
      </c>
      <c r="J331" s="214"/>
    </row>
    <row r="332" spans="2:10">
      <c r="B332" s="215" t="s">
        <v>518</v>
      </c>
      <c r="C332" s="212">
        <v>42796</v>
      </c>
      <c r="D332" s="212">
        <v>2</v>
      </c>
      <c r="E332" s="212">
        <v>47.9</v>
      </c>
      <c r="F332" s="212">
        <v>20.58</v>
      </c>
      <c r="G332" s="212">
        <v>27.32</v>
      </c>
      <c r="H332" s="216" t="s">
        <v>535</v>
      </c>
      <c r="I332" s="214" t="str">
        <f t="shared" si="5"/>
        <v>Italia</v>
      </c>
      <c r="J332" s="214"/>
    </row>
    <row r="333" spans="2:10">
      <c r="B333" s="215" t="s">
        <v>518</v>
      </c>
      <c r="C333" s="212">
        <v>42796</v>
      </c>
      <c r="D333" s="212">
        <v>45</v>
      </c>
      <c r="E333" s="212">
        <v>668.21</v>
      </c>
      <c r="F333" s="212">
        <v>481.29</v>
      </c>
      <c r="G333" s="212">
        <v>186.92</v>
      </c>
      <c r="H333" s="216" t="s">
        <v>545</v>
      </c>
      <c r="I333" s="214" t="str">
        <f t="shared" si="5"/>
        <v>Lithuania</v>
      </c>
      <c r="J333" s="214"/>
    </row>
    <row r="334" spans="2:10">
      <c r="B334" s="215" t="s">
        <v>518</v>
      </c>
      <c r="C334" s="212">
        <v>42796</v>
      </c>
      <c r="D334" s="212">
        <v>4</v>
      </c>
      <c r="E334" s="212">
        <v>95.8</v>
      </c>
      <c r="F334" s="212">
        <v>34.71</v>
      </c>
      <c r="G334" s="212">
        <v>61.09</v>
      </c>
      <c r="H334" s="216" t="s">
        <v>566</v>
      </c>
      <c r="I334" s="214" t="str">
        <f t="shared" si="5"/>
        <v>Luxembourg</v>
      </c>
      <c r="J334" s="214"/>
    </row>
    <row r="335" spans="2:10">
      <c r="B335" s="215" t="s">
        <v>530</v>
      </c>
      <c r="C335" s="212">
        <v>42796</v>
      </c>
      <c r="D335" s="212">
        <v>2</v>
      </c>
      <c r="E335" s="212">
        <v>43.9</v>
      </c>
      <c r="F335" s="212">
        <v>17.3</v>
      </c>
      <c r="G335" s="212">
        <v>26.6</v>
      </c>
      <c r="H335" s="216" t="s">
        <v>567</v>
      </c>
      <c r="I335" s="214" t="str">
        <f t="shared" si="5"/>
        <v>Latvia</v>
      </c>
      <c r="J335" s="214"/>
    </row>
    <row r="336" spans="2:10">
      <c r="B336" s="215" t="s">
        <v>530</v>
      </c>
      <c r="C336" s="212">
        <v>42796</v>
      </c>
      <c r="D336" s="212">
        <v>2</v>
      </c>
      <c r="E336" s="212">
        <v>43.9</v>
      </c>
      <c r="F336" s="212">
        <v>16.96</v>
      </c>
      <c r="G336" s="212">
        <v>26.94</v>
      </c>
      <c r="H336" s="216" t="s">
        <v>568</v>
      </c>
      <c r="I336" s="214" t="str">
        <f t="shared" si="5"/>
        <v>Mexico</v>
      </c>
      <c r="J336" s="214"/>
    </row>
    <row r="337" spans="2:10">
      <c r="B337" s="215" t="s">
        <v>530</v>
      </c>
      <c r="C337" s="212">
        <v>42796</v>
      </c>
      <c r="D337" s="212">
        <v>1</v>
      </c>
      <c r="E337" s="212">
        <v>21.95</v>
      </c>
      <c r="F337" s="212">
        <v>8.65</v>
      </c>
      <c r="G337" s="212">
        <v>13.3</v>
      </c>
      <c r="H337" s="216" t="s">
        <v>546</v>
      </c>
      <c r="I337" s="214" t="str">
        <f t="shared" si="5"/>
        <v>Holanda</v>
      </c>
      <c r="J337" s="214"/>
    </row>
    <row r="338" spans="2:10">
      <c r="B338" s="215" t="s">
        <v>530</v>
      </c>
      <c r="C338" s="212">
        <v>42796</v>
      </c>
      <c r="D338" s="212">
        <v>1</v>
      </c>
      <c r="E338" s="212">
        <v>21.95</v>
      </c>
      <c r="F338" s="212">
        <v>8.4</v>
      </c>
      <c r="G338" s="212">
        <v>13.55</v>
      </c>
      <c r="H338" s="216" t="s">
        <v>547</v>
      </c>
      <c r="I338" s="214" t="str">
        <f t="shared" si="5"/>
        <v>Norway</v>
      </c>
      <c r="J338" s="214"/>
    </row>
    <row r="339" spans="2:10">
      <c r="B339" s="215" t="s">
        <v>530</v>
      </c>
      <c r="C339" s="212">
        <v>42798</v>
      </c>
      <c r="D339" s="212">
        <v>3</v>
      </c>
      <c r="E339" s="212">
        <v>65.849999999999994</v>
      </c>
      <c r="F339" s="212">
        <v>27.98</v>
      </c>
      <c r="G339" s="212">
        <v>37.869999999999997</v>
      </c>
      <c r="H339" s="216" t="s">
        <v>548</v>
      </c>
      <c r="I339" s="214" t="str">
        <f t="shared" si="5"/>
        <v>Peru</v>
      </c>
      <c r="J339" s="214"/>
    </row>
    <row r="340" spans="2:10">
      <c r="B340" s="215" t="s">
        <v>530</v>
      </c>
      <c r="C340" s="212">
        <v>42796</v>
      </c>
      <c r="D340" s="212">
        <v>1</v>
      </c>
      <c r="E340" s="212">
        <v>21.95</v>
      </c>
      <c r="F340" s="212">
        <v>8.65</v>
      </c>
      <c r="G340" s="212">
        <v>13.3</v>
      </c>
      <c r="H340" s="216" t="s">
        <v>549</v>
      </c>
      <c r="I340" s="214" t="str">
        <f t="shared" si="5"/>
        <v>Polonia</v>
      </c>
      <c r="J340" s="214"/>
    </row>
    <row r="341" spans="2:10">
      <c r="B341" s="215" t="s">
        <v>534</v>
      </c>
      <c r="C341" s="212">
        <v>42796</v>
      </c>
      <c r="D341" s="212">
        <v>2</v>
      </c>
      <c r="E341" s="212">
        <v>47.9</v>
      </c>
      <c r="F341" s="212">
        <v>15.97</v>
      </c>
      <c r="G341" s="212">
        <v>31.93</v>
      </c>
      <c r="H341" s="216" t="s">
        <v>550</v>
      </c>
      <c r="I341" s="214" t="str">
        <f t="shared" si="5"/>
        <v>Portugal</v>
      </c>
      <c r="J341" s="214"/>
    </row>
    <row r="342" spans="2:10">
      <c r="B342" s="215" t="s">
        <v>536</v>
      </c>
      <c r="C342" s="212">
        <v>42796</v>
      </c>
      <c r="D342" s="212">
        <v>3</v>
      </c>
      <c r="E342" s="212">
        <v>20.97</v>
      </c>
      <c r="F342" s="212">
        <v>10.63</v>
      </c>
      <c r="G342" s="212">
        <v>10.34</v>
      </c>
      <c r="H342" s="216" t="s">
        <v>551</v>
      </c>
      <c r="I342" s="214" t="str">
        <f t="shared" si="5"/>
        <v>Slovakia</v>
      </c>
      <c r="J342" s="214"/>
    </row>
    <row r="343" spans="2:10">
      <c r="B343" s="215" t="s">
        <v>536</v>
      </c>
      <c r="C343" s="212">
        <v>42796</v>
      </c>
      <c r="D343" s="212">
        <v>3</v>
      </c>
      <c r="E343" s="212">
        <v>20.97</v>
      </c>
      <c r="F343" s="212">
        <v>9.07</v>
      </c>
      <c r="G343" s="212">
        <v>11.9</v>
      </c>
      <c r="H343" s="216" t="s">
        <v>552</v>
      </c>
      <c r="I343" s="214" t="str">
        <f t="shared" si="5"/>
        <v>Slovenia</v>
      </c>
      <c r="J343" s="214"/>
    </row>
    <row r="344" spans="2:10">
      <c r="B344" s="215" t="s">
        <v>536</v>
      </c>
      <c r="C344" s="212">
        <v>42798</v>
      </c>
      <c r="D344" s="212">
        <v>2</v>
      </c>
      <c r="E344" s="212">
        <v>13.98</v>
      </c>
      <c r="F344" s="212">
        <v>5.98</v>
      </c>
      <c r="G344" s="212">
        <v>8</v>
      </c>
      <c r="H344" s="216" t="s">
        <v>553</v>
      </c>
      <c r="I344" s="214" t="str">
        <f t="shared" si="5"/>
        <v>Suecia</v>
      </c>
      <c r="J344" s="214"/>
    </row>
    <row r="345" spans="2:10">
      <c r="B345" s="215" t="s">
        <v>536</v>
      </c>
      <c r="C345" s="212">
        <v>42800</v>
      </c>
      <c r="D345" s="212">
        <v>1</v>
      </c>
      <c r="E345" s="212">
        <v>6.99</v>
      </c>
      <c r="F345" s="212">
        <v>3.58</v>
      </c>
      <c r="G345" s="212">
        <v>3.41</v>
      </c>
      <c r="H345" s="216" t="s">
        <v>554</v>
      </c>
      <c r="I345" s="214" t="str">
        <f t="shared" si="5"/>
        <v>Ucrania</v>
      </c>
      <c r="J345" s="214"/>
    </row>
    <row r="346" spans="2:10">
      <c r="B346" s="215" t="s">
        <v>536</v>
      </c>
      <c r="C346" s="212">
        <v>42796</v>
      </c>
      <c r="D346" s="212">
        <v>1</v>
      </c>
      <c r="E346" s="212">
        <v>6.99</v>
      </c>
      <c r="F346" s="212">
        <v>2.99</v>
      </c>
      <c r="G346" s="212">
        <v>4</v>
      </c>
      <c r="H346" s="216" t="s">
        <v>555</v>
      </c>
      <c r="I346" s="214" t="str">
        <f t="shared" si="5"/>
        <v>Ustados Unidos</v>
      </c>
      <c r="J346" s="214"/>
    </row>
    <row r="347" spans="2:10">
      <c r="B347" s="215" t="s">
        <v>536</v>
      </c>
      <c r="C347" s="212">
        <v>42796</v>
      </c>
      <c r="D347" s="212">
        <v>4</v>
      </c>
      <c r="E347" s="212">
        <v>27.96</v>
      </c>
      <c r="F347" s="212">
        <v>13.52</v>
      </c>
      <c r="G347" s="212">
        <v>14.44</v>
      </c>
      <c r="H347" s="216" t="s">
        <v>556</v>
      </c>
      <c r="I347" s="214" t="str">
        <f t="shared" si="5"/>
        <v>Venezuela</v>
      </c>
      <c r="J347" s="214"/>
    </row>
    <row r="348" spans="2:10">
      <c r="B348" s="215" t="s">
        <v>541</v>
      </c>
      <c r="C348" s="212">
        <v>42796</v>
      </c>
      <c r="D348" s="212">
        <v>12</v>
      </c>
      <c r="E348" s="212">
        <v>243.36</v>
      </c>
      <c r="F348" s="212">
        <v>137.78</v>
      </c>
      <c r="G348" s="212">
        <v>105.58</v>
      </c>
      <c r="H348" s="216" t="s">
        <v>519</v>
      </c>
      <c r="I348" s="214" t="str">
        <f t="shared" si="5"/>
        <v>Argentina</v>
      </c>
      <c r="J348" s="214"/>
    </row>
    <row r="349" spans="2:10">
      <c r="B349" s="215" t="s">
        <v>541</v>
      </c>
      <c r="C349" s="212">
        <v>42796</v>
      </c>
      <c r="D349" s="212">
        <v>1</v>
      </c>
      <c r="E349" s="212">
        <v>26</v>
      </c>
      <c r="F349" s="212">
        <v>9.3800000000000008</v>
      </c>
      <c r="G349" s="212">
        <v>16.62</v>
      </c>
      <c r="H349" s="216" t="s">
        <v>557</v>
      </c>
      <c r="I349" s="214" t="str">
        <f t="shared" si="5"/>
        <v>Australia</v>
      </c>
      <c r="J349" s="214"/>
    </row>
    <row r="350" spans="2:10">
      <c r="B350" s="215" t="s">
        <v>541</v>
      </c>
      <c r="C350" s="212">
        <v>42796</v>
      </c>
      <c r="D350" s="212">
        <v>2</v>
      </c>
      <c r="E350" s="212">
        <v>53.98</v>
      </c>
      <c r="F350" s="212">
        <v>18.71</v>
      </c>
      <c r="G350" s="212">
        <v>35.270000000000003</v>
      </c>
      <c r="H350" s="216" t="s">
        <v>558</v>
      </c>
      <c r="I350" s="214" t="str">
        <f t="shared" si="5"/>
        <v>Austria</v>
      </c>
      <c r="J350" s="214"/>
    </row>
    <row r="351" spans="2:10">
      <c r="B351" s="215" t="s">
        <v>541</v>
      </c>
      <c r="C351" s="212">
        <v>42796</v>
      </c>
      <c r="D351" s="212">
        <v>2</v>
      </c>
      <c r="E351" s="212">
        <v>53.98</v>
      </c>
      <c r="F351" s="212">
        <v>22.36</v>
      </c>
      <c r="G351" s="212">
        <v>31.62</v>
      </c>
      <c r="H351" s="216" t="s">
        <v>559</v>
      </c>
      <c r="I351" s="214" t="str">
        <f t="shared" si="5"/>
        <v>Belgica</v>
      </c>
      <c r="J351" s="214"/>
    </row>
    <row r="352" spans="2:10">
      <c r="B352" s="215" t="s">
        <v>541</v>
      </c>
      <c r="C352" s="212">
        <v>42798</v>
      </c>
      <c r="D352" s="212">
        <v>60</v>
      </c>
      <c r="E352" s="212">
        <v>858.28</v>
      </c>
      <c r="F352" s="212">
        <v>696.6</v>
      </c>
      <c r="G352" s="212">
        <v>161.68</v>
      </c>
      <c r="H352" s="216" t="s">
        <v>560</v>
      </c>
      <c r="I352" s="214" t="str">
        <f t="shared" si="5"/>
        <v>Bulgaria</v>
      </c>
      <c r="J352" s="214"/>
    </row>
    <row r="353" spans="2:10">
      <c r="B353" s="215" t="s">
        <v>541</v>
      </c>
      <c r="C353" s="212">
        <v>42800</v>
      </c>
      <c r="D353" s="212">
        <v>3</v>
      </c>
      <c r="E353" s="212">
        <v>80.97</v>
      </c>
      <c r="F353" s="212">
        <v>31.93</v>
      </c>
      <c r="G353" s="212">
        <v>49.04</v>
      </c>
      <c r="H353" s="216" t="s">
        <v>561</v>
      </c>
      <c r="I353" s="214" t="str">
        <f t="shared" si="5"/>
        <v>Brazil</v>
      </c>
      <c r="J353" s="214"/>
    </row>
    <row r="354" spans="2:10">
      <c r="B354" s="215" t="s">
        <v>542</v>
      </c>
      <c r="C354" s="212">
        <v>42796</v>
      </c>
      <c r="D354" s="212">
        <v>6</v>
      </c>
      <c r="E354" s="212">
        <v>119.7</v>
      </c>
      <c r="F354" s="212">
        <v>43.86</v>
      </c>
      <c r="G354" s="212">
        <v>75.84</v>
      </c>
      <c r="H354" s="216" t="s">
        <v>526</v>
      </c>
      <c r="I354" s="214" t="str">
        <f t="shared" si="5"/>
        <v>Canada</v>
      </c>
      <c r="J354" s="214"/>
    </row>
    <row r="355" spans="2:10">
      <c r="B355" s="215" t="s">
        <v>542</v>
      </c>
      <c r="C355" s="212">
        <v>42796</v>
      </c>
      <c r="D355" s="212">
        <v>2</v>
      </c>
      <c r="E355" s="212">
        <v>23.9</v>
      </c>
      <c r="F355" s="212">
        <v>9.66</v>
      </c>
      <c r="G355" s="212">
        <v>14.24</v>
      </c>
      <c r="H355" s="216" t="s">
        <v>527</v>
      </c>
      <c r="I355" s="214" t="str">
        <f t="shared" si="5"/>
        <v>Suiza</v>
      </c>
      <c r="J355" s="214"/>
    </row>
    <row r="356" spans="2:10">
      <c r="B356" s="215" t="s">
        <v>542</v>
      </c>
      <c r="C356" s="212">
        <v>42796</v>
      </c>
      <c r="D356" s="212">
        <v>2</v>
      </c>
      <c r="E356" s="212">
        <v>23.9</v>
      </c>
      <c r="F356" s="212">
        <v>8.93</v>
      </c>
      <c r="G356" s="212">
        <v>14.97</v>
      </c>
      <c r="H356" s="216" t="s">
        <v>562</v>
      </c>
      <c r="I356" s="214" t="str">
        <f t="shared" si="5"/>
        <v>Chile</v>
      </c>
      <c r="J356" s="214"/>
    </row>
    <row r="357" spans="2:10">
      <c r="B357" s="215" t="s">
        <v>534</v>
      </c>
      <c r="C357" s="212">
        <v>42796</v>
      </c>
      <c r="D357" s="212">
        <v>6</v>
      </c>
      <c r="E357" s="212">
        <v>1496.88</v>
      </c>
      <c r="F357" s="212">
        <v>637.59</v>
      </c>
      <c r="G357" s="212">
        <v>859.29</v>
      </c>
      <c r="H357" s="216" t="s">
        <v>521</v>
      </c>
      <c r="I357" s="214" t="str">
        <f t="shared" si="5"/>
        <v>Colombia</v>
      </c>
      <c r="J357" s="214"/>
    </row>
    <row r="358" spans="2:10">
      <c r="B358" s="215" t="s">
        <v>534</v>
      </c>
      <c r="C358" s="212">
        <v>42796</v>
      </c>
      <c r="D358" s="212">
        <v>1</v>
      </c>
      <c r="E358" s="212">
        <v>252</v>
      </c>
      <c r="F358" s="212">
        <v>88.22</v>
      </c>
      <c r="G358" s="212">
        <v>163.78</v>
      </c>
      <c r="H358" s="216" t="s">
        <v>563</v>
      </c>
      <c r="I358" s="214" t="str">
        <f t="shared" si="5"/>
        <v>Costa Rica</v>
      </c>
      <c r="J358" s="214"/>
    </row>
    <row r="359" spans="2:10">
      <c r="B359" s="215" t="s">
        <v>520</v>
      </c>
      <c r="C359" s="212">
        <v>42796</v>
      </c>
      <c r="D359" s="212">
        <v>1</v>
      </c>
      <c r="E359" s="212">
        <v>28.95</v>
      </c>
      <c r="F359" s="212">
        <v>11.03</v>
      </c>
      <c r="G359" s="212">
        <v>17.920000000000002</v>
      </c>
      <c r="H359" s="216" t="s">
        <v>564</v>
      </c>
      <c r="I359" s="214" t="str">
        <f t="shared" si="5"/>
        <v>Czech Republic</v>
      </c>
      <c r="J359" s="214"/>
    </row>
    <row r="360" spans="2:10">
      <c r="B360" s="215" t="s">
        <v>520</v>
      </c>
      <c r="C360" s="212">
        <v>42796</v>
      </c>
      <c r="D360" s="212">
        <v>1</v>
      </c>
      <c r="E360" s="212">
        <v>28.95</v>
      </c>
      <c r="F360" s="212">
        <v>9.77</v>
      </c>
      <c r="G360" s="212">
        <v>19.18</v>
      </c>
      <c r="H360" s="216" t="s">
        <v>522</v>
      </c>
      <c r="I360" s="214" t="str">
        <f t="shared" si="5"/>
        <v>Germany</v>
      </c>
      <c r="J360" s="214"/>
    </row>
    <row r="361" spans="2:10">
      <c r="B361" s="215" t="s">
        <v>520</v>
      </c>
      <c r="C361" s="212">
        <v>42796</v>
      </c>
      <c r="D361" s="212">
        <v>3</v>
      </c>
      <c r="E361" s="212">
        <v>86.85</v>
      </c>
      <c r="F361" s="212">
        <v>31.71</v>
      </c>
      <c r="G361" s="212">
        <v>55.14</v>
      </c>
      <c r="H361" s="216" t="s">
        <v>565</v>
      </c>
      <c r="I361" s="214" t="str">
        <f t="shared" si="5"/>
        <v>Dinamarca</v>
      </c>
      <c r="J361" s="214"/>
    </row>
    <row r="362" spans="2:10">
      <c r="B362" s="215" t="s">
        <v>520</v>
      </c>
      <c r="C362" s="212">
        <v>42796</v>
      </c>
      <c r="D362" s="212">
        <v>2</v>
      </c>
      <c r="E362" s="212">
        <v>57.9</v>
      </c>
      <c r="F362" s="212">
        <v>24.13</v>
      </c>
      <c r="G362" s="212">
        <v>33.770000000000003</v>
      </c>
      <c r="H362" s="216" t="s">
        <v>523</v>
      </c>
      <c r="I362" s="214" t="str">
        <f t="shared" si="5"/>
        <v>Dominican Republic</v>
      </c>
      <c r="J362" s="214"/>
    </row>
    <row r="363" spans="2:10">
      <c r="B363" s="215" t="s">
        <v>520</v>
      </c>
      <c r="C363" s="212">
        <v>42796</v>
      </c>
      <c r="D363" s="212">
        <v>36</v>
      </c>
      <c r="E363" s="212">
        <v>921.22</v>
      </c>
      <c r="F363" s="212">
        <v>772.2</v>
      </c>
      <c r="G363" s="212">
        <v>149.02000000000001</v>
      </c>
      <c r="H363" s="216" t="s">
        <v>524</v>
      </c>
      <c r="I363" s="214" t="str">
        <f t="shared" si="5"/>
        <v>Ecuador</v>
      </c>
      <c r="J363" s="214"/>
    </row>
    <row r="364" spans="2:10">
      <c r="B364" s="215" t="s">
        <v>520</v>
      </c>
      <c r="C364" s="212">
        <v>42796</v>
      </c>
      <c r="D364" s="212">
        <v>3</v>
      </c>
      <c r="E364" s="212">
        <v>86.85</v>
      </c>
      <c r="F364" s="212">
        <v>32.75</v>
      </c>
      <c r="G364" s="212">
        <v>54.1</v>
      </c>
      <c r="H364" s="216" t="s">
        <v>537</v>
      </c>
      <c r="I364" s="214" t="str">
        <f t="shared" si="5"/>
        <v>España</v>
      </c>
      <c r="J364" s="214"/>
    </row>
    <row r="365" spans="2:10">
      <c r="B365" s="215" t="s">
        <v>520</v>
      </c>
      <c r="C365" s="212">
        <v>42796</v>
      </c>
      <c r="D365" s="212">
        <v>2</v>
      </c>
      <c r="E365" s="212">
        <v>51.9</v>
      </c>
      <c r="F365" s="212">
        <v>21.92</v>
      </c>
      <c r="G365" s="212">
        <v>29.98</v>
      </c>
      <c r="H365" s="216" t="s">
        <v>538</v>
      </c>
      <c r="I365" s="214" t="str">
        <f t="shared" si="5"/>
        <v>Estonia</v>
      </c>
      <c r="J365" s="214"/>
    </row>
    <row r="366" spans="2:10">
      <c r="B366" s="215" t="s">
        <v>520</v>
      </c>
      <c r="C366" s="212">
        <v>42798</v>
      </c>
      <c r="D366" s="212">
        <v>48</v>
      </c>
      <c r="E366" s="212">
        <v>685.08</v>
      </c>
      <c r="F366" s="212">
        <v>567.66999999999996</v>
      </c>
      <c r="G366" s="212">
        <v>117.41</v>
      </c>
      <c r="H366" s="216" t="s">
        <v>539</v>
      </c>
      <c r="I366" s="214" t="str">
        <f t="shared" si="5"/>
        <v>Finlandia</v>
      </c>
      <c r="J366" s="214"/>
    </row>
    <row r="367" spans="2:10">
      <c r="B367" s="215" t="s">
        <v>520</v>
      </c>
      <c r="C367" s="212">
        <v>42796</v>
      </c>
      <c r="D367" s="212">
        <v>2</v>
      </c>
      <c r="E367" s="212">
        <v>51.9</v>
      </c>
      <c r="F367" s="212">
        <v>21.92</v>
      </c>
      <c r="G367" s="212">
        <v>29.98</v>
      </c>
      <c r="H367" s="216" t="s">
        <v>540</v>
      </c>
      <c r="I367" s="214" t="str">
        <f t="shared" si="5"/>
        <v>Francia</v>
      </c>
      <c r="J367" s="214"/>
    </row>
    <row r="368" spans="2:10">
      <c r="B368" s="215" t="s">
        <v>542</v>
      </c>
      <c r="C368" s="212">
        <v>42796</v>
      </c>
      <c r="D368" s="212">
        <v>1</v>
      </c>
      <c r="E368" s="212">
        <v>41.95</v>
      </c>
      <c r="F368" s="212">
        <v>13.76</v>
      </c>
      <c r="G368" s="212">
        <v>28.19</v>
      </c>
      <c r="H368" s="216" t="s">
        <v>528</v>
      </c>
      <c r="I368" s="214" t="str">
        <f t="shared" si="5"/>
        <v>UK</v>
      </c>
      <c r="J368" s="214"/>
    </row>
    <row r="369" spans="2:10">
      <c r="B369" s="215" t="s">
        <v>518</v>
      </c>
      <c r="C369" s="212">
        <v>42796</v>
      </c>
      <c r="D369" s="212">
        <v>1</v>
      </c>
      <c r="E369" s="212">
        <v>25.5</v>
      </c>
      <c r="F369" s="212">
        <v>10.3</v>
      </c>
      <c r="G369" s="212">
        <v>15.2</v>
      </c>
      <c r="H369" s="216" t="s">
        <v>529</v>
      </c>
      <c r="I369" s="214" t="str">
        <f t="shared" si="5"/>
        <v>Grecia</v>
      </c>
      <c r="J369" s="214"/>
    </row>
    <row r="370" spans="2:10">
      <c r="B370" s="215" t="s">
        <v>536</v>
      </c>
      <c r="C370" s="212">
        <v>42796</v>
      </c>
      <c r="D370" s="212">
        <v>2</v>
      </c>
      <c r="E370" s="212">
        <v>43.9</v>
      </c>
      <c r="F370" s="212">
        <v>16.440000000000001</v>
      </c>
      <c r="G370" s="212">
        <v>27.46</v>
      </c>
      <c r="H370" s="216" t="s">
        <v>531</v>
      </c>
      <c r="I370" s="214" t="str">
        <f t="shared" si="5"/>
        <v>Hong Kong</v>
      </c>
      <c r="J370" s="214"/>
    </row>
    <row r="371" spans="2:10">
      <c r="B371" s="215" t="s">
        <v>536</v>
      </c>
      <c r="C371" s="212">
        <v>42796</v>
      </c>
      <c r="D371" s="212">
        <v>4</v>
      </c>
      <c r="E371" s="212">
        <v>87.8</v>
      </c>
      <c r="F371" s="212">
        <v>30.1</v>
      </c>
      <c r="G371" s="212">
        <v>57.7</v>
      </c>
      <c r="H371" s="216" t="s">
        <v>543</v>
      </c>
      <c r="I371" s="214" t="str">
        <f t="shared" si="5"/>
        <v>Honduras</v>
      </c>
      <c r="J371" s="214"/>
    </row>
    <row r="372" spans="2:10">
      <c r="B372" s="215" t="s">
        <v>536</v>
      </c>
      <c r="C372" s="212">
        <v>42796</v>
      </c>
      <c r="D372" s="212">
        <v>4</v>
      </c>
      <c r="E372" s="212">
        <v>87.8</v>
      </c>
      <c r="F372" s="212">
        <v>31.14</v>
      </c>
      <c r="G372" s="212">
        <v>56.66</v>
      </c>
      <c r="H372" s="216" t="s">
        <v>544</v>
      </c>
      <c r="I372" s="214" t="str">
        <f t="shared" si="5"/>
        <v>Croatia</v>
      </c>
      <c r="J372" s="214"/>
    </row>
    <row r="373" spans="2:10">
      <c r="B373" s="215" t="s">
        <v>525</v>
      </c>
      <c r="C373" s="212">
        <v>42796</v>
      </c>
      <c r="D373" s="212">
        <v>4</v>
      </c>
      <c r="E373" s="212">
        <v>58</v>
      </c>
      <c r="F373" s="212">
        <v>24.72</v>
      </c>
      <c r="G373" s="212">
        <v>33.28</v>
      </c>
      <c r="H373" s="216" t="s">
        <v>532</v>
      </c>
      <c r="I373" s="214" t="str">
        <f t="shared" si="5"/>
        <v>Hungria</v>
      </c>
      <c r="J373" s="214"/>
    </row>
    <row r="374" spans="2:10">
      <c r="B374" s="215" t="s">
        <v>525</v>
      </c>
      <c r="C374" s="212">
        <v>42796</v>
      </c>
      <c r="D374" s="212">
        <v>2</v>
      </c>
      <c r="E374" s="212">
        <v>47.9</v>
      </c>
      <c r="F374" s="212">
        <v>18.39</v>
      </c>
      <c r="G374" s="212">
        <v>29.51</v>
      </c>
      <c r="H374" s="216" t="s">
        <v>533</v>
      </c>
      <c r="I374" s="214" t="str">
        <f t="shared" si="5"/>
        <v>Irlanda</v>
      </c>
      <c r="J374" s="214"/>
    </row>
    <row r="375" spans="2:10">
      <c r="B375" s="215" t="s">
        <v>530</v>
      </c>
      <c r="C375" s="212">
        <v>42796</v>
      </c>
      <c r="D375" s="212">
        <v>2</v>
      </c>
      <c r="E375" s="212">
        <v>51.98</v>
      </c>
      <c r="F375" s="212">
        <v>19.239999999999998</v>
      </c>
      <c r="G375" s="212">
        <v>32.74</v>
      </c>
      <c r="H375" s="216" t="s">
        <v>535</v>
      </c>
      <c r="I375" s="214" t="str">
        <f t="shared" si="5"/>
        <v>Italia</v>
      </c>
      <c r="J375" s="214"/>
    </row>
    <row r="376" spans="2:10">
      <c r="B376" s="215" t="s">
        <v>530</v>
      </c>
      <c r="C376" s="212">
        <v>42796</v>
      </c>
      <c r="D376" s="212">
        <v>2</v>
      </c>
      <c r="E376" s="212">
        <v>51.98</v>
      </c>
      <c r="F376" s="212">
        <v>20.239999999999998</v>
      </c>
      <c r="G376" s="212">
        <v>31.74</v>
      </c>
      <c r="H376" s="216" t="s">
        <v>545</v>
      </c>
      <c r="I376" s="214" t="str">
        <f t="shared" si="5"/>
        <v>Lithuania</v>
      </c>
      <c r="J376" s="214"/>
    </row>
    <row r="377" spans="2:10">
      <c r="B377" s="215" t="s">
        <v>530</v>
      </c>
      <c r="C377" s="212">
        <v>42796</v>
      </c>
      <c r="D377" s="212">
        <v>2</v>
      </c>
      <c r="E377" s="212">
        <v>51.98</v>
      </c>
      <c r="F377" s="212">
        <v>18.239999999999998</v>
      </c>
      <c r="G377" s="212">
        <v>33.74</v>
      </c>
      <c r="H377" s="216" t="s">
        <v>566</v>
      </c>
      <c r="I377" s="214" t="str">
        <f t="shared" si="5"/>
        <v>Luxembourg</v>
      </c>
      <c r="J377" s="214"/>
    </row>
    <row r="378" spans="2:10">
      <c r="B378" s="215" t="s">
        <v>530</v>
      </c>
      <c r="C378" s="212">
        <v>42796</v>
      </c>
      <c r="D378" s="212">
        <v>2</v>
      </c>
      <c r="E378" s="212">
        <v>51.98</v>
      </c>
      <c r="F378" s="212">
        <v>20.04</v>
      </c>
      <c r="G378" s="212">
        <v>31.94</v>
      </c>
      <c r="H378" s="216" t="s">
        <v>567</v>
      </c>
      <c r="I378" s="214" t="str">
        <f t="shared" si="5"/>
        <v>Latvia</v>
      </c>
      <c r="J378" s="214"/>
    </row>
    <row r="379" spans="2:10">
      <c r="B379" s="215" t="s">
        <v>530</v>
      </c>
      <c r="C379" s="212">
        <v>42796</v>
      </c>
      <c r="D379" s="212">
        <v>1</v>
      </c>
      <c r="E379" s="212">
        <v>25.99</v>
      </c>
      <c r="F379" s="212">
        <v>9.42</v>
      </c>
      <c r="G379" s="212">
        <v>16.57</v>
      </c>
      <c r="H379" s="216" t="s">
        <v>568</v>
      </c>
      <c r="I379" s="214" t="str">
        <f t="shared" si="5"/>
        <v>Mexico</v>
      </c>
      <c r="J379" s="214"/>
    </row>
    <row r="380" spans="2:10">
      <c r="B380" s="215" t="s">
        <v>518</v>
      </c>
      <c r="C380" s="212">
        <v>42798</v>
      </c>
      <c r="D380" s="212">
        <v>3</v>
      </c>
      <c r="E380" s="212">
        <v>71.849999999999994</v>
      </c>
      <c r="F380" s="212">
        <v>26.94</v>
      </c>
      <c r="G380" s="212">
        <v>44.91</v>
      </c>
      <c r="H380" s="216" t="s">
        <v>546</v>
      </c>
      <c r="I380" s="214" t="str">
        <f t="shared" si="5"/>
        <v>Holanda</v>
      </c>
      <c r="J380" s="214"/>
    </row>
    <row r="381" spans="2:10">
      <c r="B381" s="215" t="s">
        <v>530</v>
      </c>
      <c r="C381" s="212">
        <v>42797</v>
      </c>
      <c r="D381" s="212">
        <v>1</v>
      </c>
      <c r="E381" s="212">
        <v>21.95</v>
      </c>
      <c r="F381" s="212">
        <v>8.99</v>
      </c>
      <c r="G381" s="212">
        <v>12.96</v>
      </c>
      <c r="H381" s="216" t="s">
        <v>547</v>
      </c>
      <c r="I381" s="214" t="str">
        <f t="shared" si="5"/>
        <v>Norway</v>
      </c>
      <c r="J381" s="214"/>
    </row>
    <row r="382" spans="2:10">
      <c r="B382" s="215" t="s">
        <v>530</v>
      </c>
      <c r="C382" s="212">
        <v>42799</v>
      </c>
      <c r="D382" s="212">
        <v>2</v>
      </c>
      <c r="E382" s="212">
        <v>43.9</v>
      </c>
      <c r="F382" s="212">
        <v>17.47</v>
      </c>
      <c r="G382" s="212">
        <v>26.43</v>
      </c>
      <c r="H382" s="216" t="s">
        <v>548</v>
      </c>
      <c r="I382" s="214" t="str">
        <f t="shared" si="5"/>
        <v>Peru</v>
      </c>
      <c r="J382" s="214"/>
    </row>
    <row r="383" spans="2:10">
      <c r="B383" s="215" t="s">
        <v>536</v>
      </c>
      <c r="C383" s="212">
        <v>42797</v>
      </c>
      <c r="D383" s="212">
        <v>2</v>
      </c>
      <c r="E383" s="212">
        <v>13.98</v>
      </c>
      <c r="F383" s="212">
        <v>6.18</v>
      </c>
      <c r="G383" s="212">
        <v>7.8</v>
      </c>
      <c r="H383" s="216" t="s">
        <v>549</v>
      </c>
      <c r="I383" s="214" t="str">
        <f t="shared" si="5"/>
        <v>Polonia</v>
      </c>
      <c r="J383" s="214"/>
    </row>
    <row r="384" spans="2:10">
      <c r="B384" s="215" t="s">
        <v>536</v>
      </c>
      <c r="C384" s="212">
        <v>42799</v>
      </c>
      <c r="D384" s="212">
        <v>1</v>
      </c>
      <c r="E384" s="212">
        <v>6.99</v>
      </c>
      <c r="F384" s="212">
        <v>3.22</v>
      </c>
      <c r="G384" s="212">
        <v>3.77</v>
      </c>
      <c r="H384" s="216" t="s">
        <v>550</v>
      </c>
      <c r="I384" s="214" t="str">
        <f t="shared" si="5"/>
        <v>Portugal</v>
      </c>
      <c r="J384" s="214"/>
    </row>
    <row r="385" spans="2:10">
      <c r="B385" s="215" t="s">
        <v>536</v>
      </c>
      <c r="C385" s="212">
        <v>42801</v>
      </c>
      <c r="D385" s="212">
        <v>3</v>
      </c>
      <c r="E385" s="212">
        <v>20.97</v>
      </c>
      <c r="F385" s="212">
        <v>9.85</v>
      </c>
      <c r="G385" s="212">
        <v>11.12</v>
      </c>
      <c r="H385" s="216" t="s">
        <v>551</v>
      </c>
      <c r="I385" s="214" t="str">
        <f t="shared" si="5"/>
        <v>Slovakia</v>
      </c>
      <c r="J385" s="214"/>
    </row>
    <row r="386" spans="2:10">
      <c r="B386" s="215" t="s">
        <v>536</v>
      </c>
      <c r="C386" s="212">
        <v>42797</v>
      </c>
      <c r="D386" s="212">
        <v>4</v>
      </c>
      <c r="E386" s="212">
        <v>27.96</v>
      </c>
      <c r="F386" s="212">
        <v>11.96</v>
      </c>
      <c r="G386" s="212">
        <v>16</v>
      </c>
      <c r="H386" s="216" t="s">
        <v>552</v>
      </c>
      <c r="I386" s="214" t="str">
        <f t="shared" si="5"/>
        <v>Slovenia</v>
      </c>
      <c r="J386" s="214"/>
    </row>
    <row r="387" spans="2:10">
      <c r="B387" s="215" t="s">
        <v>536</v>
      </c>
      <c r="C387" s="212">
        <v>42799</v>
      </c>
      <c r="D387" s="212">
        <v>1</v>
      </c>
      <c r="E387" s="212">
        <v>6.99</v>
      </c>
      <c r="F387" s="212">
        <v>3.38</v>
      </c>
      <c r="G387" s="212">
        <v>3.61</v>
      </c>
      <c r="H387" s="216" t="s">
        <v>553</v>
      </c>
      <c r="I387" s="214" t="str">
        <f t="shared" si="5"/>
        <v>Suecia</v>
      </c>
      <c r="J387" s="214"/>
    </row>
    <row r="388" spans="2:10">
      <c r="B388" s="215" t="s">
        <v>541</v>
      </c>
      <c r="C388" s="212">
        <v>42797</v>
      </c>
      <c r="D388" s="212">
        <v>2</v>
      </c>
      <c r="E388" s="212">
        <v>52</v>
      </c>
      <c r="F388" s="212">
        <v>24.07</v>
      </c>
      <c r="G388" s="212">
        <v>27.93</v>
      </c>
      <c r="H388" s="216" t="s">
        <v>554</v>
      </c>
      <c r="I388" s="214" t="str">
        <f t="shared" si="5"/>
        <v>Ucrania</v>
      </c>
      <c r="J388" s="214"/>
    </row>
    <row r="389" spans="2:10">
      <c r="B389" s="215" t="s">
        <v>541</v>
      </c>
      <c r="C389" s="212">
        <v>42797</v>
      </c>
      <c r="D389" s="212">
        <v>1</v>
      </c>
      <c r="E389" s="212">
        <v>26.99</v>
      </c>
      <c r="F389" s="212">
        <v>10.75</v>
      </c>
      <c r="G389" s="212">
        <v>16.239999999999998</v>
      </c>
      <c r="H389" s="216" t="s">
        <v>555</v>
      </c>
      <c r="I389" s="214" t="str">
        <f t="shared" ref="I389:I452" si="6">VLOOKUP(H389,$L$4:$M$46,2,FALSE)</f>
        <v>Ustados Unidos</v>
      </c>
      <c r="J389" s="214"/>
    </row>
    <row r="390" spans="2:10">
      <c r="B390" s="215" t="s">
        <v>541</v>
      </c>
      <c r="C390" s="212">
        <v>42797</v>
      </c>
      <c r="D390" s="212">
        <v>3</v>
      </c>
      <c r="E390" s="212">
        <v>80.97</v>
      </c>
      <c r="F390" s="212">
        <v>28.38</v>
      </c>
      <c r="G390" s="212">
        <v>52.59</v>
      </c>
      <c r="H390" s="216" t="s">
        <v>556</v>
      </c>
      <c r="I390" s="214" t="str">
        <f t="shared" si="6"/>
        <v>Venezuela</v>
      </c>
      <c r="J390" s="214"/>
    </row>
    <row r="391" spans="2:10">
      <c r="B391" s="215" t="s">
        <v>541</v>
      </c>
      <c r="C391" s="212">
        <v>42797</v>
      </c>
      <c r="D391" s="212">
        <v>2</v>
      </c>
      <c r="E391" s="212">
        <v>53.98</v>
      </c>
      <c r="F391" s="212">
        <v>22.36</v>
      </c>
      <c r="G391" s="212">
        <v>31.62</v>
      </c>
      <c r="H391" s="216" t="s">
        <v>519</v>
      </c>
      <c r="I391" s="214" t="str">
        <f t="shared" si="6"/>
        <v>Argentina</v>
      </c>
      <c r="J391" s="214"/>
    </row>
    <row r="392" spans="2:10">
      <c r="B392" s="215" t="s">
        <v>541</v>
      </c>
      <c r="C392" s="212">
        <v>42797</v>
      </c>
      <c r="D392" s="212">
        <v>1</v>
      </c>
      <c r="E392" s="212">
        <v>23.5</v>
      </c>
      <c r="F392" s="212">
        <v>10.220000000000001</v>
      </c>
      <c r="G392" s="212">
        <v>13.28</v>
      </c>
      <c r="H392" s="216" t="s">
        <v>557</v>
      </c>
      <c r="I392" s="214" t="str">
        <f t="shared" si="6"/>
        <v>Australia</v>
      </c>
      <c r="J392" s="214"/>
    </row>
    <row r="393" spans="2:10">
      <c r="B393" s="215" t="s">
        <v>541</v>
      </c>
      <c r="C393" s="212">
        <v>42797</v>
      </c>
      <c r="D393" s="212">
        <v>2</v>
      </c>
      <c r="E393" s="212">
        <v>53.98</v>
      </c>
      <c r="F393" s="212">
        <v>21.72</v>
      </c>
      <c r="G393" s="212">
        <v>32.26</v>
      </c>
      <c r="H393" s="216" t="s">
        <v>558</v>
      </c>
      <c r="I393" s="214" t="str">
        <f t="shared" si="6"/>
        <v>Austria</v>
      </c>
      <c r="J393" s="214"/>
    </row>
    <row r="394" spans="2:10">
      <c r="B394" s="215" t="s">
        <v>541</v>
      </c>
      <c r="C394" s="212">
        <v>42797</v>
      </c>
      <c r="D394" s="212">
        <v>2</v>
      </c>
      <c r="E394" s="212">
        <v>53.98</v>
      </c>
      <c r="F394" s="212">
        <v>20.43</v>
      </c>
      <c r="G394" s="212">
        <v>33.549999999999997</v>
      </c>
      <c r="H394" s="216" t="s">
        <v>559</v>
      </c>
      <c r="I394" s="214" t="str">
        <f t="shared" si="6"/>
        <v>Belgica</v>
      </c>
      <c r="J394" s="214"/>
    </row>
    <row r="395" spans="2:10">
      <c r="B395" s="215" t="s">
        <v>542</v>
      </c>
      <c r="C395" s="212">
        <v>42798</v>
      </c>
      <c r="D395" s="212">
        <v>48</v>
      </c>
      <c r="E395" s="212">
        <v>526.67999999999995</v>
      </c>
      <c r="F395" s="212">
        <v>440.64</v>
      </c>
      <c r="G395" s="212">
        <v>86.04</v>
      </c>
      <c r="H395" s="216" t="s">
        <v>560</v>
      </c>
      <c r="I395" s="214" t="str">
        <f t="shared" si="6"/>
        <v>Bulgaria</v>
      </c>
      <c r="J395" s="214"/>
    </row>
    <row r="396" spans="2:10">
      <c r="B396" s="215" t="s">
        <v>534</v>
      </c>
      <c r="C396" s="212">
        <v>42797</v>
      </c>
      <c r="D396" s="212">
        <v>2</v>
      </c>
      <c r="E396" s="212">
        <v>504</v>
      </c>
      <c r="F396" s="212">
        <v>180.45</v>
      </c>
      <c r="G396" s="212">
        <v>323.55</v>
      </c>
      <c r="H396" s="216" t="s">
        <v>561</v>
      </c>
      <c r="I396" s="214" t="str">
        <f t="shared" si="6"/>
        <v>Brazil</v>
      </c>
      <c r="J396" s="214"/>
    </row>
    <row r="397" spans="2:10">
      <c r="B397" s="215" t="s">
        <v>520</v>
      </c>
      <c r="C397" s="212">
        <v>42799</v>
      </c>
      <c r="D397" s="212">
        <v>36</v>
      </c>
      <c r="E397" s="212">
        <v>667.01</v>
      </c>
      <c r="F397" s="212">
        <v>430.19</v>
      </c>
      <c r="G397" s="212">
        <v>236.82</v>
      </c>
      <c r="H397" s="216" t="s">
        <v>526</v>
      </c>
      <c r="I397" s="214" t="str">
        <f t="shared" si="6"/>
        <v>Canada</v>
      </c>
      <c r="J397" s="214"/>
    </row>
    <row r="398" spans="2:10">
      <c r="B398" s="215" t="s">
        <v>520</v>
      </c>
      <c r="C398" s="212">
        <v>42801</v>
      </c>
      <c r="D398" s="212">
        <v>2</v>
      </c>
      <c r="E398" s="212">
        <v>57.9</v>
      </c>
      <c r="F398" s="212">
        <v>19.989999999999998</v>
      </c>
      <c r="G398" s="212">
        <v>37.909999999999997</v>
      </c>
      <c r="H398" s="216" t="s">
        <v>527</v>
      </c>
      <c r="I398" s="214" t="str">
        <f t="shared" si="6"/>
        <v>Suiza</v>
      </c>
      <c r="J398" s="214"/>
    </row>
    <row r="399" spans="2:10">
      <c r="B399" s="215" t="s">
        <v>520</v>
      </c>
      <c r="C399" s="212">
        <v>42803</v>
      </c>
      <c r="D399" s="212">
        <v>1</v>
      </c>
      <c r="E399" s="212">
        <v>28.95</v>
      </c>
      <c r="F399" s="212">
        <v>11.95</v>
      </c>
      <c r="G399" s="212">
        <v>17</v>
      </c>
      <c r="H399" s="216" t="s">
        <v>562</v>
      </c>
      <c r="I399" s="214" t="str">
        <f t="shared" si="6"/>
        <v>Chile</v>
      </c>
      <c r="J399" s="214"/>
    </row>
    <row r="400" spans="2:10">
      <c r="B400" s="215" t="s">
        <v>520</v>
      </c>
      <c r="C400" s="212">
        <v>42805</v>
      </c>
      <c r="D400" s="212">
        <v>2</v>
      </c>
      <c r="E400" s="212">
        <v>57.9</v>
      </c>
      <c r="F400" s="212">
        <v>22.75</v>
      </c>
      <c r="G400" s="212">
        <v>35.15</v>
      </c>
      <c r="H400" s="216" t="s">
        <v>521</v>
      </c>
      <c r="I400" s="214" t="str">
        <f t="shared" si="6"/>
        <v>Colombia</v>
      </c>
      <c r="J400" s="214"/>
    </row>
    <row r="401" spans="2:10">
      <c r="B401" s="215" t="s">
        <v>520</v>
      </c>
      <c r="C401" s="212">
        <v>42807</v>
      </c>
      <c r="D401" s="212">
        <v>1</v>
      </c>
      <c r="E401" s="212">
        <v>41.95</v>
      </c>
      <c r="F401" s="212">
        <v>19.09</v>
      </c>
      <c r="G401" s="212">
        <v>22.86</v>
      </c>
      <c r="H401" s="216" t="s">
        <v>563</v>
      </c>
      <c r="I401" s="214" t="str">
        <f t="shared" si="6"/>
        <v>Costa Rica</v>
      </c>
      <c r="J401" s="214"/>
    </row>
    <row r="402" spans="2:10">
      <c r="B402" s="215" t="s">
        <v>520</v>
      </c>
      <c r="C402" s="212">
        <v>42797</v>
      </c>
      <c r="D402" s="212">
        <v>2</v>
      </c>
      <c r="E402" s="212">
        <v>83.9</v>
      </c>
      <c r="F402" s="212">
        <v>37.32</v>
      </c>
      <c r="G402" s="212">
        <v>46.58</v>
      </c>
      <c r="H402" s="216" t="s">
        <v>564</v>
      </c>
      <c r="I402" s="214" t="str">
        <f t="shared" si="6"/>
        <v>Czech Republic</v>
      </c>
      <c r="J402" s="214"/>
    </row>
    <row r="403" spans="2:10">
      <c r="B403" s="215" t="s">
        <v>518</v>
      </c>
      <c r="C403" s="212">
        <v>42797</v>
      </c>
      <c r="D403" s="212">
        <v>49</v>
      </c>
      <c r="E403" s="212">
        <v>1146.5999999999999</v>
      </c>
      <c r="F403" s="212">
        <v>768.44</v>
      </c>
      <c r="G403" s="212">
        <v>378.16</v>
      </c>
      <c r="H403" s="216" t="s">
        <v>522</v>
      </c>
      <c r="I403" s="214" t="str">
        <f t="shared" si="6"/>
        <v>Germany</v>
      </c>
      <c r="J403" s="214"/>
    </row>
    <row r="404" spans="2:10">
      <c r="B404" s="215" t="s">
        <v>518</v>
      </c>
      <c r="C404" s="212">
        <v>42797</v>
      </c>
      <c r="D404" s="212">
        <v>1</v>
      </c>
      <c r="E404" s="212">
        <v>71</v>
      </c>
      <c r="F404" s="212">
        <v>31.46</v>
      </c>
      <c r="G404" s="212">
        <v>39.54</v>
      </c>
      <c r="H404" s="216" t="s">
        <v>565</v>
      </c>
      <c r="I404" s="214" t="str">
        <f t="shared" si="6"/>
        <v>Dinamarca</v>
      </c>
      <c r="J404" s="214"/>
    </row>
    <row r="405" spans="2:10">
      <c r="B405" s="215" t="s">
        <v>520</v>
      </c>
      <c r="C405" s="212">
        <v>42797</v>
      </c>
      <c r="D405" s="212">
        <v>44</v>
      </c>
      <c r="E405" s="212">
        <v>696.5</v>
      </c>
      <c r="F405" s="212">
        <v>458.3</v>
      </c>
      <c r="G405" s="212">
        <v>238.2</v>
      </c>
      <c r="H405" s="216" t="s">
        <v>523</v>
      </c>
      <c r="I405" s="214" t="str">
        <f t="shared" si="6"/>
        <v>Dominican Republic</v>
      </c>
      <c r="J405" s="214"/>
    </row>
    <row r="406" spans="2:10">
      <c r="B406" s="215" t="s">
        <v>542</v>
      </c>
      <c r="C406" s="212">
        <v>42797</v>
      </c>
      <c r="D406" s="212">
        <v>1</v>
      </c>
      <c r="E406" s="212">
        <v>41.95</v>
      </c>
      <c r="F406" s="212">
        <v>14.24</v>
      </c>
      <c r="G406" s="212">
        <v>27.71</v>
      </c>
      <c r="H406" s="216" t="s">
        <v>524</v>
      </c>
      <c r="I406" s="214" t="str">
        <f t="shared" si="6"/>
        <v>Ecuador</v>
      </c>
      <c r="J406" s="214"/>
    </row>
    <row r="407" spans="2:10">
      <c r="B407" s="215" t="s">
        <v>536</v>
      </c>
      <c r="C407" s="212">
        <v>42797</v>
      </c>
      <c r="D407" s="212">
        <v>1</v>
      </c>
      <c r="E407" s="212">
        <v>21.95</v>
      </c>
      <c r="F407" s="212">
        <v>9.17</v>
      </c>
      <c r="G407" s="212">
        <v>12.78</v>
      </c>
      <c r="H407" s="216" t="s">
        <v>537</v>
      </c>
      <c r="I407" s="214" t="str">
        <f t="shared" si="6"/>
        <v>España</v>
      </c>
      <c r="J407" s="214"/>
    </row>
    <row r="408" spans="2:10">
      <c r="B408" s="215" t="s">
        <v>536</v>
      </c>
      <c r="C408" s="212">
        <v>42799</v>
      </c>
      <c r="D408" s="212">
        <v>1</v>
      </c>
      <c r="E408" s="212">
        <v>21.95</v>
      </c>
      <c r="F408" s="212">
        <v>8.82</v>
      </c>
      <c r="G408" s="212">
        <v>13.13</v>
      </c>
      <c r="H408" s="216" t="s">
        <v>538</v>
      </c>
      <c r="I408" s="214" t="str">
        <f t="shared" si="6"/>
        <v>Estonia</v>
      </c>
      <c r="J408" s="214"/>
    </row>
    <row r="409" spans="2:10">
      <c r="B409" s="215" t="s">
        <v>536</v>
      </c>
      <c r="C409" s="212">
        <v>42797</v>
      </c>
      <c r="D409" s="212">
        <v>2</v>
      </c>
      <c r="E409" s="212">
        <v>43.9</v>
      </c>
      <c r="F409" s="212">
        <v>14.88</v>
      </c>
      <c r="G409" s="212">
        <v>29.02</v>
      </c>
      <c r="H409" s="216" t="s">
        <v>539</v>
      </c>
      <c r="I409" s="214" t="str">
        <f t="shared" si="6"/>
        <v>Finlandia</v>
      </c>
      <c r="J409" s="214"/>
    </row>
    <row r="410" spans="2:10">
      <c r="B410" s="215" t="s">
        <v>525</v>
      </c>
      <c r="C410" s="212">
        <v>42797</v>
      </c>
      <c r="D410" s="212">
        <v>3</v>
      </c>
      <c r="E410" s="212">
        <v>43.5</v>
      </c>
      <c r="F410" s="212">
        <v>18.36</v>
      </c>
      <c r="G410" s="212">
        <v>25.14</v>
      </c>
      <c r="H410" s="216" t="s">
        <v>540</v>
      </c>
      <c r="I410" s="214" t="str">
        <f t="shared" si="6"/>
        <v>Francia</v>
      </c>
      <c r="J410" s="214"/>
    </row>
    <row r="411" spans="2:10">
      <c r="B411" s="215" t="s">
        <v>525</v>
      </c>
      <c r="C411" s="212">
        <v>42799</v>
      </c>
      <c r="D411" s="212">
        <v>4</v>
      </c>
      <c r="E411" s="212">
        <v>95.8</v>
      </c>
      <c r="F411" s="212">
        <v>34.51</v>
      </c>
      <c r="G411" s="212">
        <v>61.29</v>
      </c>
      <c r="H411" s="216" t="s">
        <v>528</v>
      </c>
      <c r="I411" s="214" t="str">
        <f t="shared" si="6"/>
        <v>UK</v>
      </c>
      <c r="J411" s="214"/>
    </row>
    <row r="412" spans="2:10">
      <c r="B412" s="215" t="s">
        <v>525</v>
      </c>
      <c r="C412" s="212">
        <v>42797</v>
      </c>
      <c r="D412" s="212">
        <v>1</v>
      </c>
      <c r="E412" s="212">
        <v>23.95</v>
      </c>
      <c r="F412" s="212">
        <v>10.43</v>
      </c>
      <c r="G412" s="212">
        <v>13.52</v>
      </c>
      <c r="H412" s="216" t="s">
        <v>529</v>
      </c>
      <c r="I412" s="214" t="str">
        <f t="shared" si="6"/>
        <v>Grecia</v>
      </c>
      <c r="J412" s="214"/>
    </row>
    <row r="413" spans="2:10">
      <c r="B413" s="215" t="s">
        <v>525</v>
      </c>
      <c r="C413" s="212">
        <v>42797</v>
      </c>
      <c r="D413" s="212">
        <v>1</v>
      </c>
      <c r="E413" s="212">
        <v>23.95</v>
      </c>
      <c r="F413" s="212">
        <v>10.43</v>
      </c>
      <c r="G413" s="212">
        <v>13.52</v>
      </c>
      <c r="H413" s="216" t="s">
        <v>531</v>
      </c>
      <c r="I413" s="214" t="str">
        <f t="shared" si="6"/>
        <v>Hong Kong</v>
      </c>
      <c r="J413" s="214"/>
    </row>
    <row r="414" spans="2:10">
      <c r="B414" s="215" t="s">
        <v>530</v>
      </c>
      <c r="C414" s="212">
        <v>42797</v>
      </c>
      <c r="D414" s="212">
        <v>2</v>
      </c>
      <c r="E414" s="212">
        <v>51.98</v>
      </c>
      <c r="F414" s="212">
        <v>20.84</v>
      </c>
      <c r="G414" s="212">
        <v>31.14</v>
      </c>
      <c r="H414" s="216" t="s">
        <v>543</v>
      </c>
      <c r="I414" s="214" t="str">
        <f t="shared" si="6"/>
        <v>Honduras</v>
      </c>
      <c r="J414" s="214"/>
    </row>
    <row r="415" spans="2:10">
      <c r="B415" s="215" t="s">
        <v>518</v>
      </c>
      <c r="C415" s="212">
        <v>42798</v>
      </c>
      <c r="D415" s="212">
        <v>2</v>
      </c>
      <c r="E415" s="212">
        <v>47.9</v>
      </c>
      <c r="F415" s="212">
        <v>17.96</v>
      </c>
      <c r="G415" s="212">
        <v>29.94</v>
      </c>
      <c r="H415" s="216" t="s">
        <v>544</v>
      </c>
      <c r="I415" s="214" t="str">
        <f t="shared" si="6"/>
        <v>Croatia</v>
      </c>
      <c r="J415" s="214"/>
    </row>
    <row r="416" spans="2:10">
      <c r="B416" s="215" t="s">
        <v>518</v>
      </c>
      <c r="C416" s="212">
        <v>42800</v>
      </c>
      <c r="D416" s="212">
        <v>2</v>
      </c>
      <c r="E416" s="212">
        <v>47.9</v>
      </c>
      <c r="F416" s="212">
        <v>19.170000000000002</v>
      </c>
      <c r="G416" s="212">
        <v>28.73</v>
      </c>
      <c r="H416" s="216" t="s">
        <v>532</v>
      </c>
      <c r="I416" s="214" t="str">
        <f t="shared" si="6"/>
        <v>Hungria</v>
      </c>
      <c r="J416" s="214"/>
    </row>
    <row r="417" spans="2:10">
      <c r="B417" s="215" t="s">
        <v>530</v>
      </c>
      <c r="C417" s="212">
        <v>42802</v>
      </c>
      <c r="D417" s="212">
        <v>3</v>
      </c>
      <c r="E417" s="212">
        <v>65.849999999999994</v>
      </c>
      <c r="F417" s="212">
        <v>21.62</v>
      </c>
      <c r="G417" s="212">
        <v>44.23</v>
      </c>
      <c r="H417" s="216" t="s">
        <v>533</v>
      </c>
      <c r="I417" s="214" t="str">
        <f t="shared" si="6"/>
        <v>Irlanda</v>
      </c>
      <c r="J417" s="214"/>
    </row>
    <row r="418" spans="2:10">
      <c r="B418" s="215" t="s">
        <v>530</v>
      </c>
      <c r="C418" s="212">
        <v>42798</v>
      </c>
      <c r="D418" s="212">
        <v>2</v>
      </c>
      <c r="E418" s="212">
        <v>43.9</v>
      </c>
      <c r="F418" s="212">
        <v>14.42</v>
      </c>
      <c r="G418" s="212">
        <v>29.48</v>
      </c>
      <c r="H418" s="216" t="s">
        <v>535</v>
      </c>
      <c r="I418" s="214" t="str">
        <f t="shared" si="6"/>
        <v>Italia</v>
      </c>
      <c r="J418" s="214"/>
    </row>
    <row r="419" spans="2:10">
      <c r="B419" s="215" t="s">
        <v>534</v>
      </c>
      <c r="C419" s="212">
        <v>42798</v>
      </c>
      <c r="D419" s="212">
        <v>3</v>
      </c>
      <c r="E419" s="212">
        <v>71.849999999999994</v>
      </c>
      <c r="F419" s="212">
        <v>22.87</v>
      </c>
      <c r="G419" s="212">
        <v>48.98</v>
      </c>
      <c r="H419" s="216" t="s">
        <v>545</v>
      </c>
      <c r="I419" s="214" t="str">
        <f t="shared" si="6"/>
        <v>Lithuania</v>
      </c>
      <c r="J419" s="214"/>
    </row>
    <row r="420" spans="2:10">
      <c r="B420" s="215" t="s">
        <v>536</v>
      </c>
      <c r="C420" s="212">
        <v>42798</v>
      </c>
      <c r="D420" s="212">
        <v>2</v>
      </c>
      <c r="E420" s="212">
        <v>13.98</v>
      </c>
      <c r="F420" s="212">
        <v>5.98</v>
      </c>
      <c r="G420" s="212">
        <v>8</v>
      </c>
      <c r="H420" s="216" t="s">
        <v>566</v>
      </c>
      <c r="I420" s="214" t="str">
        <f t="shared" si="6"/>
        <v>Luxembourg</v>
      </c>
      <c r="J420" s="214"/>
    </row>
    <row r="421" spans="2:10">
      <c r="B421" s="215" t="s">
        <v>536</v>
      </c>
      <c r="C421" s="212">
        <v>42798</v>
      </c>
      <c r="D421" s="212">
        <v>2</v>
      </c>
      <c r="E421" s="212">
        <v>13.98</v>
      </c>
      <c r="F421" s="212">
        <v>5.66</v>
      </c>
      <c r="G421" s="212">
        <v>8.32</v>
      </c>
      <c r="H421" s="216" t="s">
        <v>567</v>
      </c>
      <c r="I421" s="214" t="str">
        <f t="shared" si="6"/>
        <v>Latvia</v>
      </c>
      <c r="J421" s="214"/>
    </row>
    <row r="422" spans="2:10">
      <c r="B422" s="215" t="s">
        <v>536</v>
      </c>
      <c r="C422" s="212">
        <v>42798</v>
      </c>
      <c r="D422" s="212">
        <v>4</v>
      </c>
      <c r="E422" s="212">
        <v>27.96</v>
      </c>
      <c r="F422" s="212">
        <v>12.48</v>
      </c>
      <c r="G422" s="212">
        <v>15.48</v>
      </c>
      <c r="H422" s="216" t="s">
        <v>568</v>
      </c>
      <c r="I422" s="214" t="str">
        <f t="shared" si="6"/>
        <v>Mexico</v>
      </c>
      <c r="J422" s="214"/>
    </row>
    <row r="423" spans="2:10">
      <c r="B423" s="215" t="s">
        <v>536</v>
      </c>
      <c r="C423" s="212">
        <v>42798</v>
      </c>
      <c r="D423" s="212">
        <v>1</v>
      </c>
      <c r="E423" s="212">
        <v>6.99</v>
      </c>
      <c r="F423" s="212">
        <v>3.15</v>
      </c>
      <c r="G423" s="212">
        <v>3.84</v>
      </c>
      <c r="H423" s="216" t="s">
        <v>546</v>
      </c>
      <c r="I423" s="214" t="str">
        <f t="shared" si="6"/>
        <v>Holanda</v>
      </c>
      <c r="J423" s="214"/>
    </row>
    <row r="424" spans="2:10">
      <c r="B424" s="215" t="s">
        <v>536</v>
      </c>
      <c r="C424" s="212">
        <v>42800</v>
      </c>
      <c r="D424" s="212">
        <v>1</v>
      </c>
      <c r="E424" s="212">
        <v>6.99</v>
      </c>
      <c r="F424" s="212">
        <v>3.28</v>
      </c>
      <c r="G424" s="212">
        <v>3.71</v>
      </c>
      <c r="H424" s="216" t="s">
        <v>547</v>
      </c>
      <c r="I424" s="214" t="str">
        <f t="shared" si="6"/>
        <v>Norway</v>
      </c>
      <c r="J424" s="214"/>
    </row>
    <row r="425" spans="2:10">
      <c r="B425" s="215" t="s">
        <v>536</v>
      </c>
      <c r="C425" s="212">
        <v>42798</v>
      </c>
      <c r="D425" s="212">
        <v>2</v>
      </c>
      <c r="E425" s="212">
        <v>13.98</v>
      </c>
      <c r="F425" s="212">
        <v>7.02</v>
      </c>
      <c r="G425" s="212">
        <v>6.96</v>
      </c>
      <c r="H425" s="216" t="s">
        <v>548</v>
      </c>
      <c r="I425" s="214" t="str">
        <f t="shared" si="6"/>
        <v>Peru</v>
      </c>
      <c r="J425" s="214"/>
    </row>
    <row r="426" spans="2:10">
      <c r="B426" s="215" t="s">
        <v>536</v>
      </c>
      <c r="C426" s="212">
        <v>42800</v>
      </c>
      <c r="D426" s="212">
        <v>2</v>
      </c>
      <c r="E426" s="212">
        <v>13.98</v>
      </c>
      <c r="F426" s="212">
        <v>5.79</v>
      </c>
      <c r="G426" s="212">
        <v>8.19</v>
      </c>
      <c r="H426" s="216" t="s">
        <v>549</v>
      </c>
      <c r="I426" s="214" t="str">
        <f t="shared" si="6"/>
        <v>Polonia</v>
      </c>
      <c r="J426" s="214"/>
    </row>
    <row r="427" spans="2:10">
      <c r="B427" s="215" t="s">
        <v>541</v>
      </c>
      <c r="C427" s="212">
        <v>42798</v>
      </c>
      <c r="D427" s="212">
        <v>1</v>
      </c>
      <c r="E427" s="212">
        <v>26.99</v>
      </c>
      <c r="F427" s="212">
        <v>11.83</v>
      </c>
      <c r="G427" s="212">
        <v>15.16</v>
      </c>
      <c r="H427" s="216" t="s">
        <v>550</v>
      </c>
      <c r="I427" s="214" t="str">
        <f t="shared" si="6"/>
        <v>Portugal</v>
      </c>
      <c r="J427" s="214"/>
    </row>
    <row r="428" spans="2:10">
      <c r="B428" s="215" t="s">
        <v>541</v>
      </c>
      <c r="C428" s="212">
        <v>42800</v>
      </c>
      <c r="D428" s="212">
        <v>4</v>
      </c>
      <c r="E428" s="212">
        <v>107.96</v>
      </c>
      <c r="F428" s="212">
        <v>36.979999999999997</v>
      </c>
      <c r="G428" s="212">
        <v>70.98</v>
      </c>
      <c r="H428" s="216" t="s">
        <v>551</v>
      </c>
      <c r="I428" s="214" t="str">
        <f t="shared" si="6"/>
        <v>Slovakia</v>
      </c>
      <c r="J428" s="214"/>
    </row>
    <row r="429" spans="2:10">
      <c r="B429" s="215" t="s">
        <v>541</v>
      </c>
      <c r="C429" s="212">
        <v>42798</v>
      </c>
      <c r="D429" s="212">
        <v>66</v>
      </c>
      <c r="E429" s="212">
        <v>944.11</v>
      </c>
      <c r="F429" s="212">
        <v>638.54999999999995</v>
      </c>
      <c r="G429" s="212">
        <v>305.56</v>
      </c>
      <c r="H429" s="216" t="s">
        <v>552</v>
      </c>
      <c r="I429" s="214" t="str">
        <f t="shared" si="6"/>
        <v>Slovenia</v>
      </c>
      <c r="J429" s="214"/>
    </row>
    <row r="430" spans="2:10">
      <c r="B430" s="215" t="s">
        <v>541</v>
      </c>
      <c r="C430" s="212">
        <v>42800</v>
      </c>
      <c r="D430" s="212">
        <v>1</v>
      </c>
      <c r="E430" s="212">
        <v>26.99</v>
      </c>
      <c r="F430" s="212">
        <v>9.57</v>
      </c>
      <c r="G430" s="212">
        <v>17.420000000000002</v>
      </c>
      <c r="H430" s="216" t="s">
        <v>553</v>
      </c>
      <c r="I430" s="214" t="str">
        <f t="shared" si="6"/>
        <v>Suecia</v>
      </c>
      <c r="J430" s="214"/>
    </row>
    <row r="431" spans="2:10">
      <c r="B431" s="215" t="s">
        <v>541</v>
      </c>
      <c r="C431" s="212">
        <v>42798</v>
      </c>
      <c r="D431" s="212">
        <v>2</v>
      </c>
      <c r="E431" s="212">
        <v>53.98</v>
      </c>
      <c r="F431" s="212">
        <v>20.86</v>
      </c>
      <c r="G431" s="212">
        <v>33.119999999999997</v>
      </c>
      <c r="H431" s="216" t="s">
        <v>554</v>
      </c>
      <c r="I431" s="214" t="str">
        <f t="shared" si="6"/>
        <v>Ucrania</v>
      </c>
      <c r="J431" s="214"/>
    </row>
    <row r="432" spans="2:10">
      <c r="B432" s="215" t="s">
        <v>542</v>
      </c>
      <c r="C432" s="212">
        <v>42800</v>
      </c>
      <c r="D432" s="212">
        <v>1</v>
      </c>
      <c r="E432" s="212">
        <v>19.95</v>
      </c>
      <c r="F432" s="212">
        <v>8.67</v>
      </c>
      <c r="G432" s="212">
        <v>11.28</v>
      </c>
      <c r="H432" s="216" t="s">
        <v>555</v>
      </c>
      <c r="I432" s="214" t="str">
        <f t="shared" si="6"/>
        <v>Ustados Unidos</v>
      </c>
      <c r="J432" s="214"/>
    </row>
    <row r="433" spans="2:10">
      <c r="B433" s="215" t="s">
        <v>542</v>
      </c>
      <c r="C433" s="212">
        <v>42801</v>
      </c>
      <c r="D433" s="212">
        <v>2</v>
      </c>
      <c r="E433" s="212">
        <v>23.9</v>
      </c>
      <c r="F433" s="212">
        <v>9.66</v>
      </c>
      <c r="G433" s="212">
        <v>14.24</v>
      </c>
      <c r="H433" s="216" t="s">
        <v>556</v>
      </c>
      <c r="I433" s="214" t="str">
        <f t="shared" si="6"/>
        <v>Venezuela</v>
      </c>
      <c r="J433" s="214"/>
    </row>
    <row r="434" spans="2:10">
      <c r="B434" s="215" t="s">
        <v>542</v>
      </c>
      <c r="C434" s="212">
        <v>42798</v>
      </c>
      <c r="D434" s="212">
        <v>39</v>
      </c>
      <c r="E434" s="212">
        <v>497.95</v>
      </c>
      <c r="F434" s="212">
        <v>281.77999999999997</v>
      </c>
      <c r="G434" s="212">
        <v>216.17</v>
      </c>
      <c r="H434" s="216" t="s">
        <v>519</v>
      </c>
      <c r="I434" s="214" t="str">
        <f t="shared" si="6"/>
        <v>Argentina</v>
      </c>
      <c r="J434" s="214"/>
    </row>
    <row r="435" spans="2:10">
      <c r="B435" s="215" t="s">
        <v>534</v>
      </c>
      <c r="C435" s="212">
        <v>42798</v>
      </c>
      <c r="D435" s="212">
        <v>2</v>
      </c>
      <c r="E435" s="212">
        <v>504</v>
      </c>
      <c r="F435" s="212">
        <v>170.43</v>
      </c>
      <c r="G435" s="212">
        <v>333.57</v>
      </c>
      <c r="H435" s="216" t="s">
        <v>557</v>
      </c>
      <c r="I435" s="214" t="str">
        <f t="shared" si="6"/>
        <v>Australia</v>
      </c>
      <c r="J435" s="214"/>
    </row>
    <row r="436" spans="2:10">
      <c r="B436" s="215" t="s">
        <v>520</v>
      </c>
      <c r="C436" s="212">
        <v>42798</v>
      </c>
      <c r="D436" s="212">
        <v>3</v>
      </c>
      <c r="E436" s="212">
        <v>86.85</v>
      </c>
      <c r="F436" s="212">
        <v>31.37</v>
      </c>
      <c r="G436" s="212">
        <v>55.48</v>
      </c>
      <c r="H436" s="216" t="s">
        <v>558</v>
      </c>
      <c r="I436" s="214" t="str">
        <f t="shared" si="6"/>
        <v>Austria</v>
      </c>
      <c r="J436" s="214"/>
    </row>
    <row r="437" spans="2:10">
      <c r="B437" s="215" t="s">
        <v>520</v>
      </c>
      <c r="C437" s="212">
        <v>42798</v>
      </c>
      <c r="D437" s="212">
        <v>72</v>
      </c>
      <c r="E437" s="212">
        <v>1104.73</v>
      </c>
      <c r="F437" s="212">
        <v>794.19</v>
      </c>
      <c r="G437" s="212">
        <v>310.54000000000002</v>
      </c>
      <c r="H437" s="216" t="s">
        <v>559</v>
      </c>
      <c r="I437" s="214" t="str">
        <f t="shared" si="6"/>
        <v>Belgica</v>
      </c>
      <c r="J437" s="214"/>
    </row>
    <row r="438" spans="2:10">
      <c r="B438" s="215" t="s">
        <v>520</v>
      </c>
      <c r="C438" s="212">
        <v>42798</v>
      </c>
      <c r="D438" s="212">
        <v>43</v>
      </c>
      <c r="E438" s="212">
        <v>691.83</v>
      </c>
      <c r="F438" s="212">
        <v>471.22</v>
      </c>
      <c r="G438" s="212">
        <v>220.61</v>
      </c>
      <c r="H438" s="216" t="s">
        <v>560</v>
      </c>
      <c r="I438" s="214" t="str">
        <f t="shared" si="6"/>
        <v>Bulgaria</v>
      </c>
      <c r="J438" s="214"/>
    </row>
    <row r="439" spans="2:10">
      <c r="B439" s="215" t="s">
        <v>520</v>
      </c>
      <c r="C439" s="212">
        <v>42800</v>
      </c>
      <c r="D439" s="212">
        <v>2</v>
      </c>
      <c r="E439" s="212">
        <v>51.9</v>
      </c>
      <c r="F439" s="212">
        <v>19.100000000000001</v>
      </c>
      <c r="G439" s="212">
        <v>32.799999999999997</v>
      </c>
      <c r="H439" s="216" t="s">
        <v>561</v>
      </c>
      <c r="I439" s="214" t="str">
        <f t="shared" si="6"/>
        <v>Brazil</v>
      </c>
      <c r="J439" s="214"/>
    </row>
    <row r="440" spans="2:10">
      <c r="B440" s="215" t="s">
        <v>520</v>
      </c>
      <c r="C440" s="212">
        <v>42798</v>
      </c>
      <c r="D440" s="212">
        <v>2</v>
      </c>
      <c r="E440" s="212">
        <v>51.9</v>
      </c>
      <c r="F440" s="212">
        <v>22.79</v>
      </c>
      <c r="G440" s="212">
        <v>29.11</v>
      </c>
      <c r="H440" s="216" t="s">
        <v>526</v>
      </c>
      <c r="I440" s="214" t="str">
        <f t="shared" si="6"/>
        <v>Canada</v>
      </c>
      <c r="J440" s="214"/>
    </row>
    <row r="441" spans="2:10">
      <c r="B441" s="215" t="s">
        <v>542</v>
      </c>
      <c r="C441" s="212">
        <v>42800</v>
      </c>
      <c r="D441" s="212">
        <v>4</v>
      </c>
      <c r="E441" s="212">
        <v>167.8</v>
      </c>
      <c r="F441" s="212">
        <v>55.68</v>
      </c>
      <c r="G441" s="212">
        <v>112.12</v>
      </c>
      <c r="H441" s="216" t="s">
        <v>527</v>
      </c>
      <c r="I441" s="214" t="str">
        <f t="shared" si="6"/>
        <v>Suiza</v>
      </c>
      <c r="J441" s="214"/>
    </row>
    <row r="442" spans="2:10">
      <c r="B442" s="215" t="s">
        <v>536</v>
      </c>
      <c r="C442" s="212">
        <v>42798</v>
      </c>
      <c r="D442" s="212">
        <v>1</v>
      </c>
      <c r="E442" s="212">
        <v>21.95</v>
      </c>
      <c r="F442" s="212">
        <v>8.56</v>
      </c>
      <c r="G442" s="212">
        <v>13.39</v>
      </c>
      <c r="H442" s="216" t="s">
        <v>562</v>
      </c>
      <c r="I442" s="214" t="str">
        <f t="shared" si="6"/>
        <v>Chile</v>
      </c>
      <c r="J442" s="214"/>
    </row>
    <row r="443" spans="2:10">
      <c r="B443" s="215" t="s">
        <v>536</v>
      </c>
      <c r="C443" s="212">
        <v>42798</v>
      </c>
      <c r="D443" s="212">
        <v>2</v>
      </c>
      <c r="E443" s="212">
        <v>43.9</v>
      </c>
      <c r="F443" s="212">
        <v>17.3</v>
      </c>
      <c r="G443" s="212">
        <v>26.6</v>
      </c>
      <c r="H443" s="216" t="s">
        <v>521</v>
      </c>
      <c r="I443" s="214" t="str">
        <f t="shared" si="6"/>
        <v>Colombia</v>
      </c>
      <c r="J443" s="214"/>
    </row>
    <row r="444" spans="2:10">
      <c r="B444" s="215" t="s">
        <v>525</v>
      </c>
      <c r="C444" s="212">
        <v>42798</v>
      </c>
      <c r="D444" s="212">
        <v>2</v>
      </c>
      <c r="E444" s="212">
        <v>29</v>
      </c>
      <c r="F444" s="212">
        <v>12.84</v>
      </c>
      <c r="G444" s="212">
        <v>16.16</v>
      </c>
      <c r="H444" s="216" t="s">
        <v>563</v>
      </c>
      <c r="I444" s="214" t="str">
        <f t="shared" si="6"/>
        <v>Costa Rica</v>
      </c>
      <c r="J444" s="214"/>
    </row>
    <row r="445" spans="2:10">
      <c r="B445" s="215" t="s">
        <v>525</v>
      </c>
      <c r="C445" s="212">
        <v>42798</v>
      </c>
      <c r="D445" s="212">
        <v>3</v>
      </c>
      <c r="E445" s="212">
        <v>71.849999999999994</v>
      </c>
      <c r="F445" s="212">
        <v>25.03</v>
      </c>
      <c r="G445" s="212">
        <v>46.82</v>
      </c>
      <c r="H445" s="216" t="s">
        <v>564</v>
      </c>
      <c r="I445" s="214" t="str">
        <f t="shared" si="6"/>
        <v>Czech Republic</v>
      </c>
      <c r="J445" s="214"/>
    </row>
    <row r="446" spans="2:10">
      <c r="B446" s="215" t="s">
        <v>530</v>
      </c>
      <c r="C446" s="212">
        <v>42798</v>
      </c>
      <c r="D446" s="212">
        <v>51</v>
      </c>
      <c r="E446" s="212">
        <v>702.51</v>
      </c>
      <c r="F446" s="212">
        <v>449.7</v>
      </c>
      <c r="G446" s="212">
        <v>252.81</v>
      </c>
      <c r="H446" s="216" t="s">
        <v>522</v>
      </c>
      <c r="I446" s="214" t="str">
        <f t="shared" si="6"/>
        <v>Germany</v>
      </c>
      <c r="J446" s="214"/>
    </row>
    <row r="447" spans="2:10">
      <c r="B447" s="215" t="s">
        <v>518</v>
      </c>
      <c r="C447" s="212">
        <v>42800</v>
      </c>
      <c r="D447" s="212">
        <v>1</v>
      </c>
      <c r="E447" s="212">
        <v>23.95</v>
      </c>
      <c r="F447" s="212">
        <v>11.1</v>
      </c>
      <c r="G447" s="212">
        <v>12.85</v>
      </c>
      <c r="H447" s="216" t="s">
        <v>565</v>
      </c>
      <c r="I447" s="214" t="str">
        <f t="shared" si="6"/>
        <v>Dinamarca</v>
      </c>
      <c r="J447" s="214"/>
    </row>
    <row r="448" spans="2:10">
      <c r="B448" s="215" t="s">
        <v>530</v>
      </c>
      <c r="C448" s="212">
        <v>42802</v>
      </c>
      <c r="D448" s="212">
        <v>1</v>
      </c>
      <c r="E448" s="212">
        <v>21.95</v>
      </c>
      <c r="F448" s="212">
        <v>8.23</v>
      </c>
      <c r="G448" s="212">
        <v>13.72</v>
      </c>
      <c r="H448" s="216" t="s">
        <v>523</v>
      </c>
      <c r="I448" s="214" t="str">
        <f t="shared" si="6"/>
        <v>Dominican Republic</v>
      </c>
      <c r="J448" s="214"/>
    </row>
    <row r="449" spans="2:10">
      <c r="B449" s="215" t="s">
        <v>536</v>
      </c>
      <c r="C449" s="212">
        <v>42804</v>
      </c>
      <c r="D449" s="212">
        <v>2</v>
      </c>
      <c r="E449" s="212">
        <v>13.98</v>
      </c>
      <c r="F449" s="212">
        <v>7.09</v>
      </c>
      <c r="G449" s="212">
        <v>6.89</v>
      </c>
      <c r="H449" s="216" t="s">
        <v>524</v>
      </c>
      <c r="I449" s="214" t="str">
        <f t="shared" si="6"/>
        <v>Ecuador</v>
      </c>
      <c r="J449" s="214"/>
    </row>
    <row r="450" spans="2:10">
      <c r="B450" s="215" t="s">
        <v>536</v>
      </c>
      <c r="C450" s="212">
        <v>42806</v>
      </c>
      <c r="D450" s="212">
        <v>2</v>
      </c>
      <c r="E450" s="212">
        <v>13.98</v>
      </c>
      <c r="F450" s="212">
        <v>6.63</v>
      </c>
      <c r="G450" s="212">
        <v>7.35</v>
      </c>
      <c r="H450" s="216" t="s">
        <v>537</v>
      </c>
      <c r="I450" s="214" t="str">
        <f t="shared" si="6"/>
        <v>España</v>
      </c>
      <c r="J450" s="214"/>
    </row>
    <row r="451" spans="2:10">
      <c r="B451" s="215" t="s">
        <v>536</v>
      </c>
      <c r="C451" s="212">
        <v>42808</v>
      </c>
      <c r="D451" s="212">
        <v>2</v>
      </c>
      <c r="E451" s="212">
        <v>13.98</v>
      </c>
      <c r="F451" s="212">
        <v>6.63</v>
      </c>
      <c r="G451" s="212">
        <v>7.35</v>
      </c>
      <c r="H451" s="216" t="s">
        <v>538</v>
      </c>
      <c r="I451" s="214" t="str">
        <f t="shared" si="6"/>
        <v>Estonia</v>
      </c>
      <c r="J451" s="214"/>
    </row>
    <row r="452" spans="2:10">
      <c r="B452" s="215" t="s">
        <v>541</v>
      </c>
      <c r="C452" s="212">
        <v>42805</v>
      </c>
      <c r="D452" s="212">
        <v>1</v>
      </c>
      <c r="E452" s="212">
        <v>26</v>
      </c>
      <c r="F452" s="212">
        <v>11.48</v>
      </c>
      <c r="G452" s="212">
        <v>14.52</v>
      </c>
      <c r="H452" s="216" t="s">
        <v>539</v>
      </c>
      <c r="I452" s="214" t="str">
        <f t="shared" si="6"/>
        <v>Finlandia</v>
      </c>
      <c r="J452" s="214"/>
    </row>
    <row r="453" spans="2:10">
      <c r="B453" s="215" t="s">
        <v>542</v>
      </c>
      <c r="C453" s="212">
        <v>42809</v>
      </c>
      <c r="D453" s="212">
        <v>6</v>
      </c>
      <c r="E453" s="212">
        <v>118.5</v>
      </c>
      <c r="F453" s="212">
        <v>53.55</v>
      </c>
      <c r="G453" s="212">
        <v>64.95</v>
      </c>
      <c r="H453" s="216" t="s">
        <v>540</v>
      </c>
      <c r="I453" s="214" t="str">
        <f t="shared" ref="I453:I516" si="7">VLOOKUP(H453,$L$4:$M$46,2,FALSE)</f>
        <v>Francia</v>
      </c>
      <c r="J453" s="214"/>
    </row>
    <row r="454" spans="2:10">
      <c r="B454" s="215" t="s">
        <v>520</v>
      </c>
      <c r="C454" s="212">
        <v>42811</v>
      </c>
      <c r="D454" s="212">
        <v>2</v>
      </c>
      <c r="E454" s="212">
        <v>244</v>
      </c>
      <c r="F454" s="212">
        <v>102.55</v>
      </c>
      <c r="G454" s="212">
        <v>141.44999999999999</v>
      </c>
      <c r="H454" s="216" t="s">
        <v>528</v>
      </c>
      <c r="I454" s="214" t="str">
        <f t="shared" si="7"/>
        <v>UK</v>
      </c>
      <c r="J454" s="214"/>
    </row>
    <row r="455" spans="2:10">
      <c r="B455" s="215" t="s">
        <v>520</v>
      </c>
      <c r="C455" s="212">
        <v>42813</v>
      </c>
      <c r="D455" s="212">
        <v>1</v>
      </c>
      <c r="E455" s="212">
        <v>28.95</v>
      </c>
      <c r="F455" s="212">
        <v>10.92</v>
      </c>
      <c r="G455" s="212">
        <v>18.03</v>
      </c>
      <c r="H455" s="216" t="s">
        <v>529</v>
      </c>
      <c r="I455" s="214" t="str">
        <f t="shared" si="7"/>
        <v>Grecia</v>
      </c>
      <c r="J455" s="214"/>
    </row>
    <row r="456" spans="2:10">
      <c r="B456" s="215" t="s">
        <v>520</v>
      </c>
      <c r="C456" s="212">
        <v>42815</v>
      </c>
      <c r="D456" s="212">
        <v>46</v>
      </c>
      <c r="E456" s="212">
        <v>865.61</v>
      </c>
      <c r="F456" s="212">
        <v>491.54</v>
      </c>
      <c r="G456" s="212">
        <v>374.07</v>
      </c>
      <c r="H456" s="216" t="s">
        <v>531</v>
      </c>
      <c r="I456" s="214" t="str">
        <f t="shared" si="7"/>
        <v>Hong Kong</v>
      </c>
      <c r="J456" s="214"/>
    </row>
    <row r="457" spans="2:10">
      <c r="B457" s="215" t="s">
        <v>520</v>
      </c>
      <c r="C457" s="212">
        <v>42817</v>
      </c>
      <c r="D457" s="212">
        <v>2</v>
      </c>
      <c r="E457" s="212">
        <v>57.9</v>
      </c>
      <c r="F457" s="212">
        <v>24.36</v>
      </c>
      <c r="G457" s="212">
        <v>33.54</v>
      </c>
      <c r="H457" s="216" t="s">
        <v>543</v>
      </c>
      <c r="I457" s="214" t="str">
        <f t="shared" si="7"/>
        <v>Honduras</v>
      </c>
      <c r="J457" s="214"/>
    </row>
    <row r="458" spans="2:10">
      <c r="B458" s="215" t="s">
        <v>520</v>
      </c>
      <c r="C458" s="212">
        <v>42819</v>
      </c>
      <c r="D458" s="212">
        <v>1</v>
      </c>
      <c r="E458" s="212">
        <v>28.95</v>
      </c>
      <c r="F458" s="212">
        <v>12.41</v>
      </c>
      <c r="G458" s="212">
        <v>16.54</v>
      </c>
      <c r="H458" s="216" t="s">
        <v>544</v>
      </c>
      <c r="I458" s="214" t="str">
        <f t="shared" si="7"/>
        <v>Croatia</v>
      </c>
      <c r="J458" s="214"/>
    </row>
    <row r="459" spans="2:10">
      <c r="B459" s="215" t="s">
        <v>536</v>
      </c>
      <c r="C459" s="212">
        <v>42821</v>
      </c>
      <c r="D459" s="212">
        <v>4</v>
      </c>
      <c r="E459" s="212">
        <v>87.8</v>
      </c>
      <c r="F459" s="212">
        <v>37.020000000000003</v>
      </c>
      <c r="G459" s="212">
        <v>50.78</v>
      </c>
      <c r="H459" s="216" t="s">
        <v>532</v>
      </c>
      <c r="I459" s="214" t="str">
        <f t="shared" si="7"/>
        <v>Hungria</v>
      </c>
      <c r="J459" s="214"/>
    </row>
    <row r="460" spans="2:10">
      <c r="B460" s="215" t="s">
        <v>525</v>
      </c>
      <c r="C460" s="212">
        <v>42823</v>
      </c>
      <c r="D460" s="212">
        <v>53</v>
      </c>
      <c r="E460" s="212">
        <v>660.06</v>
      </c>
      <c r="F460" s="212">
        <v>472.29</v>
      </c>
      <c r="G460" s="212">
        <v>187.77</v>
      </c>
      <c r="H460" s="216" t="s">
        <v>533</v>
      </c>
      <c r="I460" s="214" t="str">
        <f t="shared" si="7"/>
        <v>Irlanda</v>
      </c>
      <c r="J460" s="214"/>
    </row>
    <row r="461" spans="2:10">
      <c r="B461" s="215" t="s">
        <v>518</v>
      </c>
      <c r="C461" s="212">
        <v>42825</v>
      </c>
      <c r="D461" s="212">
        <v>1</v>
      </c>
      <c r="E461" s="212">
        <v>23.95</v>
      </c>
      <c r="F461" s="212">
        <v>9.2799999999999994</v>
      </c>
      <c r="G461" s="212">
        <v>14.67</v>
      </c>
      <c r="H461" s="216" t="s">
        <v>535</v>
      </c>
      <c r="I461" s="214" t="str">
        <f t="shared" si="7"/>
        <v>Italia</v>
      </c>
      <c r="J461" s="214"/>
    </row>
    <row r="462" spans="2:10">
      <c r="B462" s="215" t="s">
        <v>530</v>
      </c>
      <c r="C462" s="212">
        <v>42827</v>
      </c>
      <c r="D462" s="212">
        <v>3</v>
      </c>
      <c r="E462" s="212">
        <v>65.849999999999994</v>
      </c>
      <c r="F462" s="212">
        <v>26.71</v>
      </c>
      <c r="G462" s="212">
        <v>39.14</v>
      </c>
      <c r="H462" s="216" t="s">
        <v>545</v>
      </c>
      <c r="I462" s="214" t="str">
        <f t="shared" si="7"/>
        <v>Lithuania</v>
      </c>
      <c r="J462" s="214"/>
    </row>
    <row r="463" spans="2:10">
      <c r="B463" s="215" t="s">
        <v>536</v>
      </c>
      <c r="C463" s="212">
        <v>42829</v>
      </c>
      <c r="D463" s="212">
        <v>4</v>
      </c>
      <c r="E463" s="212">
        <v>27.96</v>
      </c>
      <c r="F463" s="212">
        <v>12.22</v>
      </c>
      <c r="G463" s="212">
        <v>15.74</v>
      </c>
      <c r="H463" s="216" t="s">
        <v>566</v>
      </c>
      <c r="I463" s="214" t="str">
        <f t="shared" si="7"/>
        <v>Luxembourg</v>
      </c>
      <c r="J463" s="214"/>
    </row>
    <row r="464" spans="2:10">
      <c r="B464" s="215" t="s">
        <v>536</v>
      </c>
      <c r="C464" s="212">
        <v>42831</v>
      </c>
      <c r="D464" s="212">
        <v>2</v>
      </c>
      <c r="E464" s="212">
        <v>13.98</v>
      </c>
      <c r="F464" s="212">
        <v>6.11</v>
      </c>
      <c r="G464" s="212">
        <v>7.87</v>
      </c>
      <c r="H464" s="216" t="s">
        <v>567</v>
      </c>
      <c r="I464" s="214" t="str">
        <f t="shared" si="7"/>
        <v>Latvia</v>
      </c>
      <c r="J464" s="214"/>
    </row>
    <row r="465" spans="2:10">
      <c r="B465" s="215" t="s">
        <v>541</v>
      </c>
      <c r="C465" s="212">
        <v>42833</v>
      </c>
      <c r="D465" s="212">
        <v>2</v>
      </c>
      <c r="E465" s="212">
        <v>53.98</v>
      </c>
      <c r="F465" s="212">
        <v>18.920000000000002</v>
      </c>
      <c r="G465" s="212">
        <v>35.06</v>
      </c>
      <c r="H465" s="216" t="s">
        <v>568</v>
      </c>
      <c r="I465" s="214" t="str">
        <f t="shared" si="7"/>
        <v>Mexico</v>
      </c>
      <c r="J465" s="214"/>
    </row>
    <row r="466" spans="2:10">
      <c r="B466" s="215" t="s">
        <v>541</v>
      </c>
      <c r="C466" s="212">
        <v>42835</v>
      </c>
      <c r="D466" s="212">
        <v>1</v>
      </c>
      <c r="E466" s="212">
        <v>26.99</v>
      </c>
      <c r="F466" s="212">
        <v>9.68</v>
      </c>
      <c r="G466" s="212">
        <v>17.309999999999999</v>
      </c>
      <c r="H466" s="216" t="s">
        <v>546</v>
      </c>
      <c r="I466" s="214" t="str">
        <f t="shared" si="7"/>
        <v>Holanda</v>
      </c>
      <c r="J466" s="214"/>
    </row>
    <row r="467" spans="2:10">
      <c r="B467" s="215" t="s">
        <v>542</v>
      </c>
      <c r="C467" s="212">
        <v>42834</v>
      </c>
      <c r="D467" s="212">
        <v>1</v>
      </c>
      <c r="E467" s="212">
        <v>19.95</v>
      </c>
      <c r="F467" s="212">
        <v>8.42</v>
      </c>
      <c r="G467" s="212">
        <v>11.53</v>
      </c>
      <c r="H467" s="216" t="s">
        <v>547</v>
      </c>
      <c r="I467" s="214" t="str">
        <f t="shared" si="7"/>
        <v>Norway</v>
      </c>
      <c r="J467" s="214"/>
    </row>
    <row r="468" spans="2:10">
      <c r="B468" s="215" t="s">
        <v>520</v>
      </c>
      <c r="C468" s="212">
        <v>42836</v>
      </c>
      <c r="D468" s="212">
        <v>2</v>
      </c>
      <c r="E468" s="212">
        <v>51.9</v>
      </c>
      <c r="F468" s="212">
        <v>21.27</v>
      </c>
      <c r="G468" s="212">
        <v>30.63</v>
      </c>
      <c r="H468" s="216" t="s">
        <v>548</v>
      </c>
      <c r="I468" s="214" t="str">
        <f t="shared" si="7"/>
        <v>Peru</v>
      </c>
      <c r="J468" s="214"/>
    </row>
    <row r="469" spans="2:10">
      <c r="B469" s="215" t="s">
        <v>530</v>
      </c>
      <c r="C469" s="212">
        <v>42838</v>
      </c>
      <c r="D469" s="212">
        <v>31</v>
      </c>
      <c r="E469" s="212">
        <v>408.27</v>
      </c>
      <c r="F469" s="212">
        <v>289.17</v>
      </c>
      <c r="G469" s="212">
        <v>119.1</v>
      </c>
      <c r="H469" s="216" t="s">
        <v>549</v>
      </c>
      <c r="I469" s="214" t="str">
        <f t="shared" si="7"/>
        <v>Polonia</v>
      </c>
      <c r="J469" s="214"/>
    </row>
    <row r="470" spans="2:10">
      <c r="B470" s="215" t="s">
        <v>536</v>
      </c>
      <c r="C470" s="212">
        <v>42840</v>
      </c>
      <c r="D470" s="212">
        <v>2</v>
      </c>
      <c r="E470" s="212">
        <v>13.98</v>
      </c>
      <c r="F470" s="212">
        <v>5.98</v>
      </c>
      <c r="G470" s="212">
        <v>8</v>
      </c>
      <c r="H470" s="216" t="s">
        <v>550</v>
      </c>
      <c r="I470" s="214" t="str">
        <f t="shared" si="7"/>
        <v>Portugal</v>
      </c>
      <c r="J470" s="214"/>
    </row>
    <row r="471" spans="2:10">
      <c r="B471" s="215" t="s">
        <v>536</v>
      </c>
      <c r="C471" s="212">
        <v>42842</v>
      </c>
      <c r="D471" s="212">
        <v>4</v>
      </c>
      <c r="E471" s="212">
        <v>27.96</v>
      </c>
      <c r="F471" s="212">
        <v>11.96</v>
      </c>
      <c r="G471" s="212">
        <v>16</v>
      </c>
      <c r="H471" s="216" t="s">
        <v>551</v>
      </c>
      <c r="I471" s="214" t="str">
        <f t="shared" si="7"/>
        <v>Slovakia</v>
      </c>
      <c r="J471" s="214"/>
    </row>
    <row r="472" spans="2:10">
      <c r="B472" s="215" t="s">
        <v>536</v>
      </c>
      <c r="C472" s="212">
        <v>42844</v>
      </c>
      <c r="D472" s="212">
        <v>1</v>
      </c>
      <c r="E472" s="212">
        <v>6.99</v>
      </c>
      <c r="F472" s="212">
        <v>3.28</v>
      </c>
      <c r="G472" s="212">
        <v>3.71</v>
      </c>
      <c r="H472" s="216" t="s">
        <v>552</v>
      </c>
      <c r="I472" s="214" t="str">
        <f t="shared" si="7"/>
        <v>Slovenia</v>
      </c>
      <c r="J472" s="214"/>
    </row>
    <row r="473" spans="2:10">
      <c r="B473" s="215" t="s">
        <v>541</v>
      </c>
      <c r="C473" s="212">
        <v>42842</v>
      </c>
      <c r="D473" s="212">
        <v>3</v>
      </c>
      <c r="E473" s="212">
        <v>78</v>
      </c>
      <c r="F473" s="212">
        <v>32.79</v>
      </c>
      <c r="G473" s="212">
        <v>45.21</v>
      </c>
      <c r="H473" s="216" t="s">
        <v>553</v>
      </c>
      <c r="I473" s="214" t="str">
        <f t="shared" si="7"/>
        <v>Suecia</v>
      </c>
      <c r="J473" s="214"/>
    </row>
    <row r="474" spans="2:10">
      <c r="B474" s="215" t="s">
        <v>542</v>
      </c>
      <c r="C474" s="212">
        <v>42843</v>
      </c>
      <c r="D474" s="212">
        <v>1</v>
      </c>
      <c r="E474" s="212">
        <v>11.95</v>
      </c>
      <c r="F474" s="212">
        <v>5.51</v>
      </c>
      <c r="G474" s="212">
        <v>6.44</v>
      </c>
      <c r="H474" s="216" t="s">
        <v>554</v>
      </c>
      <c r="I474" s="214" t="str">
        <f t="shared" si="7"/>
        <v>Ucrania</v>
      </c>
      <c r="J474" s="214"/>
    </row>
    <row r="475" spans="2:10">
      <c r="B475" s="215" t="s">
        <v>520</v>
      </c>
      <c r="C475" s="212">
        <v>42845</v>
      </c>
      <c r="D475" s="212">
        <v>24</v>
      </c>
      <c r="E475" s="212">
        <v>423.83</v>
      </c>
      <c r="F475" s="212">
        <v>237.15</v>
      </c>
      <c r="G475" s="212">
        <v>186.68</v>
      </c>
      <c r="H475" s="216" t="s">
        <v>555</v>
      </c>
      <c r="I475" s="214" t="str">
        <f t="shared" si="7"/>
        <v>Ustados Unidos</v>
      </c>
      <c r="J475" s="214"/>
    </row>
    <row r="476" spans="2:10">
      <c r="B476" s="215" t="s">
        <v>520</v>
      </c>
      <c r="C476" s="212">
        <v>42847</v>
      </c>
      <c r="D476" s="212">
        <v>2</v>
      </c>
      <c r="E476" s="212">
        <v>83.9</v>
      </c>
      <c r="F476" s="212">
        <v>46.76</v>
      </c>
      <c r="G476" s="212">
        <v>37.14</v>
      </c>
      <c r="H476" s="216" t="s">
        <v>556</v>
      </c>
      <c r="I476" s="214" t="str">
        <f t="shared" si="7"/>
        <v>Venezuela</v>
      </c>
      <c r="J476" s="214"/>
    </row>
    <row r="477" spans="2:10">
      <c r="B477" s="215" t="s">
        <v>520</v>
      </c>
      <c r="C477" s="212">
        <v>42849</v>
      </c>
      <c r="D477" s="212">
        <v>2</v>
      </c>
      <c r="E477" s="212">
        <v>57.9</v>
      </c>
      <c r="F477" s="212">
        <v>21.37</v>
      </c>
      <c r="G477" s="212">
        <v>36.53</v>
      </c>
      <c r="H477" s="216" t="s">
        <v>519</v>
      </c>
      <c r="I477" s="214" t="str">
        <f t="shared" si="7"/>
        <v>Argentina</v>
      </c>
      <c r="J477" s="214"/>
    </row>
    <row r="478" spans="2:10">
      <c r="B478" s="215" t="s">
        <v>520</v>
      </c>
      <c r="C478" s="212">
        <v>42851</v>
      </c>
      <c r="D478" s="212">
        <v>4</v>
      </c>
      <c r="E478" s="212">
        <v>488</v>
      </c>
      <c r="F478" s="212">
        <v>175.23</v>
      </c>
      <c r="G478" s="212">
        <v>312.77</v>
      </c>
      <c r="H478" s="216" t="s">
        <v>557</v>
      </c>
      <c r="I478" s="214" t="str">
        <f t="shared" si="7"/>
        <v>Australia</v>
      </c>
      <c r="J478" s="214"/>
    </row>
    <row r="479" spans="2:10">
      <c r="B479" s="215" t="s">
        <v>520</v>
      </c>
      <c r="C479" s="212">
        <v>42853</v>
      </c>
      <c r="D479" s="212">
        <v>2</v>
      </c>
      <c r="E479" s="212">
        <v>57.9</v>
      </c>
      <c r="F479" s="212">
        <v>22.29</v>
      </c>
      <c r="G479" s="212">
        <v>35.61</v>
      </c>
      <c r="H479" s="216" t="s">
        <v>558</v>
      </c>
      <c r="I479" s="214" t="str">
        <f t="shared" si="7"/>
        <v>Austria</v>
      </c>
      <c r="J479" s="214"/>
    </row>
    <row r="480" spans="2:10">
      <c r="B480" s="215" t="s">
        <v>536</v>
      </c>
      <c r="C480" s="212">
        <v>42855</v>
      </c>
      <c r="D480" s="212">
        <v>2</v>
      </c>
      <c r="E480" s="212">
        <v>43.9</v>
      </c>
      <c r="F480" s="212">
        <v>16.09</v>
      </c>
      <c r="G480" s="212">
        <v>27.81</v>
      </c>
      <c r="H480" s="216" t="s">
        <v>559</v>
      </c>
      <c r="I480" s="214" t="str">
        <f t="shared" si="7"/>
        <v>Belgica</v>
      </c>
      <c r="J480" s="214"/>
    </row>
    <row r="481" spans="2:10">
      <c r="B481" s="215" t="s">
        <v>518</v>
      </c>
      <c r="C481" s="212">
        <v>42857</v>
      </c>
      <c r="D481" s="212">
        <v>1</v>
      </c>
      <c r="E481" s="212">
        <v>23.95</v>
      </c>
      <c r="F481" s="212">
        <v>9.08</v>
      </c>
      <c r="G481" s="212">
        <v>14.87</v>
      </c>
      <c r="H481" s="216" t="s">
        <v>560</v>
      </c>
      <c r="I481" s="214" t="str">
        <f t="shared" si="7"/>
        <v>Bulgaria</v>
      </c>
      <c r="J481" s="214"/>
    </row>
    <row r="482" spans="2:10">
      <c r="B482" s="215" t="s">
        <v>530</v>
      </c>
      <c r="C482" s="212">
        <v>42859</v>
      </c>
      <c r="D482" s="212">
        <v>4</v>
      </c>
      <c r="E482" s="212">
        <v>87.8</v>
      </c>
      <c r="F482" s="212">
        <v>29.17</v>
      </c>
      <c r="G482" s="212">
        <v>58.63</v>
      </c>
      <c r="H482" s="216" t="s">
        <v>561</v>
      </c>
      <c r="I482" s="214" t="str">
        <f t="shared" si="7"/>
        <v>Brazil</v>
      </c>
      <c r="J482" s="214"/>
    </row>
    <row r="483" spans="2:10">
      <c r="B483" s="215" t="s">
        <v>536</v>
      </c>
      <c r="C483" s="212">
        <v>42861</v>
      </c>
      <c r="D483" s="212">
        <v>1</v>
      </c>
      <c r="E483" s="212">
        <v>6.99</v>
      </c>
      <c r="F483" s="212">
        <v>3.06</v>
      </c>
      <c r="G483" s="212">
        <v>3.93</v>
      </c>
      <c r="H483" s="216" t="s">
        <v>526</v>
      </c>
      <c r="I483" s="214" t="str">
        <f t="shared" si="7"/>
        <v>Canada</v>
      </c>
      <c r="J483" s="214"/>
    </row>
    <row r="484" spans="2:10">
      <c r="B484" s="215" t="s">
        <v>536</v>
      </c>
      <c r="C484" s="212">
        <v>42863</v>
      </c>
      <c r="D484" s="212">
        <v>4</v>
      </c>
      <c r="E484" s="212">
        <v>27.96</v>
      </c>
      <c r="F484" s="212">
        <v>11.05</v>
      </c>
      <c r="G484" s="212">
        <v>16.91</v>
      </c>
      <c r="H484" s="216" t="s">
        <v>527</v>
      </c>
      <c r="I484" s="214" t="str">
        <f t="shared" si="7"/>
        <v>Suiza</v>
      </c>
      <c r="J484" s="214"/>
    </row>
    <row r="485" spans="2:10">
      <c r="B485" s="215" t="s">
        <v>541</v>
      </c>
      <c r="C485" s="212">
        <v>42865</v>
      </c>
      <c r="D485" s="212">
        <v>60</v>
      </c>
      <c r="E485" s="212">
        <v>842.09</v>
      </c>
      <c r="F485" s="212">
        <v>690.15</v>
      </c>
      <c r="G485" s="212">
        <v>151.94</v>
      </c>
      <c r="H485" s="216" t="s">
        <v>562</v>
      </c>
      <c r="I485" s="214" t="str">
        <f t="shared" si="7"/>
        <v>Chile</v>
      </c>
      <c r="J485" s="214"/>
    </row>
    <row r="486" spans="2:10">
      <c r="B486" s="215" t="s">
        <v>541</v>
      </c>
      <c r="C486" s="212">
        <v>42867</v>
      </c>
      <c r="D486" s="212">
        <v>2</v>
      </c>
      <c r="E486" s="212">
        <v>53.98</v>
      </c>
      <c r="F486" s="212">
        <v>22.79</v>
      </c>
      <c r="G486" s="212">
        <v>31.19</v>
      </c>
      <c r="H486" s="216" t="s">
        <v>521</v>
      </c>
      <c r="I486" s="214" t="str">
        <f t="shared" si="7"/>
        <v>Colombia</v>
      </c>
      <c r="J486" s="214"/>
    </row>
    <row r="487" spans="2:10">
      <c r="B487" s="215" t="s">
        <v>542</v>
      </c>
      <c r="C487" s="212">
        <v>42864</v>
      </c>
      <c r="D487" s="212">
        <v>2</v>
      </c>
      <c r="E487" s="212">
        <v>39.9</v>
      </c>
      <c r="F487" s="212">
        <v>17.34</v>
      </c>
      <c r="G487" s="212">
        <v>22.56</v>
      </c>
      <c r="H487" s="216" t="s">
        <v>563</v>
      </c>
      <c r="I487" s="214" t="str">
        <f t="shared" si="7"/>
        <v>Costa Rica</v>
      </c>
      <c r="J487" s="214"/>
    </row>
    <row r="488" spans="2:10">
      <c r="B488" s="215" t="s">
        <v>542</v>
      </c>
      <c r="C488" s="212">
        <v>42868</v>
      </c>
      <c r="D488" s="212">
        <v>2</v>
      </c>
      <c r="E488" s="212">
        <v>23.9</v>
      </c>
      <c r="F488" s="212">
        <v>9.4499999999999993</v>
      </c>
      <c r="G488" s="212">
        <v>14.45</v>
      </c>
      <c r="H488" s="216" t="s">
        <v>564</v>
      </c>
      <c r="I488" s="214" t="str">
        <f t="shared" si="7"/>
        <v>Czech Republic</v>
      </c>
      <c r="J488" s="214"/>
    </row>
    <row r="489" spans="2:10">
      <c r="B489" s="215" t="s">
        <v>520</v>
      </c>
      <c r="C489" s="212">
        <v>42870</v>
      </c>
      <c r="D489" s="212">
        <v>2</v>
      </c>
      <c r="E489" s="212">
        <v>51.9</v>
      </c>
      <c r="F489" s="212">
        <v>20.399999999999999</v>
      </c>
      <c r="G489" s="212">
        <v>31.5</v>
      </c>
      <c r="H489" s="216" t="s">
        <v>522</v>
      </c>
      <c r="I489" s="214" t="str">
        <f t="shared" si="7"/>
        <v>Germany</v>
      </c>
      <c r="J489" s="214"/>
    </row>
    <row r="490" spans="2:10">
      <c r="B490" s="215" t="s">
        <v>530</v>
      </c>
      <c r="C490" s="212">
        <v>42872</v>
      </c>
      <c r="D490" s="212">
        <v>2</v>
      </c>
      <c r="E490" s="212">
        <v>43.9</v>
      </c>
      <c r="F490" s="212">
        <v>18.32</v>
      </c>
      <c r="G490" s="212">
        <v>25.58</v>
      </c>
      <c r="H490" s="216" t="s">
        <v>565</v>
      </c>
      <c r="I490" s="214" t="str">
        <f t="shared" si="7"/>
        <v>Dinamarca</v>
      </c>
      <c r="J490" s="214"/>
    </row>
    <row r="491" spans="2:10">
      <c r="B491" s="215" t="s">
        <v>536</v>
      </c>
      <c r="C491" s="212">
        <v>42874</v>
      </c>
      <c r="D491" s="212">
        <v>5</v>
      </c>
      <c r="E491" s="212">
        <v>34.950000000000003</v>
      </c>
      <c r="F491" s="212">
        <v>16.09</v>
      </c>
      <c r="G491" s="212">
        <v>18.86</v>
      </c>
      <c r="H491" s="216" t="s">
        <v>523</v>
      </c>
      <c r="I491" s="214" t="str">
        <f t="shared" si="7"/>
        <v>Dominican Republic</v>
      </c>
      <c r="J491" s="214"/>
    </row>
    <row r="492" spans="2:10">
      <c r="B492" s="215" t="s">
        <v>536</v>
      </c>
      <c r="C492" s="212">
        <v>42876</v>
      </c>
      <c r="D492" s="212">
        <v>4</v>
      </c>
      <c r="E492" s="212">
        <v>27.96</v>
      </c>
      <c r="F492" s="212">
        <v>12.48</v>
      </c>
      <c r="G492" s="212">
        <v>15.48</v>
      </c>
      <c r="H492" s="216" t="s">
        <v>524</v>
      </c>
      <c r="I492" s="214" t="str">
        <f t="shared" si="7"/>
        <v>Ecuador</v>
      </c>
      <c r="J492" s="214"/>
    </row>
    <row r="493" spans="2:10">
      <c r="B493" s="215" t="s">
        <v>536</v>
      </c>
      <c r="C493" s="212">
        <v>42878</v>
      </c>
      <c r="D493" s="212">
        <v>2</v>
      </c>
      <c r="E493" s="212">
        <v>13.98</v>
      </c>
      <c r="F493" s="212">
        <v>6.11</v>
      </c>
      <c r="G493" s="212">
        <v>7.87</v>
      </c>
      <c r="H493" s="216" t="s">
        <v>537</v>
      </c>
      <c r="I493" s="214" t="str">
        <f t="shared" si="7"/>
        <v>España</v>
      </c>
      <c r="J493" s="214"/>
    </row>
    <row r="494" spans="2:10">
      <c r="B494" s="215" t="s">
        <v>520</v>
      </c>
      <c r="C494" s="212">
        <v>42880</v>
      </c>
      <c r="D494" s="212">
        <v>2</v>
      </c>
      <c r="E494" s="212">
        <v>57.9</v>
      </c>
      <c r="F494" s="212">
        <v>24.36</v>
      </c>
      <c r="G494" s="212">
        <v>33.54</v>
      </c>
      <c r="H494" s="216" t="s">
        <v>538</v>
      </c>
      <c r="I494" s="214" t="str">
        <f t="shared" si="7"/>
        <v>Estonia</v>
      </c>
      <c r="J494" s="214"/>
    </row>
    <row r="495" spans="2:10">
      <c r="B495" s="215" t="s">
        <v>520</v>
      </c>
      <c r="C495" s="212">
        <v>42882</v>
      </c>
      <c r="D495" s="212">
        <v>2</v>
      </c>
      <c r="E495" s="212">
        <v>57.9</v>
      </c>
      <c r="F495" s="212">
        <v>23.44</v>
      </c>
      <c r="G495" s="212">
        <v>34.46</v>
      </c>
      <c r="H495" s="216" t="s">
        <v>539</v>
      </c>
      <c r="I495" s="214" t="str">
        <f t="shared" si="7"/>
        <v>Finlandia</v>
      </c>
      <c r="J495" s="214"/>
    </row>
    <row r="496" spans="2:10">
      <c r="B496" s="215" t="s">
        <v>520</v>
      </c>
      <c r="C496" s="212">
        <v>42884</v>
      </c>
      <c r="D496" s="212">
        <v>72</v>
      </c>
      <c r="E496" s="212">
        <v>1083.8900000000001</v>
      </c>
      <c r="F496" s="212">
        <v>744.55</v>
      </c>
      <c r="G496" s="212">
        <v>339.34</v>
      </c>
      <c r="H496" s="216" t="s">
        <v>540</v>
      </c>
      <c r="I496" s="214" t="str">
        <f t="shared" si="7"/>
        <v>Francia</v>
      </c>
      <c r="J496" s="214"/>
    </row>
    <row r="497" spans="2:10">
      <c r="B497" s="215" t="s">
        <v>520</v>
      </c>
      <c r="C497" s="212">
        <v>42886</v>
      </c>
      <c r="D497" s="212">
        <v>2</v>
      </c>
      <c r="E497" s="212">
        <v>83.9</v>
      </c>
      <c r="F497" s="212">
        <v>41.61</v>
      </c>
      <c r="G497" s="212">
        <v>42.29</v>
      </c>
      <c r="H497" s="216" t="s">
        <v>528</v>
      </c>
      <c r="I497" s="214" t="str">
        <f t="shared" si="7"/>
        <v>UK</v>
      </c>
      <c r="J497" s="214"/>
    </row>
    <row r="498" spans="2:10">
      <c r="B498" s="215" t="s">
        <v>520</v>
      </c>
      <c r="C498" s="212">
        <v>42888</v>
      </c>
      <c r="D498" s="212">
        <v>1</v>
      </c>
      <c r="E498" s="212">
        <v>28.95</v>
      </c>
      <c r="F498" s="212">
        <v>10.34</v>
      </c>
      <c r="G498" s="212">
        <v>18.61</v>
      </c>
      <c r="H498" s="216" t="s">
        <v>529</v>
      </c>
      <c r="I498" s="214" t="str">
        <f t="shared" si="7"/>
        <v>Grecia</v>
      </c>
      <c r="J498" s="214"/>
    </row>
    <row r="499" spans="2:10">
      <c r="B499" s="215" t="s">
        <v>536</v>
      </c>
      <c r="C499" s="212">
        <v>42890</v>
      </c>
      <c r="D499" s="212">
        <v>1</v>
      </c>
      <c r="E499" s="212">
        <v>21.95</v>
      </c>
      <c r="F499" s="212">
        <v>8.82</v>
      </c>
      <c r="G499" s="212">
        <v>13.13</v>
      </c>
      <c r="H499" s="216" t="s">
        <v>531</v>
      </c>
      <c r="I499" s="214" t="str">
        <f t="shared" si="7"/>
        <v>Hong Kong</v>
      </c>
      <c r="J499" s="214"/>
    </row>
    <row r="500" spans="2:10">
      <c r="B500" s="215" t="s">
        <v>518</v>
      </c>
      <c r="C500" s="212">
        <v>42892</v>
      </c>
      <c r="D500" s="212">
        <v>1</v>
      </c>
      <c r="E500" s="212">
        <v>23.95</v>
      </c>
      <c r="F500" s="212">
        <v>8.58</v>
      </c>
      <c r="G500" s="212">
        <v>15.37</v>
      </c>
      <c r="H500" s="216" t="s">
        <v>543</v>
      </c>
      <c r="I500" s="214" t="str">
        <f t="shared" si="7"/>
        <v>Honduras</v>
      </c>
      <c r="J500" s="214"/>
    </row>
    <row r="501" spans="2:10">
      <c r="B501" s="215" t="s">
        <v>530</v>
      </c>
      <c r="C501" s="212">
        <v>42894</v>
      </c>
      <c r="D501" s="212">
        <v>4</v>
      </c>
      <c r="E501" s="212">
        <v>87.8</v>
      </c>
      <c r="F501" s="212">
        <v>35.619999999999997</v>
      </c>
      <c r="G501" s="212">
        <v>52.18</v>
      </c>
      <c r="H501" s="216" t="s">
        <v>544</v>
      </c>
      <c r="I501" s="214" t="str">
        <f t="shared" si="7"/>
        <v>Croatia</v>
      </c>
      <c r="J501" s="214"/>
    </row>
    <row r="502" spans="2:10">
      <c r="B502" s="215" t="s">
        <v>536</v>
      </c>
      <c r="C502" s="212">
        <v>42896</v>
      </c>
      <c r="D502" s="212">
        <v>2</v>
      </c>
      <c r="E502" s="212">
        <v>13.98</v>
      </c>
      <c r="F502" s="212">
        <v>6.37</v>
      </c>
      <c r="G502" s="212">
        <v>7.61</v>
      </c>
      <c r="H502" s="216" t="s">
        <v>532</v>
      </c>
      <c r="I502" s="214" t="str">
        <f t="shared" si="7"/>
        <v>Hungria</v>
      </c>
      <c r="J502" s="214"/>
    </row>
    <row r="503" spans="2:10">
      <c r="B503" s="215" t="s">
        <v>536</v>
      </c>
      <c r="C503" s="212">
        <v>42898</v>
      </c>
      <c r="D503" s="212">
        <v>3</v>
      </c>
      <c r="E503" s="212">
        <v>20.97</v>
      </c>
      <c r="F503" s="212">
        <v>10.24</v>
      </c>
      <c r="G503" s="212">
        <v>10.73</v>
      </c>
      <c r="H503" s="216" t="s">
        <v>533</v>
      </c>
      <c r="I503" s="214" t="str">
        <f t="shared" si="7"/>
        <v>Irlanda</v>
      </c>
      <c r="J503" s="214"/>
    </row>
    <row r="504" spans="2:10">
      <c r="B504" s="215" t="s">
        <v>541</v>
      </c>
      <c r="C504" s="212">
        <v>42895</v>
      </c>
      <c r="D504" s="212">
        <v>1</v>
      </c>
      <c r="E504" s="212">
        <v>26</v>
      </c>
      <c r="F504" s="212">
        <v>11.48</v>
      </c>
      <c r="G504" s="212">
        <v>14.52</v>
      </c>
      <c r="H504" s="216" t="s">
        <v>535</v>
      </c>
      <c r="I504" s="214" t="str">
        <f t="shared" si="7"/>
        <v>Italia</v>
      </c>
      <c r="J504" s="214"/>
    </row>
    <row r="505" spans="2:10">
      <c r="B505" s="215" t="s">
        <v>541</v>
      </c>
      <c r="C505" s="212">
        <v>42897</v>
      </c>
      <c r="D505" s="212">
        <v>2</v>
      </c>
      <c r="E505" s="212">
        <v>53.98</v>
      </c>
      <c r="F505" s="212">
        <v>19.57</v>
      </c>
      <c r="G505" s="212">
        <v>34.409999999999997</v>
      </c>
      <c r="H505" s="216" t="s">
        <v>545</v>
      </c>
      <c r="I505" s="214" t="str">
        <f t="shared" si="7"/>
        <v>Lithuania</v>
      </c>
      <c r="J505" s="214"/>
    </row>
    <row r="506" spans="2:10">
      <c r="B506" s="215" t="s">
        <v>541</v>
      </c>
      <c r="C506" s="212">
        <v>42899</v>
      </c>
      <c r="D506" s="212">
        <v>1</v>
      </c>
      <c r="E506" s="212">
        <v>26.99</v>
      </c>
      <c r="F506" s="212">
        <v>10.43</v>
      </c>
      <c r="G506" s="212">
        <v>16.559999999999999</v>
      </c>
      <c r="H506" s="216" t="s">
        <v>566</v>
      </c>
      <c r="I506" s="214" t="str">
        <f t="shared" si="7"/>
        <v>Luxembourg</v>
      </c>
      <c r="J506" s="214"/>
    </row>
    <row r="507" spans="2:10">
      <c r="B507" s="215" t="s">
        <v>542</v>
      </c>
      <c r="C507" s="212">
        <v>42897</v>
      </c>
      <c r="D507" s="212">
        <v>2</v>
      </c>
      <c r="E507" s="212">
        <v>39.9</v>
      </c>
      <c r="F507" s="212">
        <v>17.170000000000002</v>
      </c>
      <c r="G507" s="212">
        <v>22.73</v>
      </c>
      <c r="H507" s="216" t="s">
        <v>567</v>
      </c>
      <c r="I507" s="214" t="str">
        <f t="shared" si="7"/>
        <v>Latvia</v>
      </c>
      <c r="J507" s="214"/>
    </row>
    <row r="508" spans="2:10">
      <c r="B508" s="215" t="s">
        <v>530</v>
      </c>
      <c r="C508" s="212">
        <v>42899</v>
      </c>
      <c r="D508" s="212">
        <v>1</v>
      </c>
      <c r="E508" s="212">
        <v>21.95</v>
      </c>
      <c r="F508" s="212">
        <v>9.07</v>
      </c>
      <c r="G508" s="212">
        <v>12.88</v>
      </c>
      <c r="H508" s="216" t="s">
        <v>568</v>
      </c>
      <c r="I508" s="214" t="str">
        <f t="shared" si="7"/>
        <v>Mexico</v>
      </c>
      <c r="J508" s="214"/>
    </row>
    <row r="509" spans="2:10">
      <c r="B509" s="215" t="s">
        <v>536</v>
      </c>
      <c r="C509" s="212">
        <v>42901</v>
      </c>
      <c r="D509" s="212">
        <v>2</v>
      </c>
      <c r="E509" s="212">
        <v>13.98</v>
      </c>
      <c r="F509" s="212">
        <v>5.79</v>
      </c>
      <c r="G509" s="212">
        <v>8.19</v>
      </c>
      <c r="H509" s="216" t="s">
        <v>546</v>
      </c>
      <c r="I509" s="214" t="str">
        <f t="shared" si="7"/>
        <v>Holanda</v>
      </c>
      <c r="J509" s="214"/>
    </row>
    <row r="510" spans="2:10">
      <c r="B510" s="215" t="s">
        <v>536</v>
      </c>
      <c r="C510" s="212">
        <v>42903</v>
      </c>
      <c r="D510" s="212">
        <v>3</v>
      </c>
      <c r="E510" s="212">
        <v>20.97</v>
      </c>
      <c r="F510" s="212">
        <v>9.65</v>
      </c>
      <c r="G510" s="212">
        <v>11.32</v>
      </c>
      <c r="H510" s="216" t="s">
        <v>547</v>
      </c>
      <c r="I510" s="214" t="str">
        <f t="shared" si="7"/>
        <v>Norway</v>
      </c>
      <c r="J510" s="214"/>
    </row>
    <row r="511" spans="2:10">
      <c r="B511" s="215" t="s">
        <v>536</v>
      </c>
      <c r="C511" s="212">
        <v>42905</v>
      </c>
      <c r="D511" s="212">
        <v>5</v>
      </c>
      <c r="E511" s="212">
        <v>34.950000000000003</v>
      </c>
      <c r="F511" s="212">
        <v>17.88</v>
      </c>
      <c r="G511" s="212">
        <v>17.07</v>
      </c>
      <c r="H511" s="216" t="s">
        <v>548</v>
      </c>
      <c r="I511" s="214" t="str">
        <f t="shared" si="7"/>
        <v>Peru</v>
      </c>
      <c r="J511" s="214"/>
    </row>
    <row r="512" spans="2:10">
      <c r="B512" s="215" t="s">
        <v>520</v>
      </c>
      <c r="C512" s="212">
        <v>42907</v>
      </c>
      <c r="D512" s="212">
        <v>2</v>
      </c>
      <c r="E512" s="212">
        <v>57.9</v>
      </c>
      <c r="F512" s="212">
        <v>22.75</v>
      </c>
      <c r="G512" s="212">
        <v>35.15</v>
      </c>
      <c r="H512" s="216" t="s">
        <v>549</v>
      </c>
      <c r="I512" s="214" t="str">
        <f t="shared" si="7"/>
        <v>Polonia</v>
      </c>
      <c r="J512" s="214"/>
    </row>
    <row r="513" spans="2:10">
      <c r="B513" s="215" t="s">
        <v>520</v>
      </c>
      <c r="C513" s="212">
        <v>42909</v>
      </c>
      <c r="D513" s="212">
        <v>3</v>
      </c>
      <c r="E513" s="212">
        <v>125.85</v>
      </c>
      <c r="F513" s="212">
        <v>61.13</v>
      </c>
      <c r="G513" s="212">
        <v>64.72</v>
      </c>
      <c r="H513" s="216" t="s">
        <v>550</v>
      </c>
      <c r="I513" s="214" t="str">
        <f t="shared" si="7"/>
        <v>Portugal</v>
      </c>
      <c r="J513" s="214"/>
    </row>
    <row r="514" spans="2:10">
      <c r="B514" s="215" t="s">
        <v>520</v>
      </c>
      <c r="C514" s="212">
        <v>42911</v>
      </c>
      <c r="D514" s="212">
        <v>2</v>
      </c>
      <c r="E514" s="212">
        <v>57.9</v>
      </c>
      <c r="F514" s="212">
        <v>24.59</v>
      </c>
      <c r="G514" s="212">
        <v>33.31</v>
      </c>
      <c r="H514" s="216" t="s">
        <v>551</v>
      </c>
      <c r="I514" s="214" t="str">
        <f t="shared" si="7"/>
        <v>Slovakia</v>
      </c>
      <c r="J514" s="214"/>
    </row>
    <row r="515" spans="2:10">
      <c r="B515" s="215" t="s">
        <v>520</v>
      </c>
      <c r="C515" s="212">
        <v>42913</v>
      </c>
      <c r="D515" s="212">
        <v>60</v>
      </c>
      <c r="E515" s="212">
        <v>903.24</v>
      </c>
      <c r="F515" s="212">
        <v>592.88</v>
      </c>
      <c r="G515" s="212">
        <v>310.36</v>
      </c>
      <c r="H515" s="216" t="s">
        <v>552</v>
      </c>
      <c r="I515" s="214" t="str">
        <f t="shared" si="7"/>
        <v>Slovenia</v>
      </c>
      <c r="J515" s="214"/>
    </row>
    <row r="516" spans="2:10">
      <c r="B516" s="215" t="s">
        <v>520</v>
      </c>
      <c r="C516" s="212">
        <v>42915</v>
      </c>
      <c r="D516" s="212">
        <v>2</v>
      </c>
      <c r="E516" s="212">
        <v>57.9</v>
      </c>
      <c r="F516" s="212">
        <v>21.6</v>
      </c>
      <c r="G516" s="212">
        <v>36.299999999999997</v>
      </c>
      <c r="H516" s="216" t="s">
        <v>553</v>
      </c>
      <c r="I516" s="214" t="str">
        <f t="shared" si="7"/>
        <v>Suecia</v>
      </c>
      <c r="J516" s="214"/>
    </row>
    <row r="517" spans="2:10">
      <c r="B517" s="215" t="s">
        <v>536</v>
      </c>
      <c r="C517" s="212">
        <v>42917</v>
      </c>
      <c r="D517" s="212">
        <v>2</v>
      </c>
      <c r="E517" s="212">
        <v>43.9</v>
      </c>
      <c r="F517" s="212">
        <v>16.61</v>
      </c>
      <c r="G517" s="212">
        <v>27.29</v>
      </c>
      <c r="H517" s="216" t="s">
        <v>554</v>
      </c>
      <c r="I517" s="214" t="str">
        <f t="shared" ref="I517:I580" si="8">VLOOKUP(H517,$L$4:$M$46,2,FALSE)</f>
        <v>Ucrania</v>
      </c>
      <c r="J517" s="214"/>
    </row>
    <row r="518" spans="2:10">
      <c r="B518" s="215" t="s">
        <v>518</v>
      </c>
      <c r="C518" s="212">
        <v>42919</v>
      </c>
      <c r="D518" s="212">
        <v>2</v>
      </c>
      <c r="E518" s="212">
        <v>47.9</v>
      </c>
      <c r="F518" s="212">
        <v>22</v>
      </c>
      <c r="G518" s="212">
        <v>25.9</v>
      </c>
      <c r="H518" s="216" t="s">
        <v>555</v>
      </c>
      <c r="I518" s="214" t="str">
        <f t="shared" si="8"/>
        <v>Ustados Unidos</v>
      </c>
      <c r="J518" s="214"/>
    </row>
    <row r="519" spans="2:10">
      <c r="B519" s="215" t="s">
        <v>530</v>
      </c>
      <c r="C519" s="212">
        <v>42806</v>
      </c>
      <c r="D519" s="212">
        <v>4</v>
      </c>
      <c r="E519" s="212">
        <v>87.8</v>
      </c>
      <c r="F519" s="212">
        <v>33.24</v>
      </c>
      <c r="G519" s="212">
        <v>54.56</v>
      </c>
      <c r="H519" s="216" t="s">
        <v>556</v>
      </c>
      <c r="I519" s="214" t="str">
        <f t="shared" si="8"/>
        <v>Venezuela</v>
      </c>
      <c r="J519" s="214"/>
    </row>
    <row r="520" spans="2:10">
      <c r="B520" s="215" t="s">
        <v>530</v>
      </c>
      <c r="C520" s="212">
        <v>42808</v>
      </c>
      <c r="D520" s="212">
        <v>2</v>
      </c>
      <c r="E520" s="212">
        <v>43.9</v>
      </c>
      <c r="F520" s="212">
        <v>16.11</v>
      </c>
      <c r="G520" s="212">
        <v>27.79</v>
      </c>
      <c r="H520" s="216" t="s">
        <v>519</v>
      </c>
      <c r="I520" s="214" t="str">
        <f t="shared" si="8"/>
        <v>Argentina</v>
      </c>
      <c r="J520" s="214"/>
    </row>
    <row r="521" spans="2:10">
      <c r="B521" s="215" t="s">
        <v>534</v>
      </c>
      <c r="C521" s="212">
        <v>42806</v>
      </c>
      <c r="D521" s="212">
        <v>4</v>
      </c>
      <c r="E521" s="212">
        <v>95.8</v>
      </c>
      <c r="F521" s="212">
        <v>34.44</v>
      </c>
      <c r="G521" s="212">
        <v>61.36</v>
      </c>
      <c r="H521" s="216" t="s">
        <v>557</v>
      </c>
      <c r="I521" s="214" t="str">
        <f t="shared" si="8"/>
        <v>Australia</v>
      </c>
      <c r="J521" s="214"/>
    </row>
    <row r="522" spans="2:10">
      <c r="B522" s="215" t="s">
        <v>536</v>
      </c>
      <c r="C522" s="212">
        <v>42806</v>
      </c>
      <c r="D522" s="212">
        <v>4</v>
      </c>
      <c r="E522" s="212">
        <v>27.96</v>
      </c>
      <c r="F522" s="212">
        <v>11.57</v>
      </c>
      <c r="G522" s="212">
        <v>16.39</v>
      </c>
      <c r="H522" s="216" t="s">
        <v>558</v>
      </c>
      <c r="I522" s="214" t="str">
        <f t="shared" si="8"/>
        <v>Austria</v>
      </c>
      <c r="J522" s="214"/>
    </row>
    <row r="523" spans="2:10">
      <c r="B523" s="215" t="s">
        <v>536</v>
      </c>
      <c r="C523" s="212">
        <v>42806</v>
      </c>
      <c r="D523" s="212">
        <v>1</v>
      </c>
      <c r="E523" s="212">
        <v>6.99</v>
      </c>
      <c r="F523" s="212">
        <v>2.83</v>
      </c>
      <c r="G523" s="212">
        <v>4.16</v>
      </c>
      <c r="H523" s="216" t="s">
        <v>559</v>
      </c>
      <c r="I523" s="214" t="str">
        <f t="shared" si="8"/>
        <v>Belgica</v>
      </c>
      <c r="J523" s="214"/>
    </row>
    <row r="524" spans="2:10">
      <c r="B524" s="215" t="s">
        <v>536</v>
      </c>
      <c r="C524" s="212">
        <v>42806</v>
      </c>
      <c r="D524" s="212">
        <v>48</v>
      </c>
      <c r="E524" s="212">
        <v>167.76</v>
      </c>
      <c r="F524" s="212">
        <v>159.12</v>
      </c>
      <c r="G524" s="212">
        <v>8.64</v>
      </c>
      <c r="H524" s="216" t="s">
        <v>560</v>
      </c>
      <c r="I524" s="214" t="str">
        <f t="shared" si="8"/>
        <v>Bulgaria</v>
      </c>
      <c r="J524" s="214"/>
    </row>
    <row r="525" spans="2:10">
      <c r="B525" s="215" t="s">
        <v>536</v>
      </c>
      <c r="C525" s="212">
        <v>42808</v>
      </c>
      <c r="D525" s="212">
        <v>2</v>
      </c>
      <c r="E525" s="212">
        <v>13.98</v>
      </c>
      <c r="F525" s="212">
        <v>6.31</v>
      </c>
      <c r="G525" s="212">
        <v>7.67</v>
      </c>
      <c r="H525" s="216" t="s">
        <v>561</v>
      </c>
      <c r="I525" s="214" t="str">
        <f t="shared" si="8"/>
        <v>Brazil</v>
      </c>
      <c r="J525" s="214"/>
    </row>
    <row r="526" spans="2:10">
      <c r="B526" s="215" t="s">
        <v>536</v>
      </c>
      <c r="C526" s="212">
        <v>42810</v>
      </c>
      <c r="D526" s="212">
        <v>2</v>
      </c>
      <c r="E526" s="212">
        <v>13.98</v>
      </c>
      <c r="F526" s="212">
        <v>6.89</v>
      </c>
      <c r="G526" s="212">
        <v>7.09</v>
      </c>
      <c r="H526" s="216" t="s">
        <v>526</v>
      </c>
      <c r="I526" s="214" t="str">
        <f t="shared" si="8"/>
        <v>Canada</v>
      </c>
      <c r="J526" s="214"/>
    </row>
    <row r="527" spans="2:10">
      <c r="B527" s="215" t="s">
        <v>536</v>
      </c>
      <c r="C527" s="212">
        <v>42806</v>
      </c>
      <c r="D527" s="212">
        <v>2</v>
      </c>
      <c r="E527" s="212">
        <v>13.98</v>
      </c>
      <c r="F527" s="212">
        <v>6.57</v>
      </c>
      <c r="G527" s="212">
        <v>7.41</v>
      </c>
      <c r="H527" s="216" t="s">
        <v>527</v>
      </c>
      <c r="I527" s="214" t="str">
        <f t="shared" si="8"/>
        <v>Suiza</v>
      </c>
      <c r="J527" s="214"/>
    </row>
    <row r="528" spans="2:10">
      <c r="B528" s="215" t="s">
        <v>541</v>
      </c>
      <c r="C528" s="212">
        <v>42806</v>
      </c>
      <c r="D528" s="212">
        <v>2</v>
      </c>
      <c r="E528" s="212">
        <v>47</v>
      </c>
      <c r="F528" s="212">
        <v>19.29</v>
      </c>
      <c r="G528" s="212">
        <v>27.71</v>
      </c>
      <c r="H528" s="216" t="s">
        <v>562</v>
      </c>
      <c r="I528" s="214" t="str">
        <f t="shared" si="8"/>
        <v>Chile</v>
      </c>
      <c r="J528" s="214"/>
    </row>
    <row r="529" spans="2:10">
      <c r="B529" s="215" t="s">
        <v>541</v>
      </c>
      <c r="C529" s="212">
        <v>42806</v>
      </c>
      <c r="D529" s="212">
        <v>1</v>
      </c>
      <c r="E529" s="212">
        <v>26.99</v>
      </c>
      <c r="F529" s="212">
        <v>10.64</v>
      </c>
      <c r="G529" s="212">
        <v>16.350000000000001</v>
      </c>
      <c r="H529" s="216" t="s">
        <v>521</v>
      </c>
      <c r="I529" s="214" t="str">
        <f t="shared" si="8"/>
        <v>Colombia</v>
      </c>
      <c r="J529" s="214"/>
    </row>
    <row r="530" spans="2:10">
      <c r="B530" s="215" t="s">
        <v>541</v>
      </c>
      <c r="C530" s="212">
        <v>42808</v>
      </c>
      <c r="D530" s="212">
        <v>2</v>
      </c>
      <c r="E530" s="212">
        <v>53.98</v>
      </c>
      <c r="F530" s="212">
        <v>22.58</v>
      </c>
      <c r="G530" s="212">
        <v>31.4</v>
      </c>
      <c r="H530" s="216" t="s">
        <v>563</v>
      </c>
      <c r="I530" s="214" t="str">
        <f t="shared" si="8"/>
        <v>Costa Rica</v>
      </c>
      <c r="J530" s="214"/>
    </row>
    <row r="531" spans="2:10">
      <c r="B531" s="215" t="s">
        <v>541</v>
      </c>
      <c r="C531" s="212">
        <v>42810</v>
      </c>
      <c r="D531" s="212">
        <v>72</v>
      </c>
      <c r="E531" s="212">
        <v>896.76</v>
      </c>
      <c r="F531" s="212">
        <v>701.35</v>
      </c>
      <c r="G531" s="212">
        <v>195.41</v>
      </c>
      <c r="H531" s="216" t="s">
        <v>564</v>
      </c>
      <c r="I531" s="214" t="str">
        <f t="shared" si="8"/>
        <v>Czech Republic</v>
      </c>
      <c r="J531" s="214"/>
    </row>
    <row r="532" spans="2:10">
      <c r="B532" s="215" t="s">
        <v>542</v>
      </c>
      <c r="C532" s="212">
        <v>42808</v>
      </c>
      <c r="D532" s="212">
        <v>3</v>
      </c>
      <c r="E532" s="212">
        <v>59.85</v>
      </c>
      <c r="F532" s="212">
        <v>26.01</v>
      </c>
      <c r="G532" s="212">
        <v>33.840000000000003</v>
      </c>
      <c r="H532" s="216" t="s">
        <v>522</v>
      </c>
      <c r="I532" s="214" t="str">
        <f t="shared" si="8"/>
        <v>Germany</v>
      </c>
      <c r="J532" s="214"/>
    </row>
    <row r="533" spans="2:10">
      <c r="B533" s="215" t="s">
        <v>520</v>
      </c>
      <c r="C533" s="212">
        <v>42806</v>
      </c>
      <c r="D533" s="212">
        <v>1</v>
      </c>
      <c r="E533" s="212">
        <v>122</v>
      </c>
      <c r="F533" s="212">
        <v>54.76</v>
      </c>
      <c r="G533" s="212">
        <v>67.239999999999995</v>
      </c>
      <c r="H533" s="216" t="s">
        <v>565</v>
      </c>
      <c r="I533" s="214" t="str">
        <f t="shared" si="8"/>
        <v>Dinamarca</v>
      </c>
      <c r="J533" s="214"/>
    </row>
    <row r="534" spans="2:10">
      <c r="B534" s="215" t="s">
        <v>518</v>
      </c>
      <c r="C534" s="212">
        <v>42806</v>
      </c>
      <c r="D534" s="212">
        <v>1</v>
      </c>
      <c r="E534" s="212">
        <v>71</v>
      </c>
      <c r="F534" s="212">
        <v>25.71</v>
      </c>
      <c r="G534" s="212">
        <v>45.29</v>
      </c>
      <c r="H534" s="216" t="s">
        <v>523</v>
      </c>
      <c r="I534" s="214" t="str">
        <f t="shared" si="8"/>
        <v>Dominican Republic</v>
      </c>
      <c r="J534" s="214"/>
    </row>
    <row r="535" spans="2:10">
      <c r="B535" s="215" t="s">
        <v>542</v>
      </c>
      <c r="C535" s="212">
        <v>42806</v>
      </c>
      <c r="D535" s="212">
        <v>2</v>
      </c>
      <c r="E535" s="212">
        <v>83.9</v>
      </c>
      <c r="F535" s="212">
        <v>28.8</v>
      </c>
      <c r="G535" s="212">
        <v>55.1</v>
      </c>
      <c r="H535" s="216" t="s">
        <v>524</v>
      </c>
      <c r="I535" s="214" t="str">
        <f t="shared" si="8"/>
        <v>Ecuador</v>
      </c>
      <c r="J535" s="214"/>
    </row>
    <row r="536" spans="2:10">
      <c r="B536" s="215" t="s">
        <v>518</v>
      </c>
      <c r="C536" s="212">
        <v>42806</v>
      </c>
      <c r="D536" s="212">
        <v>2</v>
      </c>
      <c r="E536" s="212">
        <v>51</v>
      </c>
      <c r="F536" s="212">
        <v>21.44</v>
      </c>
      <c r="G536" s="212">
        <v>29.56</v>
      </c>
      <c r="H536" s="216" t="s">
        <v>537</v>
      </c>
      <c r="I536" s="214" t="str">
        <f t="shared" si="8"/>
        <v>España</v>
      </c>
      <c r="J536" s="214"/>
    </row>
    <row r="537" spans="2:10">
      <c r="B537" s="215" t="s">
        <v>518</v>
      </c>
      <c r="C537" s="212">
        <v>42806</v>
      </c>
      <c r="D537" s="212">
        <v>1</v>
      </c>
      <c r="E537" s="212">
        <v>25.5</v>
      </c>
      <c r="F537" s="212">
        <v>9.8800000000000008</v>
      </c>
      <c r="G537" s="212">
        <v>15.62</v>
      </c>
      <c r="H537" s="216" t="s">
        <v>538</v>
      </c>
      <c r="I537" s="214" t="str">
        <f t="shared" si="8"/>
        <v>Estonia</v>
      </c>
      <c r="J537" s="214"/>
    </row>
    <row r="538" spans="2:10">
      <c r="B538" s="215" t="s">
        <v>536</v>
      </c>
      <c r="C538" s="212">
        <v>42806</v>
      </c>
      <c r="D538" s="212">
        <v>1</v>
      </c>
      <c r="E538" s="212">
        <v>21.95</v>
      </c>
      <c r="F538" s="212">
        <v>7.53</v>
      </c>
      <c r="G538" s="212">
        <v>14.42</v>
      </c>
      <c r="H538" s="216" t="s">
        <v>539</v>
      </c>
      <c r="I538" s="214" t="str">
        <f t="shared" si="8"/>
        <v>Finlandia</v>
      </c>
      <c r="J538" s="214"/>
    </row>
    <row r="539" spans="2:10">
      <c r="B539" s="215" t="s">
        <v>536</v>
      </c>
      <c r="C539" s="212">
        <v>42806</v>
      </c>
      <c r="D539" s="212">
        <v>1</v>
      </c>
      <c r="E539" s="212">
        <v>21.95</v>
      </c>
      <c r="F539" s="212">
        <v>9.26</v>
      </c>
      <c r="G539" s="212">
        <v>12.69</v>
      </c>
      <c r="H539" s="216" t="s">
        <v>540</v>
      </c>
      <c r="I539" s="214" t="str">
        <f t="shared" si="8"/>
        <v>Francia</v>
      </c>
      <c r="J539" s="214"/>
    </row>
    <row r="540" spans="2:10">
      <c r="B540" s="215" t="s">
        <v>525</v>
      </c>
      <c r="C540" s="212">
        <v>42806</v>
      </c>
      <c r="D540" s="212">
        <v>5</v>
      </c>
      <c r="E540" s="212">
        <v>119.75</v>
      </c>
      <c r="F540" s="212">
        <v>42.19</v>
      </c>
      <c r="G540" s="212">
        <v>77.56</v>
      </c>
      <c r="H540" s="216" t="s">
        <v>528</v>
      </c>
      <c r="I540" s="214" t="str">
        <f t="shared" si="8"/>
        <v>UK</v>
      </c>
      <c r="J540" s="214"/>
    </row>
    <row r="541" spans="2:10">
      <c r="B541" s="215" t="s">
        <v>530</v>
      </c>
      <c r="C541" s="212">
        <v>42806</v>
      </c>
      <c r="D541" s="212">
        <v>2</v>
      </c>
      <c r="E541" s="212">
        <v>51.98</v>
      </c>
      <c r="F541" s="212">
        <v>18.64</v>
      </c>
      <c r="G541" s="212">
        <v>33.340000000000003</v>
      </c>
      <c r="H541" s="216" t="s">
        <v>529</v>
      </c>
      <c r="I541" s="214" t="str">
        <f t="shared" si="8"/>
        <v>Grecia</v>
      </c>
      <c r="J541" s="214"/>
    </row>
    <row r="542" spans="2:10">
      <c r="B542" s="215" t="s">
        <v>530</v>
      </c>
      <c r="C542" s="212">
        <v>42806</v>
      </c>
      <c r="D542" s="212">
        <v>1</v>
      </c>
      <c r="E542" s="212">
        <v>25.99</v>
      </c>
      <c r="F542" s="212">
        <v>9.32</v>
      </c>
      <c r="G542" s="212">
        <v>16.670000000000002</v>
      </c>
      <c r="H542" s="216" t="s">
        <v>531</v>
      </c>
      <c r="I542" s="214" t="str">
        <f t="shared" si="8"/>
        <v>Hong Kong</v>
      </c>
      <c r="J542" s="214"/>
    </row>
    <row r="543" spans="2:10">
      <c r="B543" s="215" t="s">
        <v>530</v>
      </c>
      <c r="C543" s="212">
        <v>42806</v>
      </c>
      <c r="D543" s="212">
        <v>1</v>
      </c>
      <c r="E543" s="212">
        <v>25.99</v>
      </c>
      <c r="F543" s="212">
        <v>11.02</v>
      </c>
      <c r="G543" s="212">
        <v>14.97</v>
      </c>
      <c r="H543" s="216" t="s">
        <v>543</v>
      </c>
      <c r="I543" s="214" t="str">
        <f t="shared" si="8"/>
        <v>Honduras</v>
      </c>
      <c r="J543" s="214"/>
    </row>
    <row r="544" spans="2:10">
      <c r="B544" s="215" t="s">
        <v>530</v>
      </c>
      <c r="C544" s="212">
        <v>42806</v>
      </c>
      <c r="D544" s="212">
        <v>2</v>
      </c>
      <c r="E544" s="212">
        <v>51.98</v>
      </c>
      <c r="F544" s="212">
        <v>18.84</v>
      </c>
      <c r="G544" s="212">
        <v>33.14</v>
      </c>
      <c r="H544" s="216" t="s">
        <v>544</v>
      </c>
      <c r="I544" s="214" t="str">
        <f t="shared" si="8"/>
        <v>Croatia</v>
      </c>
      <c r="J544" s="214"/>
    </row>
    <row r="545" spans="2:10">
      <c r="B545" s="215" t="s">
        <v>530</v>
      </c>
      <c r="C545" s="212">
        <v>42806</v>
      </c>
      <c r="D545" s="212">
        <v>2</v>
      </c>
      <c r="E545" s="212">
        <v>51.98</v>
      </c>
      <c r="F545" s="212">
        <v>20.239999999999998</v>
      </c>
      <c r="G545" s="212">
        <v>31.74</v>
      </c>
      <c r="H545" s="216" t="s">
        <v>532</v>
      </c>
      <c r="I545" s="214" t="str">
        <f t="shared" si="8"/>
        <v>Hungria</v>
      </c>
      <c r="J545" s="214"/>
    </row>
    <row r="546" spans="2:10">
      <c r="B546" s="215" t="s">
        <v>530</v>
      </c>
      <c r="C546" s="212">
        <v>42806</v>
      </c>
      <c r="D546" s="212">
        <v>2</v>
      </c>
      <c r="E546" s="212">
        <v>51.98</v>
      </c>
      <c r="F546" s="212">
        <v>17.03</v>
      </c>
      <c r="G546" s="212">
        <v>34.950000000000003</v>
      </c>
      <c r="H546" s="216" t="s">
        <v>533</v>
      </c>
      <c r="I546" s="214" t="str">
        <f t="shared" si="8"/>
        <v>Irlanda</v>
      </c>
      <c r="J546" s="214"/>
    </row>
    <row r="547" spans="2:10">
      <c r="B547" s="215" t="s">
        <v>530</v>
      </c>
      <c r="C547" s="212">
        <v>42807</v>
      </c>
      <c r="D547" s="212">
        <v>4</v>
      </c>
      <c r="E547" s="212">
        <v>87.8</v>
      </c>
      <c r="F547" s="212">
        <v>33.92</v>
      </c>
      <c r="G547" s="212">
        <v>53.88</v>
      </c>
      <c r="H547" s="216" t="s">
        <v>535</v>
      </c>
      <c r="I547" s="214" t="str">
        <f t="shared" si="8"/>
        <v>Italia</v>
      </c>
      <c r="J547" s="214"/>
    </row>
    <row r="548" spans="2:10">
      <c r="B548" s="215" t="s">
        <v>530</v>
      </c>
      <c r="C548" s="212">
        <v>42807</v>
      </c>
      <c r="D548" s="212">
        <v>2</v>
      </c>
      <c r="E548" s="212">
        <v>43.9</v>
      </c>
      <c r="F548" s="212">
        <v>15.09</v>
      </c>
      <c r="G548" s="212">
        <v>28.81</v>
      </c>
      <c r="H548" s="216" t="s">
        <v>545</v>
      </c>
      <c r="I548" s="214" t="str">
        <f t="shared" si="8"/>
        <v>Lithuania</v>
      </c>
      <c r="J548" s="214"/>
    </row>
    <row r="549" spans="2:10">
      <c r="B549" s="215" t="s">
        <v>530</v>
      </c>
      <c r="C549" s="212">
        <v>42809</v>
      </c>
      <c r="D549" s="212">
        <v>70</v>
      </c>
      <c r="E549" s="212">
        <v>829.71</v>
      </c>
      <c r="F549" s="212">
        <v>528.29999999999995</v>
      </c>
      <c r="G549" s="212">
        <v>301.41000000000003</v>
      </c>
      <c r="H549" s="216" t="s">
        <v>566</v>
      </c>
      <c r="I549" s="214" t="str">
        <f t="shared" si="8"/>
        <v>Luxembourg</v>
      </c>
      <c r="J549" s="214"/>
    </row>
    <row r="550" spans="2:10">
      <c r="B550" s="215" t="s">
        <v>536</v>
      </c>
      <c r="C550" s="212">
        <v>42807</v>
      </c>
      <c r="D550" s="212">
        <v>1</v>
      </c>
      <c r="E550" s="212">
        <v>6.99</v>
      </c>
      <c r="F550" s="212">
        <v>2.89</v>
      </c>
      <c r="G550" s="212">
        <v>4.0999999999999996</v>
      </c>
      <c r="H550" s="216" t="s">
        <v>567</v>
      </c>
      <c r="I550" s="214" t="str">
        <f t="shared" si="8"/>
        <v>Latvia</v>
      </c>
      <c r="J550" s="214"/>
    </row>
    <row r="551" spans="2:10">
      <c r="B551" s="215" t="s">
        <v>536</v>
      </c>
      <c r="C551" s="212">
        <v>42809</v>
      </c>
      <c r="D551" s="212">
        <v>2</v>
      </c>
      <c r="E551" s="212">
        <v>13.98</v>
      </c>
      <c r="F551" s="212">
        <v>6.63</v>
      </c>
      <c r="G551" s="212">
        <v>7.35</v>
      </c>
      <c r="H551" s="216" t="s">
        <v>568</v>
      </c>
      <c r="I551" s="214" t="str">
        <f t="shared" si="8"/>
        <v>Mexico</v>
      </c>
      <c r="J551" s="214"/>
    </row>
    <row r="552" spans="2:10">
      <c r="B552" s="215" t="s">
        <v>536</v>
      </c>
      <c r="C552" s="212">
        <v>42807</v>
      </c>
      <c r="D552" s="212">
        <v>1</v>
      </c>
      <c r="E552" s="212">
        <v>6.99</v>
      </c>
      <c r="F552" s="212">
        <v>3.35</v>
      </c>
      <c r="G552" s="212">
        <v>3.64</v>
      </c>
      <c r="H552" s="216" t="s">
        <v>546</v>
      </c>
      <c r="I552" s="214" t="str">
        <f t="shared" si="8"/>
        <v>Holanda</v>
      </c>
      <c r="J552" s="214"/>
    </row>
    <row r="553" spans="2:10">
      <c r="B553" s="215" t="s">
        <v>536</v>
      </c>
      <c r="C553" s="212">
        <v>42807</v>
      </c>
      <c r="D553" s="212">
        <v>3</v>
      </c>
      <c r="E553" s="212">
        <v>20.97</v>
      </c>
      <c r="F553" s="212">
        <v>10.53</v>
      </c>
      <c r="G553" s="212">
        <v>10.44</v>
      </c>
      <c r="H553" s="216" t="s">
        <v>547</v>
      </c>
      <c r="I553" s="214" t="str">
        <f t="shared" si="8"/>
        <v>Norway</v>
      </c>
      <c r="J553" s="214"/>
    </row>
    <row r="554" spans="2:10">
      <c r="B554" s="215" t="s">
        <v>536</v>
      </c>
      <c r="C554" s="212">
        <v>42809</v>
      </c>
      <c r="D554" s="212">
        <v>3</v>
      </c>
      <c r="E554" s="212">
        <v>20.97</v>
      </c>
      <c r="F554" s="212">
        <v>8.8699999999999992</v>
      </c>
      <c r="G554" s="212">
        <v>12.1</v>
      </c>
      <c r="H554" s="216" t="s">
        <v>548</v>
      </c>
      <c r="I554" s="214" t="str">
        <f t="shared" si="8"/>
        <v>Peru</v>
      </c>
      <c r="J554" s="214"/>
    </row>
    <row r="555" spans="2:10">
      <c r="B555" s="215" t="s">
        <v>536</v>
      </c>
      <c r="C555" s="212">
        <v>42811</v>
      </c>
      <c r="D555" s="212">
        <v>3</v>
      </c>
      <c r="E555" s="212">
        <v>20.97</v>
      </c>
      <c r="F555" s="212">
        <v>9.9499999999999993</v>
      </c>
      <c r="G555" s="212">
        <v>11.02</v>
      </c>
      <c r="H555" s="216" t="s">
        <v>549</v>
      </c>
      <c r="I555" s="214" t="str">
        <f t="shared" si="8"/>
        <v>Polonia</v>
      </c>
      <c r="J555" s="214"/>
    </row>
    <row r="556" spans="2:10">
      <c r="B556" s="215" t="s">
        <v>536</v>
      </c>
      <c r="C556" s="212">
        <v>42807</v>
      </c>
      <c r="D556" s="212">
        <v>1</v>
      </c>
      <c r="E556" s="212">
        <v>6.99</v>
      </c>
      <c r="F556" s="212">
        <v>2.96</v>
      </c>
      <c r="G556" s="212">
        <v>4.03</v>
      </c>
      <c r="H556" s="216" t="s">
        <v>550</v>
      </c>
      <c r="I556" s="214" t="str">
        <f t="shared" si="8"/>
        <v>Portugal</v>
      </c>
      <c r="J556" s="214"/>
    </row>
    <row r="557" spans="2:10">
      <c r="B557" s="215" t="s">
        <v>536</v>
      </c>
      <c r="C557" s="212">
        <v>42807</v>
      </c>
      <c r="D557" s="212">
        <v>24</v>
      </c>
      <c r="E557" s="212">
        <v>109.04</v>
      </c>
      <c r="F557" s="212">
        <v>74.099999999999994</v>
      </c>
      <c r="G557" s="212">
        <v>34.94</v>
      </c>
      <c r="H557" s="216" t="s">
        <v>551</v>
      </c>
      <c r="I557" s="214" t="str">
        <f t="shared" si="8"/>
        <v>Slovakia</v>
      </c>
      <c r="J557" s="214"/>
    </row>
    <row r="558" spans="2:10">
      <c r="B558" s="215" t="s">
        <v>541</v>
      </c>
      <c r="C558" s="212">
        <v>42812</v>
      </c>
      <c r="D558" s="212">
        <v>2</v>
      </c>
      <c r="E558" s="212">
        <v>52</v>
      </c>
      <c r="F558" s="212">
        <v>21.2</v>
      </c>
      <c r="G558" s="212">
        <v>30.8</v>
      </c>
      <c r="H558" s="216" t="s">
        <v>552</v>
      </c>
      <c r="I558" s="214" t="str">
        <f t="shared" si="8"/>
        <v>Slovenia</v>
      </c>
      <c r="J558" s="214"/>
    </row>
    <row r="559" spans="2:10">
      <c r="B559" s="215" t="s">
        <v>541</v>
      </c>
      <c r="C559" s="212">
        <v>42807</v>
      </c>
      <c r="D559" s="212">
        <v>3</v>
      </c>
      <c r="E559" s="212">
        <v>80.97</v>
      </c>
      <c r="F559" s="212">
        <v>35.15</v>
      </c>
      <c r="G559" s="212">
        <v>45.82</v>
      </c>
      <c r="H559" s="216" t="s">
        <v>553</v>
      </c>
      <c r="I559" s="214" t="str">
        <f t="shared" si="8"/>
        <v>Suecia</v>
      </c>
      <c r="J559" s="214"/>
    </row>
    <row r="560" spans="2:10">
      <c r="B560" s="215" t="s">
        <v>541</v>
      </c>
      <c r="C560" s="212">
        <v>42807</v>
      </c>
      <c r="D560" s="212">
        <v>3</v>
      </c>
      <c r="E560" s="212">
        <v>80.97</v>
      </c>
      <c r="F560" s="212">
        <v>33.86</v>
      </c>
      <c r="G560" s="212">
        <v>47.11</v>
      </c>
      <c r="H560" s="216" t="s">
        <v>554</v>
      </c>
      <c r="I560" s="214" t="str">
        <f t="shared" si="8"/>
        <v>Ucrania</v>
      </c>
      <c r="J560" s="214"/>
    </row>
    <row r="561" spans="2:10">
      <c r="B561" s="215" t="s">
        <v>541</v>
      </c>
      <c r="C561" s="212">
        <v>42807</v>
      </c>
      <c r="D561" s="212">
        <v>3</v>
      </c>
      <c r="E561" s="212">
        <v>80.97</v>
      </c>
      <c r="F561" s="212">
        <v>28.06</v>
      </c>
      <c r="G561" s="212">
        <v>52.91</v>
      </c>
      <c r="H561" s="216" t="s">
        <v>555</v>
      </c>
      <c r="I561" s="214" t="str">
        <f t="shared" si="8"/>
        <v>Ustados Unidos</v>
      </c>
      <c r="J561" s="214"/>
    </row>
    <row r="562" spans="2:10">
      <c r="B562" s="215" t="s">
        <v>541</v>
      </c>
      <c r="C562" s="212">
        <v>42807</v>
      </c>
      <c r="D562" s="212">
        <v>1</v>
      </c>
      <c r="E562" s="212">
        <v>26.99</v>
      </c>
      <c r="F562" s="212">
        <v>10.86</v>
      </c>
      <c r="G562" s="212">
        <v>16.13</v>
      </c>
      <c r="H562" s="216" t="s">
        <v>556</v>
      </c>
      <c r="I562" s="214" t="str">
        <f t="shared" si="8"/>
        <v>Venezuela</v>
      </c>
      <c r="J562" s="214"/>
    </row>
    <row r="563" spans="2:10">
      <c r="B563" s="215" t="s">
        <v>542</v>
      </c>
      <c r="C563" s="212">
        <v>42807</v>
      </c>
      <c r="D563" s="212">
        <v>44</v>
      </c>
      <c r="E563" s="212">
        <v>526.67999999999995</v>
      </c>
      <c r="F563" s="212">
        <v>359.04</v>
      </c>
      <c r="G563" s="212">
        <v>167.64</v>
      </c>
      <c r="H563" s="216" t="s">
        <v>519</v>
      </c>
      <c r="I563" s="214" t="str">
        <f t="shared" si="8"/>
        <v>Argentina</v>
      </c>
      <c r="J563" s="214"/>
    </row>
    <row r="564" spans="2:10">
      <c r="B564" s="215" t="s">
        <v>520</v>
      </c>
      <c r="C564" s="212">
        <v>42809</v>
      </c>
      <c r="D564" s="212">
        <v>34</v>
      </c>
      <c r="E564" s="212">
        <v>2488.8000000000002</v>
      </c>
      <c r="F564" s="212">
        <v>1794.07</v>
      </c>
      <c r="G564" s="212">
        <v>694.73</v>
      </c>
      <c r="H564" s="216" t="s">
        <v>557</v>
      </c>
      <c r="I564" s="214" t="str">
        <f t="shared" si="8"/>
        <v>Australia</v>
      </c>
      <c r="J564" s="214"/>
    </row>
    <row r="565" spans="2:10">
      <c r="B565" s="215" t="s">
        <v>520</v>
      </c>
      <c r="C565" s="212">
        <v>42811</v>
      </c>
      <c r="D565" s="212">
        <v>2</v>
      </c>
      <c r="E565" s="212">
        <v>57.9</v>
      </c>
      <c r="F565" s="212">
        <v>23.44</v>
      </c>
      <c r="G565" s="212">
        <v>34.46</v>
      </c>
      <c r="H565" s="216" t="s">
        <v>558</v>
      </c>
      <c r="I565" s="214" t="str">
        <f t="shared" si="8"/>
        <v>Austria</v>
      </c>
      <c r="J565" s="214"/>
    </row>
    <row r="566" spans="2:10">
      <c r="B566" s="215" t="s">
        <v>520</v>
      </c>
      <c r="C566" s="212">
        <v>42807</v>
      </c>
      <c r="D566" s="212">
        <v>2</v>
      </c>
      <c r="E566" s="212">
        <v>57.9</v>
      </c>
      <c r="F566" s="212">
        <v>20.22</v>
      </c>
      <c r="G566" s="212">
        <v>37.68</v>
      </c>
      <c r="H566" s="216" t="s">
        <v>559</v>
      </c>
      <c r="I566" s="214" t="str">
        <f t="shared" si="8"/>
        <v>Belgica</v>
      </c>
      <c r="J566" s="214"/>
    </row>
    <row r="567" spans="2:10">
      <c r="B567" s="215" t="s">
        <v>520</v>
      </c>
      <c r="C567" s="212">
        <v>42809</v>
      </c>
      <c r="D567" s="212">
        <v>2</v>
      </c>
      <c r="E567" s="212">
        <v>244</v>
      </c>
      <c r="F567" s="212">
        <v>90.6</v>
      </c>
      <c r="G567" s="212">
        <v>153.4</v>
      </c>
      <c r="H567" s="216" t="s">
        <v>560</v>
      </c>
      <c r="I567" s="214" t="str">
        <f t="shared" si="8"/>
        <v>Bulgaria</v>
      </c>
      <c r="J567" s="214"/>
    </row>
    <row r="568" spans="2:10">
      <c r="B568" s="215" t="s">
        <v>520</v>
      </c>
      <c r="C568" s="212">
        <v>42811</v>
      </c>
      <c r="D568" s="212">
        <v>1</v>
      </c>
      <c r="E568" s="212">
        <v>41.95</v>
      </c>
      <c r="F568" s="212">
        <v>20.81</v>
      </c>
      <c r="G568" s="212">
        <v>21.14</v>
      </c>
      <c r="H568" s="216" t="s">
        <v>561</v>
      </c>
      <c r="I568" s="214" t="str">
        <f t="shared" si="8"/>
        <v>Brazil</v>
      </c>
      <c r="J568" s="214"/>
    </row>
    <row r="569" spans="2:10">
      <c r="B569" s="215" t="s">
        <v>520</v>
      </c>
      <c r="C569" s="212">
        <v>42813</v>
      </c>
      <c r="D569" s="212">
        <v>4</v>
      </c>
      <c r="E569" s="212">
        <v>115.8</v>
      </c>
      <c r="F569" s="212">
        <v>50.1</v>
      </c>
      <c r="G569" s="212">
        <v>65.7</v>
      </c>
      <c r="H569" s="216" t="s">
        <v>526</v>
      </c>
      <c r="I569" s="214" t="str">
        <f t="shared" si="8"/>
        <v>Canada</v>
      </c>
      <c r="J569" s="214"/>
    </row>
    <row r="570" spans="2:10">
      <c r="B570" s="215" t="s">
        <v>520</v>
      </c>
      <c r="C570" s="212">
        <v>42807</v>
      </c>
      <c r="D570" s="212">
        <v>2</v>
      </c>
      <c r="E570" s="212">
        <v>57.9</v>
      </c>
      <c r="F570" s="212">
        <v>21.83</v>
      </c>
      <c r="G570" s="212">
        <v>36.07</v>
      </c>
      <c r="H570" s="216" t="s">
        <v>527</v>
      </c>
      <c r="I570" s="214" t="str">
        <f t="shared" si="8"/>
        <v>Suiza</v>
      </c>
      <c r="J570" s="214"/>
    </row>
    <row r="571" spans="2:10">
      <c r="B571" s="215" t="s">
        <v>520</v>
      </c>
      <c r="C571" s="212">
        <v>42807</v>
      </c>
      <c r="D571" s="212">
        <v>33</v>
      </c>
      <c r="E571" s="212">
        <v>522.37</v>
      </c>
      <c r="F571" s="212">
        <v>307.92</v>
      </c>
      <c r="G571" s="212">
        <v>214.45</v>
      </c>
      <c r="H571" s="216" t="s">
        <v>562</v>
      </c>
      <c r="I571" s="214" t="str">
        <f t="shared" si="8"/>
        <v>Chile</v>
      </c>
      <c r="J571" s="214"/>
    </row>
    <row r="572" spans="2:10">
      <c r="B572" s="215" t="s">
        <v>542</v>
      </c>
      <c r="C572" s="212">
        <v>42807</v>
      </c>
      <c r="D572" s="212">
        <v>2</v>
      </c>
      <c r="E572" s="212">
        <v>83.9</v>
      </c>
      <c r="F572" s="212">
        <v>33.6</v>
      </c>
      <c r="G572" s="212">
        <v>50.3</v>
      </c>
      <c r="H572" s="216" t="s">
        <v>521</v>
      </c>
      <c r="I572" s="214" t="str">
        <f t="shared" si="8"/>
        <v>Colombia</v>
      </c>
      <c r="J572" s="214"/>
    </row>
    <row r="573" spans="2:10">
      <c r="B573" s="215" t="s">
        <v>542</v>
      </c>
      <c r="C573" s="212">
        <v>42807</v>
      </c>
      <c r="D573" s="212">
        <v>1</v>
      </c>
      <c r="E573" s="212">
        <v>41.95</v>
      </c>
      <c r="F573" s="212">
        <v>14.24</v>
      </c>
      <c r="G573" s="212">
        <v>27.71</v>
      </c>
      <c r="H573" s="216" t="s">
        <v>563</v>
      </c>
      <c r="I573" s="214" t="str">
        <f t="shared" si="8"/>
        <v>Costa Rica</v>
      </c>
      <c r="J573" s="214"/>
    </row>
    <row r="574" spans="2:10">
      <c r="B574" s="215" t="s">
        <v>536</v>
      </c>
      <c r="C574" s="212">
        <v>42809</v>
      </c>
      <c r="D574" s="212">
        <v>1</v>
      </c>
      <c r="E574" s="212">
        <v>21.95</v>
      </c>
      <c r="F574" s="212">
        <v>7.35</v>
      </c>
      <c r="G574" s="212">
        <v>14.6</v>
      </c>
      <c r="H574" s="216" t="s">
        <v>564</v>
      </c>
      <c r="I574" s="214" t="str">
        <f t="shared" si="8"/>
        <v>Czech Republic</v>
      </c>
      <c r="J574" s="214"/>
    </row>
    <row r="575" spans="2:10">
      <c r="B575" s="215" t="s">
        <v>525</v>
      </c>
      <c r="C575" s="212">
        <v>42807</v>
      </c>
      <c r="D575" s="212">
        <v>3</v>
      </c>
      <c r="E575" s="212">
        <v>71.849999999999994</v>
      </c>
      <c r="F575" s="212">
        <v>26.16</v>
      </c>
      <c r="G575" s="212">
        <v>45.69</v>
      </c>
      <c r="H575" s="216" t="s">
        <v>522</v>
      </c>
      <c r="I575" s="214" t="str">
        <f t="shared" si="8"/>
        <v>Germany</v>
      </c>
      <c r="J575" s="214"/>
    </row>
    <row r="576" spans="2:10">
      <c r="B576" s="215" t="s">
        <v>525</v>
      </c>
      <c r="C576" s="212">
        <v>42807</v>
      </c>
      <c r="D576" s="212">
        <v>1</v>
      </c>
      <c r="E576" s="212">
        <v>23.95</v>
      </c>
      <c r="F576" s="212">
        <v>9.57</v>
      </c>
      <c r="G576" s="212">
        <v>14.38</v>
      </c>
      <c r="H576" s="216" t="s">
        <v>565</v>
      </c>
      <c r="I576" s="214" t="str">
        <f t="shared" si="8"/>
        <v>Dinamarca</v>
      </c>
      <c r="J576" s="214"/>
    </row>
    <row r="577" spans="2:10">
      <c r="B577" s="215" t="s">
        <v>530</v>
      </c>
      <c r="C577" s="212">
        <v>42807</v>
      </c>
      <c r="D577" s="212">
        <v>1</v>
      </c>
      <c r="E577" s="212">
        <v>25.99</v>
      </c>
      <c r="F577" s="212">
        <v>10.02</v>
      </c>
      <c r="G577" s="212">
        <v>15.97</v>
      </c>
      <c r="H577" s="216" t="s">
        <v>523</v>
      </c>
      <c r="I577" s="214" t="str">
        <f t="shared" si="8"/>
        <v>Dominican Republic</v>
      </c>
      <c r="J577" s="214"/>
    </row>
    <row r="578" spans="2:10">
      <c r="B578" s="215" t="s">
        <v>530</v>
      </c>
      <c r="C578" s="212">
        <v>42807</v>
      </c>
      <c r="D578" s="212">
        <v>2</v>
      </c>
      <c r="E578" s="212">
        <v>51.98</v>
      </c>
      <c r="F578" s="212">
        <v>18.64</v>
      </c>
      <c r="G578" s="212">
        <v>33.340000000000003</v>
      </c>
      <c r="H578" s="216" t="s">
        <v>524</v>
      </c>
      <c r="I578" s="214" t="str">
        <f t="shared" si="8"/>
        <v>Ecuador</v>
      </c>
      <c r="J578" s="214"/>
    </row>
    <row r="579" spans="2:10">
      <c r="B579" s="215" t="s">
        <v>530</v>
      </c>
      <c r="C579" s="212">
        <v>42807</v>
      </c>
      <c r="D579" s="212">
        <v>41</v>
      </c>
      <c r="E579" s="212">
        <v>650.01</v>
      </c>
      <c r="F579" s="212">
        <v>419.04</v>
      </c>
      <c r="G579" s="212">
        <v>230.97</v>
      </c>
      <c r="H579" s="216" t="s">
        <v>537</v>
      </c>
      <c r="I579" s="214" t="str">
        <f t="shared" si="8"/>
        <v>España</v>
      </c>
      <c r="J579" s="214"/>
    </row>
    <row r="580" spans="2:10">
      <c r="B580" s="215" t="s">
        <v>518</v>
      </c>
      <c r="C580" s="212">
        <v>42808</v>
      </c>
      <c r="D580" s="212">
        <v>56</v>
      </c>
      <c r="E580" s="212">
        <v>697.42</v>
      </c>
      <c r="F580" s="212">
        <v>610.24</v>
      </c>
      <c r="G580" s="212">
        <v>87.18</v>
      </c>
      <c r="H580" s="216" t="s">
        <v>538</v>
      </c>
      <c r="I580" s="214" t="str">
        <f t="shared" si="8"/>
        <v>Estonia</v>
      </c>
      <c r="J580" s="214"/>
    </row>
    <row r="581" spans="2:10">
      <c r="B581" s="215" t="s">
        <v>530</v>
      </c>
      <c r="C581" s="212">
        <v>42808</v>
      </c>
      <c r="D581" s="212">
        <v>1</v>
      </c>
      <c r="E581" s="212">
        <v>21.95</v>
      </c>
      <c r="F581" s="212">
        <v>8.48</v>
      </c>
      <c r="G581" s="212">
        <v>13.47</v>
      </c>
      <c r="H581" s="216" t="s">
        <v>539</v>
      </c>
      <c r="I581" s="214" t="str">
        <f t="shared" ref="I581:I644" si="9">VLOOKUP(H581,$L$4:$M$46,2,FALSE)</f>
        <v>Finlandia</v>
      </c>
      <c r="J581" s="214"/>
    </row>
    <row r="582" spans="2:10">
      <c r="B582" s="215" t="s">
        <v>530</v>
      </c>
      <c r="C582" s="212">
        <v>42808</v>
      </c>
      <c r="D582" s="212">
        <v>2</v>
      </c>
      <c r="E582" s="212">
        <v>43.9</v>
      </c>
      <c r="F582" s="212">
        <v>14.76</v>
      </c>
      <c r="G582" s="212">
        <v>29.14</v>
      </c>
      <c r="H582" s="216" t="s">
        <v>540</v>
      </c>
      <c r="I582" s="214" t="str">
        <f t="shared" si="9"/>
        <v>Francia</v>
      </c>
      <c r="J582" s="214"/>
    </row>
    <row r="583" spans="2:10">
      <c r="B583" s="215" t="s">
        <v>530</v>
      </c>
      <c r="C583" s="212">
        <v>42808</v>
      </c>
      <c r="D583" s="212">
        <v>1</v>
      </c>
      <c r="E583" s="212">
        <v>21.95</v>
      </c>
      <c r="F583" s="212">
        <v>8.48</v>
      </c>
      <c r="G583" s="212">
        <v>13.47</v>
      </c>
      <c r="H583" s="216" t="s">
        <v>528</v>
      </c>
      <c r="I583" s="214" t="str">
        <f t="shared" si="9"/>
        <v>UK</v>
      </c>
      <c r="J583" s="214"/>
    </row>
    <row r="584" spans="2:10">
      <c r="B584" s="215" t="s">
        <v>530</v>
      </c>
      <c r="C584" s="212">
        <v>42808</v>
      </c>
      <c r="D584" s="212">
        <v>3</v>
      </c>
      <c r="E584" s="212">
        <v>65.849999999999994</v>
      </c>
      <c r="F584" s="212">
        <v>27.48</v>
      </c>
      <c r="G584" s="212">
        <v>38.369999999999997</v>
      </c>
      <c r="H584" s="216" t="s">
        <v>529</v>
      </c>
      <c r="I584" s="214" t="str">
        <f t="shared" si="9"/>
        <v>Grecia</v>
      </c>
      <c r="J584" s="214"/>
    </row>
    <row r="585" spans="2:10">
      <c r="B585" s="215" t="s">
        <v>530</v>
      </c>
      <c r="C585" s="212">
        <v>42808</v>
      </c>
      <c r="D585" s="212">
        <v>48</v>
      </c>
      <c r="E585" s="212">
        <v>568.94000000000005</v>
      </c>
      <c r="F585" s="212">
        <v>447.74</v>
      </c>
      <c r="G585" s="212">
        <v>121.2</v>
      </c>
      <c r="H585" s="216" t="s">
        <v>531</v>
      </c>
      <c r="I585" s="214" t="str">
        <f t="shared" si="9"/>
        <v>Hong Kong</v>
      </c>
      <c r="J585" s="214"/>
    </row>
    <row r="586" spans="2:10">
      <c r="B586" s="215" t="s">
        <v>530</v>
      </c>
      <c r="C586" s="212">
        <v>42808</v>
      </c>
      <c r="D586" s="212">
        <v>2</v>
      </c>
      <c r="E586" s="212">
        <v>43.9</v>
      </c>
      <c r="F586" s="212">
        <v>15.43</v>
      </c>
      <c r="G586" s="212">
        <v>28.47</v>
      </c>
      <c r="H586" s="216" t="s">
        <v>543</v>
      </c>
      <c r="I586" s="214" t="str">
        <f t="shared" si="9"/>
        <v>Honduras</v>
      </c>
      <c r="J586" s="214"/>
    </row>
    <row r="587" spans="2:10">
      <c r="B587" s="215" t="s">
        <v>530</v>
      </c>
      <c r="C587" s="212">
        <v>42808</v>
      </c>
      <c r="D587" s="212">
        <v>2</v>
      </c>
      <c r="E587" s="212">
        <v>43.9</v>
      </c>
      <c r="F587" s="212">
        <v>15.94</v>
      </c>
      <c r="G587" s="212">
        <v>27.96</v>
      </c>
      <c r="H587" s="216" t="s">
        <v>544</v>
      </c>
      <c r="I587" s="214" t="str">
        <f t="shared" si="9"/>
        <v>Croatia</v>
      </c>
      <c r="J587" s="214"/>
    </row>
    <row r="588" spans="2:10">
      <c r="B588" s="215" t="s">
        <v>534</v>
      </c>
      <c r="C588" s="212">
        <v>42808</v>
      </c>
      <c r="D588" s="212">
        <v>1</v>
      </c>
      <c r="E588" s="212">
        <v>23.95</v>
      </c>
      <c r="F588" s="212">
        <v>9.8699999999999992</v>
      </c>
      <c r="G588" s="212">
        <v>14.08</v>
      </c>
      <c r="H588" s="216" t="s">
        <v>532</v>
      </c>
      <c r="I588" s="214" t="str">
        <f t="shared" si="9"/>
        <v>Hungria</v>
      </c>
      <c r="J588" s="214"/>
    </row>
    <row r="589" spans="2:10">
      <c r="B589" s="215" t="s">
        <v>534</v>
      </c>
      <c r="C589" s="212">
        <v>42808</v>
      </c>
      <c r="D589" s="212">
        <v>1</v>
      </c>
      <c r="E589" s="212">
        <v>23.95</v>
      </c>
      <c r="F589" s="212">
        <v>8.9700000000000006</v>
      </c>
      <c r="G589" s="212">
        <v>14.98</v>
      </c>
      <c r="H589" s="216" t="s">
        <v>533</v>
      </c>
      <c r="I589" s="214" t="str">
        <f t="shared" si="9"/>
        <v>Irlanda</v>
      </c>
      <c r="J589" s="214"/>
    </row>
    <row r="590" spans="2:10">
      <c r="B590" s="215" t="s">
        <v>536</v>
      </c>
      <c r="C590" s="212">
        <v>42808</v>
      </c>
      <c r="D590" s="212">
        <v>1</v>
      </c>
      <c r="E590" s="212">
        <v>6.99</v>
      </c>
      <c r="F590" s="212">
        <v>2.89</v>
      </c>
      <c r="G590" s="212">
        <v>4.0999999999999996</v>
      </c>
      <c r="H590" s="216" t="s">
        <v>535</v>
      </c>
      <c r="I590" s="214" t="str">
        <f t="shared" si="9"/>
        <v>Italia</v>
      </c>
      <c r="J590" s="214"/>
    </row>
    <row r="591" spans="2:10">
      <c r="B591" s="215" t="s">
        <v>536</v>
      </c>
      <c r="C591" s="212">
        <v>42808</v>
      </c>
      <c r="D591" s="212">
        <v>4</v>
      </c>
      <c r="E591" s="212">
        <v>27.96</v>
      </c>
      <c r="F591" s="212">
        <v>14.3</v>
      </c>
      <c r="G591" s="212">
        <v>13.66</v>
      </c>
      <c r="H591" s="216" t="s">
        <v>545</v>
      </c>
      <c r="I591" s="214" t="str">
        <f t="shared" si="9"/>
        <v>Lithuania</v>
      </c>
      <c r="J591" s="214"/>
    </row>
    <row r="592" spans="2:10">
      <c r="B592" s="215" t="s">
        <v>536</v>
      </c>
      <c r="C592" s="212">
        <v>42808</v>
      </c>
      <c r="D592" s="212">
        <v>2</v>
      </c>
      <c r="E592" s="212">
        <v>13.98</v>
      </c>
      <c r="F592" s="212">
        <v>5.66</v>
      </c>
      <c r="G592" s="212">
        <v>8.32</v>
      </c>
      <c r="H592" s="216" t="s">
        <v>566</v>
      </c>
      <c r="I592" s="214" t="str">
        <f t="shared" si="9"/>
        <v>Luxembourg</v>
      </c>
      <c r="J592" s="214"/>
    </row>
    <row r="593" spans="2:10">
      <c r="B593" s="215" t="s">
        <v>536</v>
      </c>
      <c r="C593" s="212">
        <v>42808</v>
      </c>
      <c r="D593" s="212">
        <v>2</v>
      </c>
      <c r="E593" s="212">
        <v>13.98</v>
      </c>
      <c r="F593" s="212">
        <v>6.37</v>
      </c>
      <c r="G593" s="212">
        <v>7.61</v>
      </c>
      <c r="H593" s="216" t="s">
        <v>567</v>
      </c>
      <c r="I593" s="214" t="str">
        <f t="shared" si="9"/>
        <v>Latvia</v>
      </c>
      <c r="J593" s="214"/>
    </row>
    <row r="594" spans="2:10">
      <c r="B594" s="215" t="s">
        <v>536</v>
      </c>
      <c r="C594" s="212">
        <v>42808</v>
      </c>
      <c r="D594" s="212">
        <v>2</v>
      </c>
      <c r="E594" s="212">
        <v>13.98</v>
      </c>
      <c r="F594" s="212">
        <v>7.15</v>
      </c>
      <c r="G594" s="212">
        <v>6.83</v>
      </c>
      <c r="H594" s="216" t="s">
        <v>568</v>
      </c>
      <c r="I594" s="214" t="str">
        <f t="shared" si="9"/>
        <v>Mexico</v>
      </c>
      <c r="J594" s="214"/>
    </row>
    <row r="595" spans="2:10">
      <c r="B595" s="215" t="s">
        <v>536</v>
      </c>
      <c r="C595" s="212">
        <v>42810</v>
      </c>
      <c r="D595" s="212">
        <v>2</v>
      </c>
      <c r="E595" s="212">
        <v>13.98</v>
      </c>
      <c r="F595" s="212">
        <v>5.98</v>
      </c>
      <c r="G595" s="212">
        <v>8</v>
      </c>
      <c r="H595" s="216" t="s">
        <v>546</v>
      </c>
      <c r="I595" s="214" t="str">
        <f t="shared" si="9"/>
        <v>Holanda</v>
      </c>
      <c r="J595" s="214"/>
    </row>
    <row r="596" spans="2:10">
      <c r="B596" s="215" t="s">
        <v>536</v>
      </c>
      <c r="C596" s="212">
        <v>42812</v>
      </c>
      <c r="D596" s="212">
        <v>1</v>
      </c>
      <c r="E596" s="212">
        <v>6.99</v>
      </c>
      <c r="F596" s="212">
        <v>3.38</v>
      </c>
      <c r="G596" s="212">
        <v>3.61</v>
      </c>
      <c r="H596" s="216" t="s">
        <v>547</v>
      </c>
      <c r="I596" s="214" t="str">
        <f t="shared" si="9"/>
        <v>Norway</v>
      </c>
      <c r="J596" s="214"/>
    </row>
    <row r="597" spans="2:10">
      <c r="B597" s="215" t="s">
        <v>536</v>
      </c>
      <c r="C597" s="212">
        <v>42808</v>
      </c>
      <c r="D597" s="212">
        <v>3</v>
      </c>
      <c r="E597" s="212">
        <v>20.97</v>
      </c>
      <c r="F597" s="212">
        <v>8.48</v>
      </c>
      <c r="G597" s="212">
        <v>12.49</v>
      </c>
      <c r="H597" s="216" t="s">
        <v>548</v>
      </c>
      <c r="I597" s="214" t="str">
        <f t="shared" si="9"/>
        <v>Peru</v>
      </c>
      <c r="J597" s="214"/>
    </row>
    <row r="598" spans="2:10">
      <c r="B598" s="215" t="s">
        <v>541</v>
      </c>
      <c r="C598" s="212">
        <v>42808</v>
      </c>
      <c r="D598" s="212">
        <v>4</v>
      </c>
      <c r="E598" s="212">
        <v>104</v>
      </c>
      <c r="F598" s="212">
        <v>38.86</v>
      </c>
      <c r="G598" s="212">
        <v>65.14</v>
      </c>
      <c r="H598" s="216" t="s">
        <v>549</v>
      </c>
      <c r="I598" s="214" t="str">
        <f t="shared" si="9"/>
        <v>Polonia</v>
      </c>
      <c r="J598" s="214"/>
    </row>
    <row r="599" spans="2:10">
      <c r="B599" s="215" t="s">
        <v>541</v>
      </c>
      <c r="C599" s="212">
        <v>42808</v>
      </c>
      <c r="D599" s="212">
        <v>2</v>
      </c>
      <c r="E599" s="212">
        <v>53.98</v>
      </c>
      <c r="F599" s="212">
        <v>21.29</v>
      </c>
      <c r="G599" s="212">
        <v>32.69</v>
      </c>
      <c r="H599" s="216" t="s">
        <v>550</v>
      </c>
      <c r="I599" s="214" t="str">
        <f t="shared" si="9"/>
        <v>Portugal</v>
      </c>
      <c r="J599" s="214"/>
    </row>
    <row r="600" spans="2:10">
      <c r="B600" s="215" t="s">
        <v>541</v>
      </c>
      <c r="C600" s="212">
        <v>42808</v>
      </c>
      <c r="D600" s="212">
        <v>1</v>
      </c>
      <c r="E600" s="212">
        <v>26.99</v>
      </c>
      <c r="F600" s="212">
        <v>11.4</v>
      </c>
      <c r="G600" s="212">
        <v>15.59</v>
      </c>
      <c r="H600" s="216" t="s">
        <v>551</v>
      </c>
      <c r="I600" s="214" t="str">
        <f t="shared" si="9"/>
        <v>Slovakia</v>
      </c>
      <c r="J600" s="214"/>
    </row>
    <row r="601" spans="2:10">
      <c r="B601" s="215" t="s">
        <v>541</v>
      </c>
      <c r="C601" s="212">
        <v>42808</v>
      </c>
      <c r="D601" s="212">
        <v>1</v>
      </c>
      <c r="E601" s="212">
        <v>26.99</v>
      </c>
      <c r="F601" s="212">
        <v>11.07</v>
      </c>
      <c r="G601" s="212">
        <v>15.92</v>
      </c>
      <c r="H601" s="216" t="s">
        <v>552</v>
      </c>
      <c r="I601" s="214" t="str">
        <f t="shared" si="9"/>
        <v>Slovenia</v>
      </c>
      <c r="J601" s="214"/>
    </row>
    <row r="602" spans="2:10">
      <c r="B602" s="215" t="s">
        <v>541</v>
      </c>
      <c r="C602" s="212">
        <v>42810</v>
      </c>
      <c r="D602" s="212">
        <v>3</v>
      </c>
      <c r="E602" s="212">
        <v>80.97</v>
      </c>
      <c r="F602" s="212">
        <v>34.83</v>
      </c>
      <c r="G602" s="212">
        <v>46.14</v>
      </c>
      <c r="H602" s="216" t="s">
        <v>553</v>
      </c>
      <c r="I602" s="214" t="str">
        <f t="shared" si="9"/>
        <v>Suecia</v>
      </c>
      <c r="J602" s="214"/>
    </row>
    <row r="603" spans="2:10">
      <c r="B603" s="215" t="s">
        <v>541</v>
      </c>
      <c r="C603" s="212">
        <v>42808</v>
      </c>
      <c r="D603" s="212">
        <v>1</v>
      </c>
      <c r="E603" s="212">
        <v>26.99</v>
      </c>
      <c r="F603" s="212">
        <v>9.7799999999999994</v>
      </c>
      <c r="G603" s="212">
        <v>17.21</v>
      </c>
      <c r="H603" s="216" t="s">
        <v>554</v>
      </c>
      <c r="I603" s="214" t="str">
        <f t="shared" si="9"/>
        <v>Ucrania</v>
      </c>
      <c r="J603" s="214"/>
    </row>
    <row r="604" spans="2:10">
      <c r="B604" s="215" t="s">
        <v>541</v>
      </c>
      <c r="C604" s="212">
        <v>42810</v>
      </c>
      <c r="D604" s="212">
        <v>3</v>
      </c>
      <c r="E604" s="212">
        <v>80.97</v>
      </c>
      <c r="F604" s="212">
        <v>29.35</v>
      </c>
      <c r="G604" s="212">
        <v>51.62</v>
      </c>
      <c r="H604" s="216" t="s">
        <v>555</v>
      </c>
      <c r="I604" s="214" t="str">
        <f t="shared" si="9"/>
        <v>Ustados Unidos</v>
      </c>
      <c r="J604" s="214"/>
    </row>
    <row r="605" spans="2:10">
      <c r="B605" s="215" t="s">
        <v>541</v>
      </c>
      <c r="C605" s="212">
        <v>42808</v>
      </c>
      <c r="D605" s="212">
        <v>5</v>
      </c>
      <c r="E605" s="212">
        <v>133.6</v>
      </c>
      <c r="F605" s="212">
        <v>54.29</v>
      </c>
      <c r="G605" s="212">
        <v>79.31</v>
      </c>
      <c r="H605" s="216" t="s">
        <v>556</v>
      </c>
      <c r="I605" s="214" t="str">
        <f t="shared" si="9"/>
        <v>Venezuela</v>
      </c>
      <c r="J605" s="214"/>
    </row>
    <row r="606" spans="2:10">
      <c r="B606" s="215" t="s">
        <v>541</v>
      </c>
      <c r="C606" s="212">
        <v>42808</v>
      </c>
      <c r="D606" s="212">
        <v>2</v>
      </c>
      <c r="E606" s="212">
        <v>53.98</v>
      </c>
      <c r="F606" s="212">
        <v>19.350000000000001</v>
      </c>
      <c r="G606" s="212">
        <v>34.630000000000003</v>
      </c>
      <c r="H606" s="216" t="s">
        <v>519</v>
      </c>
      <c r="I606" s="214" t="str">
        <f t="shared" si="9"/>
        <v>Argentina</v>
      </c>
      <c r="J606" s="214"/>
    </row>
    <row r="607" spans="2:10">
      <c r="B607" s="215" t="s">
        <v>541</v>
      </c>
      <c r="C607" s="212">
        <v>42808</v>
      </c>
      <c r="D607" s="212">
        <v>1</v>
      </c>
      <c r="E607" s="212">
        <v>26.99</v>
      </c>
      <c r="F607" s="212">
        <v>11.61</v>
      </c>
      <c r="G607" s="212">
        <v>15.38</v>
      </c>
      <c r="H607" s="216" t="s">
        <v>557</v>
      </c>
      <c r="I607" s="214" t="str">
        <f t="shared" si="9"/>
        <v>Australia</v>
      </c>
      <c r="J607" s="214"/>
    </row>
    <row r="608" spans="2:10">
      <c r="B608" s="215" t="s">
        <v>542</v>
      </c>
      <c r="C608" s="212">
        <v>42810</v>
      </c>
      <c r="D608" s="212">
        <v>2</v>
      </c>
      <c r="E608" s="212">
        <v>39.9</v>
      </c>
      <c r="F608" s="212">
        <v>17.68</v>
      </c>
      <c r="G608" s="212">
        <v>22.22</v>
      </c>
      <c r="H608" s="216" t="s">
        <v>558</v>
      </c>
      <c r="I608" s="214" t="str">
        <f t="shared" si="9"/>
        <v>Austria</v>
      </c>
      <c r="J608" s="214"/>
    </row>
    <row r="609" spans="2:10">
      <c r="B609" s="215" t="s">
        <v>542</v>
      </c>
      <c r="C609" s="212">
        <v>42808</v>
      </c>
      <c r="D609" s="212">
        <v>1</v>
      </c>
      <c r="E609" s="212">
        <v>19.95</v>
      </c>
      <c r="F609" s="212">
        <v>8.25</v>
      </c>
      <c r="G609" s="212">
        <v>11.7</v>
      </c>
      <c r="H609" s="216" t="s">
        <v>559</v>
      </c>
      <c r="I609" s="214" t="str">
        <f t="shared" si="9"/>
        <v>Belgica</v>
      </c>
      <c r="J609" s="214"/>
    </row>
    <row r="610" spans="2:10">
      <c r="B610" s="215" t="s">
        <v>520</v>
      </c>
      <c r="C610" s="212">
        <v>42808</v>
      </c>
      <c r="D610" s="212">
        <v>1</v>
      </c>
      <c r="E610" s="212">
        <v>28.95</v>
      </c>
      <c r="F610" s="212">
        <v>11.03</v>
      </c>
      <c r="G610" s="212">
        <v>17.920000000000002</v>
      </c>
      <c r="H610" s="216" t="s">
        <v>560</v>
      </c>
      <c r="I610" s="214" t="str">
        <f t="shared" si="9"/>
        <v>Bulgaria</v>
      </c>
      <c r="J610" s="214"/>
    </row>
    <row r="611" spans="2:10">
      <c r="B611" s="215" t="s">
        <v>520</v>
      </c>
      <c r="C611" s="212">
        <v>42808</v>
      </c>
      <c r="D611" s="212">
        <v>1</v>
      </c>
      <c r="E611" s="212">
        <v>28.95</v>
      </c>
      <c r="F611" s="212">
        <v>10.8</v>
      </c>
      <c r="G611" s="212">
        <v>18.149999999999999</v>
      </c>
      <c r="H611" s="216" t="s">
        <v>561</v>
      </c>
      <c r="I611" s="214" t="str">
        <f t="shared" si="9"/>
        <v>Brazil</v>
      </c>
      <c r="J611" s="214"/>
    </row>
    <row r="612" spans="2:10">
      <c r="B612" s="215" t="s">
        <v>520</v>
      </c>
      <c r="C612" s="212">
        <v>42808</v>
      </c>
      <c r="D612" s="212">
        <v>3</v>
      </c>
      <c r="E612" s="212">
        <v>86.85</v>
      </c>
      <c r="F612" s="212">
        <v>32.4</v>
      </c>
      <c r="G612" s="212">
        <v>54.45</v>
      </c>
      <c r="H612" s="216" t="s">
        <v>526</v>
      </c>
      <c r="I612" s="214" t="str">
        <f t="shared" si="9"/>
        <v>Canada</v>
      </c>
      <c r="J612" s="214"/>
    </row>
    <row r="613" spans="2:10">
      <c r="B613" s="215" t="s">
        <v>518</v>
      </c>
      <c r="C613" s="212">
        <v>42808</v>
      </c>
      <c r="D613" s="212">
        <v>1</v>
      </c>
      <c r="E613" s="212">
        <v>45</v>
      </c>
      <c r="F613" s="212">
        <v>19</v>
      </c>
      <c r="G613" s="212">
        <v>26</v>
      </c>
      <c r="H613" s="216" t="s">
        <v>527</v>
      </c>
      <c r="I613" s="214" t="str">
        <f t="shared" si="9"/>
        <v>Suiza</v>
      </c>
      <c r="J613" s="214"/>
    </row>
    <row r="614" spans="2:10">
      <c r="B614" s="215" t="s">
        <v>520</v>
      </c>
      <c r="C614" s="212">
        <v>42808</v>
      </c>
      <c r="D614" s="212">
        <v>1</v>
      </c>
      <c r="E614" s="212">
        <v>25.95</v>
      </c>
      <c r="F614" s="212">
        <v>10.52</v>
      </c>
      <c r="G614" s="212">
        <v>15.43</v>
      </c>
      <c r="H614" s="216" t="s">
        <v>562</v>
      </c>
      <c r="I614" s="214" t="str">
        <f t="shared" si="9"/>
        <v>Chile</v>
      </c>
      <c r="J614" s="214"/>
    </row>
    <row r="615" spans="2:10">
      <c r="B615" s="215" t="s">
        <v>520</v>
      </c>
      <c r="C615" s="212">
        <v>42808</v>
      </c>
      <c r="D615" s="212">
        <v>5</v>
      </c>
      <c r="E615" s="212">
        <v>129.75</v>
      </c>
      <c r="F615" s="212">
        <v>48.28</v>
      </c>
      <c r="G615" s="212">
        <v>81.47</v>
      </c>
      <c r="H615" s="216" t="s">
        <v>521</v>
      </c>
      <c r="I615" s="214" t="str">
        <f t="shared" si="9"/>
        <v>Colombia</v>
      </c>
      <c r="J615" s="214"/>
    </row>
    <row r="616" spans="2:10">
      <c r="B616" s="215" t="s">
        <v>542</v>
      </c>
      <c r="C616" s="212">
        <v>42808</v>
      </c>
      <c r="D616" s="212">
        <v>2</v>
      </c>
      <c r="E616" s="212">
        <v>83.9</v>
      </c>
      <c r="F616" s="212">
        <v>32.96</v>
      </c>
      <c r="G616" s="212">
        <v>50.94</v>
      </c>
      <c r="H616" s="216" t="s">
        <v>563</v>
      </c>
      <c r="I616" s="214" t="str">
        <f t="shared" si="9"/>
        <v>Costa Rica</v>
      </c>
      <c r="J616" s="214"/>
    </row>
    <row r="617" spans="2:10">
      <c r="B617" s="215" t="s">
        <v>542</v>
      </c>
      <c r="C617" s="212">
        <v>42808</v>
      </c>
      <c r="D617" s="212">
        <v>1</v>
      </c>
      <c r="E617" s="212">
        <v>41.95</v>
      </c>
      <c r="F617" s="212">
        <v>15.68</v>
      </c>
      <c r="G617" s="212">
        <v>26.27</v>
      </c>
      <c r="H617" s="216" t="s">
        <v>564</v>
      </c>
      <c r="I617" s="214" t="str">
        <f t="shared" si="9"/>
        <v>Czech Republic</v>
      </c>
      <c r="J617" s="214"/>
    </row>
    <row r="618" spans="2:10">
      <c r="B618" s="215" t="s">
        <v>518</v>
      </c>
      <c r="C618" s="212">
        <v>42810</v>
      </c>
      <c r="D618" s="212">
        <v>4</v>
      </c>
      <c r="E618" s="212">
        <v>102</v>
      </c>
      <c r="F618" s="212">
        <v>43.3</v>
      </c>
      <c r="G618" s="212">
        <v>58.7</v>
      </c>
      <c r="H618" s="216" t="s">
        <v>522</v>
      </c>
      <c r="I618" s="214" t="str">
        <f t="shared" si="9"/>
        <v>Germany</v>
      </c>
      <c r="J618" s="214"/>
    </row>
    <row r="619" spans="2:10">
      <c r="B619" s="215" t="s">
        <v>536</v>
      </c>
      <c r="C619" s="212">
        <v>42808</v>
      </c>
      <c r="D619" s="212">
        <v>3</v>
      </c>
      <c r="E619" s="212">
        <v>65.849999999999994</v>
      </c>
      <c r="F619" s="212">
        <v>23.1</v>
      </c>
      <c r="G619" s="212">
        <v>42.75</v>
      </c>
      <c r="H619" s="216" t="s">
        <v>565</v>
      </c>
      <c r="I619" s="214" t="str">
        <f t="shared" si="9"/>
        <v>Dinamarca</v>
      </c>
      <c r="J619" s="214"/>
    </row>
    <row r="620" spans="2:10">
      <c r="B620" s="215" t="s">
        <v>536</v>
      </c>
      <c r="C620" s="212">
        <v>42808</v>
      </c>
      <c r="D620" s="212">
        <v>3</v>
      </c>
      <c r="E620" s="212">
        <v>65.849999999999994</v>
      </c>
      <c r="F620" s="212">
        <v>22.06</v>
      </c>
      <c r="G620" s="212">
        <v>43.79</v>
      </c>
      <c r="H620" s="216" t="s">
        <v>523</v>
      </c>
      <c r="I620" s="214" t="str">
        <f t="shared" si="9"/>
        <v>Dominican Republic</v>
      </c>
      <c r="J620" s="214"/>
    </row>
    <row r="621" spans="2:10">
      <c r="B621" s="215" t="s">
        <v>536</v>
      </c>
      <c r="C621" s="212">
        <v>42808</v>
      </c>
      <c r="D621" s="212">
        <v>2</v>
      </c>
      <c r="E621" s="212">
        <v>43.9</v>
      </c>
      <c r="F621" s="212">
        <v>18.34</v>
      </c>
      <c r="G621" s="212">
        <v>25.56</v>
      </c>
      <c r="H621" s="216" t="s">
        <v>524</v>
      </c>
      <c r="I621" s="214" t="str">
        <f t="shared" si="9"/>
        <v>Ecuador</v>
      </c>
      <c r="J621" s="214"/>
    </row>
    <row r="622" spans="2:10">
      <c r="B622" s="215" t="s">
        <v>525</v>
      </c>
      <c r="C622" s="212">
        <v>42808</v>
      </c>
      <c r="D622" s="212">
        <v>1</v>
      </c>
      <c r="E622" s="212">
        <v>23.95</v>
      </c>
      <c r="F622" s="212">
        <v>9.76</v>
      </c>
      <c r="G622" s="212">
        <v>14.19</v>
      </c>
      <c r="H622" s="216" t="s">
        <v>537</v>
      </c>
      <c r="I622" s="214" t="str">
        <f t="shared" si="9"/>
        <v>España</v>
      </c>
      <c r="J622" s="214"/>
    </row>
    <row r="623" spans="2:10">
      <c r="B623" s="215" t="s">
        <v>525</v>
      </c>
      <c r="C623" s="212">
        <v>42808</v>
      </c>
      <c r="D623" s="212">
        <v>4</v>
      </c>
      <c r="E623" s="212">
        <v>95.8</v>
      </c>
      <c r="F623" s="212">
        <v>38.299999999999997</v>
      </c>
      <c r="G623" s="212">
        <v>57.5</v>
      </c>
      <c r="H623" s="216" t="s">
        <v>538</v>
      </c>
      <c r="I623" s="214" t="str">
        <f t="shared" si="9"/>
        <v>Estonia</v>
      </c>
      <c r="J623" s="214"/>
    </row>
    <row r="624" spans="2:10">
      <c r="B624" s="215" t="s">
        <v>525</v>
      </c>
      <c r="C624" s="212">
        <v>42808</v>
      </c>
      <c r="D624" s="212">
        <v>2</v>
      </c>
      <c r="E624" s="212">
        <v>47.9</v>
      </c>
      <c r="F624" s="212">
        <v>19.91</v>
      </c>
      <c r="G624" s="212">
        <v>27.99</v>
      </c>
      <c r="H624" s="216" t="s">
        <v>539</v>
      </c>
      <c r="I624" s="214" t="str">
        <f t="shared" si="9"/>
        <v>Finlandia</v>
      </c>
      <c r="J624" s="214"/>
    </row>
    <row r="625" spans="2:10">
      <c r="B625" s="215" t="s">
        <v>525</v>
      </c>
      <c r="C625" s="212">
        <v>42808</v>
      </c>
      <c r="D625" s="212">
        <v>2</v>
      </c>
      <c r="E625" s="212">
        <v>47.9</v>
      </c>
      <c r="F625" s="212">
        <v>16.5</v>
      </c>
      <c r="G625" s="212">
        <v>31.4</v>
      </c>
      <c r="H625" s="216" t="s">
        <v>540</v>
      </c>
      <c r="I625" s="214" t="str">
        <f t="shared" si="9"/>
        <v>Francia</v>
      </c>
      <c r="J625" s="214"/>
    </row>
    <row r="626" spans="2:10">
      <c r="B626" s="215" t="s">
        <v>530</v>
      </c>
      <c r="C626" s="212">
        <v>42808</v>
      </c>
      <c r="D626" s="212">
        <v>1</v>
      </c>
      <c r="E626" s="212">
        <v>25.99</v>
      </c>
      <c r="F626" s="212">
        <v>10.02</v>
      </c>
      <c r="G626" s="212">
        <v>15.97</v>
      </c>
      <c r="H626" s="216" t="s">
        <v>528</v>
      </c>
      <c r="I626" s="214" t="str">
        <f t="shared" si="9"/>
        <v>UK</v>
      </c>
      <c r="J626" s="214"/>
    </row>
    <row r="627" spans="2:10">
      <c r="B627" s="215" t="s">
        <v>530</v>
      </c>
      <c r="C627" s="212">
        <v>42808</v>
      </c>
      <c r="D627" s="212">
        <v>59</v>
      </c>
      <c r="E627" s="212">
        <v>797.37</v>
      </c>
      <c r="F627" s="212">
        <v>520.24</v>
      </c>
      <c r="G627" s="212">
        <v>277.13</v>
      </c>
      <c r="H627" s="216" t="s">
        <v>529</v>
      </c>
      <c r="I627" s="214" t="str">
        <f t="shared" si="9"/>
        <v>Grecia</v>
      </c>
      <c r="J627" s="214"/>
    </row>
    <row r="628" spans="2:10">
      <c r="B628" s="215" t="s">
        <v>530</v>
      </c>
      <c r="C628" s="212">
        <v>42808</v>
      </c>
      <c r="D628" s="212">
        <v>56</v>
      </c>
      <c r="E628" s="212">
        <v>800.49</v>
      </c>
      <c r="F628" s="212">
        <v>583.55999999999995</v>
      </c>
      <c r="G628" s="212">
        <v>216.93</v>
      </c>
      <c r="H628" s="216" t="s">
        <v>531</v>
      </c>
      <c r="I628" s="214" t="str">
        <f t="shared" si="9"/>
        <v>Hong Kong</v>
      </c>
      <c r="J628" s="214"/>
    </row>
    <row r="629" spans="2:10">
      <c r="B629" s="215" t="s">
        <v>530</v>
      </c>
      <c r="C629" s="212">
        <v>42808</v>
      </c>
      <c r="D629" s="212">
        <v>2</v>
      </c>
      <c r="E629" s="212">
        <v>51.98</v>
      </c>
      <c r="F629" s="212">
        <v>21.84</v>
      </c>
      <c r="G629" s="212">
        <v>30.14</v>
      </c>
      <c r="H629" s="216" t="s">
        <v>543</v>
      </c>
      <c r="I629" s="214" t="str">
        <f t="shared" si="9"/>
        <v>Honduras</v>
      </c>
      <c r="J629" s="214"/>
    </row>
    <row r="630" spans="2:10">
      <c r="B630" s="215" t="s">
        <v>530</v>
      </c>
      <c r="C630" s="212">
        <v>42809</v>
      </c>
      <c r="D630" s="212">
        <v>1</v>
      </c>
      <c r="E630" s="212">
        <v>21.95</v>
      </c>
      <c r="F630" s="212">
        <v>9.33</v>
      </c>
      <c r="G630" s="212">
        <v>12.62</v>
      </c>
      <c r="H630" s="216" t="s">
        <v>544</v>
      </c>
      <c r="I630" s="214" t="str">
        <f t="shared" si="9"/>
        <v>Croatia</v>
      </c>
      <c r="J630" s="214"/>
    </row>
    <row r="631" spans="2:10">
      <c r="B631" s="215" t="s">
        <v>530</v>
      </c>
      <c r="C631" s="212">
        <v>42809</v>
      </c>
      <c r="D631" s="212">
        <v>2</v>
      </c>
      <c r="E631" s="212">
        <v>43.9</v>
      </c>
      <c r="F631" s="212">
        <v>15.94</v>
      </c>
      <c r="G631" s="212">
        <v>27.96</v>
      </c>
      <c r="H631" s="216" t="s">
        <v>532</v>
      </c>
      <c r="I631" s="214" t="str">
        <f t="shared" si="9"/>
        <v>Hungria</v>
      </c>
      <c r="J631" s="214"/>
    </row>
    <row r="632" spans="2:10">
      <c r="B632" s="215" t="s">
        <v>530</v>
      </c>
      <c r="C632" s="212">
        <v>42811</v>
      </c>
      <c r="D632" s="212">
        <v>2</v>
      </c>
      <c r="E632" s="212">
        <v>43.9</v>
      </c>
      <c r="F632" s="212">
        <v>17.47</v>
      </c>
      <c r="G632" s="212">
        <v>26.43</v>
      </c>
      <c r="H632" s="216" t="s">
        <v>533</v>
      </c>
      <c r="I632" s="214" t="str">
        <f t="shared" si="9"/>
        <v>Irlanda</v>
      </c>
      <c r="J632" s="214"/>
    </row>
    <row r="633" spans="2:10">
      <c r="B633" s="215" t="s">
        <v>534</v>
      </c>
      <c r="C633" s="212">
        <v>42809</v>
      </c>
      <c r="D633" s="212">
        <v>2</v>
      </c>
      <c r="E633" s="212">
        <v>47.9</v>
      </c>
      <c r="F633" s="212">
        <v>17.22</v>
      </c>
      <c r="G633" s="212">
        <v>30.68</v>
      </c>
      <c r="H633" s="216" t="s">
        <v>535</v>
      </c>
      <c r="I633" s="214" t="str">
        <f t="shared" si="9"/>
        <v>Italia</v>
      </c>
      <c r="J633" s="214"/>
    </row>
    <row r="634" spans="2:10">
      <c r="B634" s="215" t="s">
        <v>536</v>
      </c>
      <c r="C634" s="212">
        <v>42811</v>
      </c>
      <c r="D634" s="212">
        <v>2</v>
      </c>
      <c r="E634" s="212">
        <v>13.98</v>
      </c>
      <c r="F634" s="212">
        <v>6.05</v>
      </c>
      <c r="G634" s="212">
        <v>7.93</v>
      </c>
      <c r="H634" s="216" t="s">
        <v>545</v>
      </c>
      <c r="I634" s="214" t="str">
        <f t="shared" si="9"/>
        <v>Lithuania</v>
      </c>
      <c r="J634" s="214"/>
    </row>
    <row r="635" spans="2:10">
      <c r="B635" s="215" t="s">
        <v>536</v>
      </c>
      <c r="C635" s="212">
        <v>42809</v>
      </c>
      <c r="D635" s="212">
        <v>2</v>
      </c>
      <c r="E635" s="212">
        <v>13.98</v>
      </c>
      <c r="F635" s="212">
        <v>6.89</v>
      </c>
      <c r="G635" s="212">
        <v>7.09</v>
      </c>
      <c r="H635" s="216" t="s">
        <v>566</v>
      </c>
      <c r="I635" s="214" t="str">
        <f t="shared" si="9"/>
        <v>Luxembourg</v>
      </c>
      <c r="J635" s="214"/>
    </row>
    <row r="636" spans="2:10">
      <c r="B636" s="215" t="s">
        <v>536</v>
      </c>
      <c r="C636" s="212">
        <v>42809</v>
      </c>
      <c r="D636" s="212">
        <v>1</v>
      </c>
      <c r="E636" s="212">
        <v>6.99</v>
      </c>
      <c r="F636" s="212">
        <v>3.48</v>
      </c>
      <c r="G636" s="212">
        <v>3.51</v>
      </c>
      <c r="H636" s="216" t="s">
        <v>567</v>
      </c>
      <c r="I636" s="214" t="str">
        <f t="shared" si="9"/>
        <v>Latvia</v>
      </c>
      <c r="J636" s="214"/>
    </row>
    <row r="637" spans="2:10">
      <c r="B637" s="215" t="s">
        <v>536</v>
      </c>
      <c r="C637" s="212">
        <v>42811</v>
      </c>
      <c r="D637" s="212">
        <v>2</v>
      </c>
      <c r="E637" s="212">
        <v>13.98</v>
      </c>
      <c r="F637" s="212">
        <v>5.98</v>
      </c>
      <c r="G637" s="212">
        <v>8</v>
      </c>
      <c r="H637" s="216" t="s">
        <v>568</v>
      </c>
      <c r="I637" s="214" t="str">
        <f t="shared" si="9"/>
        <v>Mexico</v>
      </c>
      <c r="J637" s="214"/>
    </row>
    <row r="638" spans="2:10">
      <c r="B638" s="215" t="s">
        <v>536</v>
      </c>
      <c r="C638" s="212">
        <v>42813</v>
      </c>
      <c r="D638" s="212">
        <v>4</v>
      </c>
      <c r="E638" s="212">
        <v>27.96</v>
      </c>
      <c r="F638" s="212">
        <v>11.7</v>
      </c>
      <c r="G638" s="212">
        <v>16.260000000000002</v>
      </c>
      <c r="H638" s="216" t="s">
        <v>546</v>
      </c>
      <c r="I638" s="214" t="str">
        <f t="shared" si="9"/>
        <v>Holanda</v>
      </c>
      <c r="J638" s="214"/>
    </row>
    <row r="639" spans="2:10">
      <c r="B639" s="215" t="s">
        <v>536</v>
      </c>
      <c r="C639" s="212">
        <v>42809</v>
      </c>
      <c r="D639" s="212">
        <v>1</v>
      </c>
      <c r="E639" s="212">
        <v>6.99</v>
      </c>
      <c r="F639" s="212">
        <v>2.96</v>
      </c>
      <c r="G639" s="212">
        <v>4.03</v>
      </c>
      <c r="H639" s="216" t="s">
        <v>547</v>
      </c>
      <c r="I639" s="214" t="str">
        <f t="shared" si="9"/>
        <v>Norway</v>
      </c>
      <c r="J639" s="214"/>
    </row>
    <row r="640" spans="2:10">
      <c r="B640" s="215" t="s">
        <v>541</v>
      </c>
      <c r="C640" s="212">
        <v>42809</v>
      </c>
      <c r="D640" s="212">
        <v>2</v>
      </c>
      <c r="E640" s="212">
        <v>52</v>
      </c>
      <c r="F640" s="212">
        <v>20.98</v>
      </c>
      <c r="G640" s="212">
        <v>31.02</v>
      </c>
      <c r="H640" s="216" t="s">
        <v>548</v>
      </c>
      <c r="I640" s="214" t="str">
        <f t="shared" si="9"/>
        <v>Peru</v>
      </c>
      <c r="J640" s="214"/>
    </row>
    <row r="641" spans="2:10">
      <c r="B641" s="215" t="s">
        <v>541</v>
      </c>
      <c r="C641" s="212">
        <v>42809</v>
      </c>
      <c r="D641" s="212">
        <v>2</v>
      </c>
      <c r="E641" s="212">
        <v>53.98</v>
      </c>
      <c r="F641" s="212">
        <v>21.07</v>
      </c>
      <c r="G641" s="212">
        <v>32.909999999999997</v>
      </c>
      <c r="H641" s="216" t="s">
        <v>549</v>
      </c>
      <c r="I641" s="214" t="str">
        <f t="shared" si="9"/>
        <v>Polonia</v>
      </c>
      <c r="J641" s="214"/>
    </row>
    <row r="642" spans="2:10">
      <c r="B642" s="215" t="s">
        <v>541</v>
      </c>
      <c r="C642" s="212">
        <v>42809</v>
      </c>
      <c r="D642" s="212">
        <v>24</v>
      </c>
      <c r="E642" s="212">
        <v>388.66</v>
      </c>
      <c r="F642" s="212">
        <v>239.94</v>
      </c>
      <c r="G642" s="212">
        <v>148.72</v>
      </c>
      <c r="H642" s="216" t="s">
        <v>550</v>
      </c>
      <c r="I642" s="214" t="str">
        <f t="shared" si="9"/>
        <v>Portugal</v>
      </c>
      <c r="J642" s="214"/>
    </row>
    <row r="643" spans="2:10">
      <c r="B643" s="215" t="s">
        <v>541</v>
      </c>
      <c r="C643" s="212">
        <v>42809</v>
      </c>
      <c r="D643" s="212">
        <v>60</v>
      </c>
      <c r="E643" s="212">
        <v>874.48</v>
      </c>
      <c r="F643" s="212">
        <v>703.05</v>
      </c>
      <c r="G643" s="212">
        <v>171.43</v>
      </c>
      <c r="H643" s="216" t="s">
        <v>551</v>
      </c>
      <c r="I643" s="214" t="str">
        <f t="shared" si="9"/>
        <v>Slovakia</v>
      </c>
      <c r="J643" s="214"/>
    </row>
    <row r="644" spans="2:10">
      <c r="B644" s="215" t="s">
        <v>542</v>
      </c>
      <c r="C644" s="212">
        <v>42812</v>
      </c>
      <c r="D644" s="212">
        <v>2</v>
      </c>
      <c r="E644" s="212">
        <v>39.9</v>
      </c>
      <c r="F644" s="212">
        <v>16.32</v>
      </c>
      <c r="G644" s="212">
        <v>23.58</v>
      </c>
      <c r="H644" s="216" t="s">
        <v>552</v>
      </c>
      <c r="I644" s="214" t="str">
        <f t="shared" si="9"/>
        <v>Slovenia</v>
      </c>
      <c r="J644" s="214"/>
    </row>
    <row r="645" spans="2:10">
      <c r="B645" s="215" t="s">
        <v>542</v>
      </c>
      <c r="C645" s="212">
        <v>42809</v>
      </c>
      <c r="D645" s="212">
        <v>1</v>
      </c>
      <c r="E645" s="212">
        <v>11.95</v>
      </c>
      <c r="F645" s="212">
        <v>5.3</v>
      </c>
      <c r="G645" s="212">
        <v>6.65</v>
      </c>
      <c r="H645" s="216" t="s">
        <v>553</v>
      </c>
      <c r="I645" s="214" t="str">
        <f t="shared" ref="I645:I672" si="10">VLOOKUP(H645,$L$4:$M$46,2,FALSE)</f>
        <v>Suecia</v>
      </c>
      <c r="J645" s="214"/>
    </row>
    <row r="646" spans="2:10">
      <c r="B646" s="215" t="s">
        <v>520</v>
      </c>
      <c r="C646" s="212">
        <v>42811</v>
      </c>
      <c r="D646" s="212">
        <v>2</v>
      </c>
      <c r="E646" s="212">
        <v>244</v>
      </c>
      <c r="F646" s="212">
        <v>108.52</v>
      </c>
      <c r="G646" s="212">
        <v>135.47999999999999</v>
      </c>
      <c r="H646" s="216" t="s">
        <v>554</v>
      </c>
      <c r="I646" s="214" t="str">
        <f t="shared" si="10"/>
        <v>Ucrania</v>
      </c>
      <c r="J646" s="214"/>
    </row>
    <row r="647" spans="2:10">
      <c r="B647" s="215" t="s">
        <v>520</v>
      </c>
      <c r="C647" s="212">
        <v>42813</v>
      </c>
      <c r="D647" s="212">
        <v>1</v>
      </c>
      <c r="E647" s="212">
        <v>28.95</v>
      </c>
      <c r="F647" s="212">
        <v>11.03</v>
      </c>
      <c r="G647" s="212">
        <v>17.920000000000002</v>
      </c>
      <c r="H647" s="216" t="s">
        <v>555</v>
      </c>
      <c r="I647" s="214" t="str">
        <f t="shared" si="10"/>
        <v>Ustados Unidos</v>
      </c>
      <c r="J647" s="214"/>
    </row>
    <row r="648" spans="2:10">
      <c r="B648" s="215" t="s">
        <v>520</v>
      </c>
      <c r="C648" s="212">
        <v>42815</v>
      </c>
      <c r="D648" s="212">
        <v>3</v>
      </c>
      <c r="E648" s="212">
        <v>86.85</v>
      </c>
      <c r="F648" s="212">
        <v>34.130000000000003</v>
      </c>
      <c r="G648" s="212">
        <v>52.72</v>
      </c>
      <c r="H648" s="216" t="s">
        <v>556</v>
      </c>
      <c r="I648" s="214" t="str">
        <f t="shared" si="10"/>
        <v>Venezuela</v>
      </c>
      <c r="J648" s="214"/>
    </row>
    <row r="649" spans="2:10">
      <c r="B649" s="215" t="s">
        <v>520</v>
      </c>
      <c r="C649" s="212">
        <v>42817</v>
      </c>
      <c r="D649" s="212">
        <v>1</v>
      </c>
      <c r="E649" s="212">
        <v>28.95</v>
      </c>
      <c r="F649" s="212">
        <v>10.34</v>
      </c>
      <c r="G649" s="212">
        <v>18.61</v>
      </c>
      <c r="H649" s="216" t="s">
        <v>519</v>
      </c>
      <c r="I649" s="214" t="str">
        <f t="shared" si="10"/>
        <v>Argentina</v>
      </c>
      <c r="J649" s="214"/>
    </row>
    <row r="650" spans="2:10">
      <c r="B650" s="215" t="s">
        <v>520</v>
      </c>
      <c r="C650" s="212">
        <v>42819</v>
      </c>
      <c r="D650" s="212">
        <v>3</v>
      </c>
      <c r="E650" s="212">
        <v>125.85</v>
      </c>
      <c r="F650" s="212">
        <v>62.42</v>
      </c>
      <c r="G650" s="212">
        <v>63.43</v>
      </c>
      <c r="H650" s="216" t="s">
        <v>557</v>
      </c>
      <c r="I650" s="214" t="str">
        <f t="shared" si="10"/>
        <v>Australia</v>
      </c>
      <c r="J650" s="214"/>
    </row>
    <row r="651" spans="2:10">
      <c r="B651" s="215" t="s">
        <v>520</v>
      </c>
      <c r="C651" s="212">
        <v>42809</v>
      </c>
      <c r="D651" s="212">
        <v>1</v>
      </c>
      <c r="E651" s="212">
        <v>28.95</v>
      </c>
      <c r="F651" s="212">
        <v>12.29</v>
      </c>
      <c r="G651" s="212">
        <v>16.66</v>
      </c>
      <c r="H651" s="216" t="s">
        <v>558</v>
      </c>
      <c r="I651" s="214" t="str">
        <f t="shared" si="10"/>
        <v>Austria</v>
      </c>
      <c r="J651" s="214"/>
    </row>
    <row r="652" spans="2:10">
      <c r="B652" s="215" t="s">
        <v>520</v>
      </c>
      <c r="C652" s="212">
        <v>42809</v>
      </c>
      <c r="D652" s="212">
        <v>2</v>
      </c>
      <c r="E652" s="212">
        <v>244</v>
      </c>
      <c r="F652" s="212">
        <v>91.6</v>
      </c>
      <c r="G652" s="212">
        <v>152.4</v>
      </c>
      <c r="H652" s="216" t="s">
        <v>559</v>
      </c>
      <c r="I652" s="214" t="str">
        <f t="shared" si="10"/>
        <v>Belgica</v>
      </c>
      <c r="J652" s="214"/>
    </row>
    <row r="653" spans="2:10">
      <c r="B653" s="215" t="s">
        <v>520</v>
      </c>
      <c r="C653" s="212">
        <v>42809</v>
      </c>
      <c r="D653" s="212">
        <v>1</v>
      </c>
      <c r="E653" s="212">
        <v>28.95</v>
      </c>
      <c r="F653" s="212">
        <v>10.8</v>
      </c>
      <c r="G653" s="212">
        <v>18.149999999999999</v>
      </c>
      <c r="H653" s="216" t="s">
        <v>560</v>
      </c>
      <c r="I653" s="214" t="str">
        <f t="shared" si="10"/>
        <v>Bulgaria</v>
      </c>
      <c r="J653" s="214"/>
    </row>
    <row r="654" spans="2:10">
      <c r="B654" s="215" t="s">
        <v>520</v>
      </c>
      <c r="C654" s="212">
        <v>42809</v>
      </c>
      <c r="D654" s="212">
        <v>2</v>
      </c>
      <c r="E654" s="212">
        <v>51.9</v>
      </c>
      <c r="F654" s="212">
        <v>19.100000000000001</v>
      </c>
      <c r="G654" s="212">
        <v>32.799999999999997</v>
      </c>
      <c r="H654" s="216" t="s">
        <v>561</v>
      </c>
      <c r="I654" s="214" t="str">
        <f t="shared" si="10"/>
        <v>Brazil</v>
      </c>
      <c r="J654" s="214"/>
    </row>
    <row r="655" spans="2:10">
      <c r="B655" s="215" t="s">
        <v>518</v>
      </c>
      <c r="C655" s="212">
        <v>42809</v>
      </c>
      <c r="D655" s="212">
        <v>2</v>
      </c>
      <c r="E655" s="212">
        <v>51</v>
      </c>
      <c r="F655" s="212">
        <v>19.34</v>
      </c>
      <c r="G655" s="212">
        <v>31.66</v>
      </c>
      <c r="H655" s="216" t="s">
        <v>526</v>
      </c>
      <c r="I655" s="214" t="str">
        <f t="shared" si="10"/>
        <v>Canada</v>
      </c>
      <c r="J655" s="214"/>
    </row>
    <row r="656" spans="2:10">
      <c r="B656" s="215" t="s">
        <v>518</v>
      </c>
      <c r="C656" s="212">
        <v>42809</v>
      </c>
      <c r="D656" s="212">
        <v>1</v>
      </c>
      <c r="E656" s="212">
        <v>25.5</v>
      </c>
      <c r="F656" s="212">
        <v>10.51</v>
      </c>
      <c r="G656" s="212">
        <v>14.99</v>
      </c>
      <c r="H656" s="216" t="s">
        <v>527</v>
      </c>
      <c r="I656" s="214" t="str">
        <f t="shared" si="10"/>
        <v>Suiza</v>
      </c>
      <c r="J656" s="214"/>
    </row>
    <row r="657" spans="2:10">
      <c r="B657" s="215" t="s">
        <v>536</v>
      </c>
      <c r="C657" s="212">
        <v>42811</v>
      </c>
      <c r="D657" s="212">
        <v>3</v>
      </c>
      <c r="E657" s="212">
        <v>65.849999999999994</v>
      </c>
      <c r="F657" s="212">
        <v>22.06</v>
      </c>
      <c r="G657" s="212">
        <v>43.79</v>
      </c>
      <c r="H657" s="216" t="s">
        <v>562</v>
      </c>
      <c r="I657" s="214" t="str">
        <f t="shared" si="10"/>
        <v>Chile</v>
      </c>
      <c r="J657" s="214"/>
    </row>
    <row r="658" spans="2:10">
      <c r="B658" s="215" t="s">
        <v>525</v>
      </c>
      <c r="C658" s="212">
        <v>42809</v>
      </c>
      <c r="D658" s="212">
        <v>48</v>
      </c>
      <c r="E658" s="212">
        <v>348</v>
      </c>
      <c r="F658" s="212">
        <v>253.44</v>
      </c>
      <c r="G658" s="212">
        <v>94.56</v>
      </c>
      <c r="H658" s="216" t="s">
        <v>521</v>
      </c>
      <c r="I658" s="214" t="str">
        <f t="shared" si="10"/>
        <v>Colombia</v>
      </c>
      <c r="J658" s="214"/>
    </row>
    <row r="659" spans="2:10">
      <c r="B659" s="215" t="s">
        <v>525</v>
      </c>
      <c r="C659" s="212">
        <v>42809</v>
      </c>
      <c r="D659" s="212">
        <v>2</v>
      </c>
      <c r="E659" s="212">
        <v>29</v>
      </c>
      <c r="F659" s="212">
        <v>11.28</v>
      </c>
      <c r="G659" s="212">
        <v>17.72</v>
      </c>
      <c r="H659" s="216" t="s">
        <v>563</v>
      </c>
      <c r="I659" s="214" t="str">
        <f t="shared" si="10"/>
        <v>Costa Rica</v>
      </c>
      <c r="J659" s="214"/>
    </row>
    <row r="660" spans="2:10">
      <c r="B660" s="215" t="s">
        <v>525</v>
      </c>
      <c r="C660" s="212">
        <v>42809</v>
      </c>
      <c r="D660" s="212">
        <v>3</v>
      </c>
      <c r="E660" s="212">
        <v>71.849999999999994</v>
      </c>
      <c r="F660" s="212">
        <v>26.16</v>
      </c>
      <c r="G660" s="212">
        <v>45.69</v>
      </c>
      <c r="H660" s="216" t="s">
        <v>564</v>
      </c>
      <c r="I660" s="214" t="str">
        <f t="shared" si="10"/>
        <v>Czech Republic</v>
      </c>
      <c r="J660" s="214"/>
    </row>
    <row r="661" spans="2:10">
      <c r="B661" s="215" t="s">
        <v>530</v>
      </c>
      <c r="C661" s="212">
        <v>42809</v>
      </c>
      <c r="D661" s="212">
        <v>2</v>
      </c>
      <c r="E661" s="212">
        <v>51.98</v>
      </c>
      <c r="F661" s="212">
        <v>18.04</v>
      </c>
      <c r="G661" s="212">
        <v>33.94</v>
      </c>
      <c r="H661" s="216" t="s">
        <v>522</v>
      </c>
      <c r="I661" s="214" t="str">
        <f t="shared" si="10"/>
        <v>Germany</v>
      </c>
      <c r="J661" s="214"/>
    </row>
    <row r="662" spans="2:10">
      <c r="B662" s="215" t="s">
        <v>530</v>
      </c>
      <c r="C662" s="212">
        <v>42809</v>
      </c>
      <c r="D662" s="212">
        <v>1</v>
      </c>
      <c r="E662" s="212">
        <v>25.99</v>
      </c>
      <c r="F662" s="212">
        <v>10.42</v>
      </c>
      <c r="G662" s="212">
        <v>15.57</v>
      </c>
      <c r="H662" s="216" t="s">
        <v>565</v>
      </c>
      <c r="I662" s="214" t="str">
        <f t="shared" si="10"/>
        <v>Dinamarca</v>
      </c>
      <c r="J662" s="214"/>
    </row>
    <row r="663" spans="2:10">
      <c r="B663" s="215" t="s">
        <v>536</v>
      </c>
      <c r="C663" s="212">
        <v>42811</v>
      </c>
      <c r="D663" s="212">
        <v>2</v>
      </c>
      <c r="E663" s="212">
        <v>13.98</v>
      </c>
      <c r="F663" s="212">
        <v>6.5</v>
      </c>
      <c r="G663" s="212">
        <v>7.48</v>
      </c>
      <c r="H663" s="216" t="s">
        <v>523</v>
      </c>
      <c r="I663" s="214" t="str">
        <f t="shared" si="10"/>
        <v>Dominican Republic</v>
      </c>
      <c r="J663" s="214"/>
    </row>
    <row r="664" spans="2:10">
      <c r="B664" s="215" t="s">
        <v>536</v>
      </c>
      <c r="C664" s="212">
        <v>42813</v>
      </c>
      <c r="D664" s="212">
        <v>2</v>
      </c>
      <c r="E664" s="212">
        <v>13.98</v>
      </c>
      <c r="F664" s="212">
        <v>6.83</v>
      </c>
      <c r="G664" s="212">
        <v>7.15</v>
      </c>
      <c r="H664" s="216" t="s">
        <v>524</v>
      </c>
      <c r="I664" s="214" t="str">
        <f t="shared" si="10"/>
        <v>Ecuador</v>
      </c>
      <c r="J664" s="214"/>
    </row>
    <row r="665" spans="2:10">
      <c r="B665" s="215" t="s">
        <v>541</v>
      </c>
      <c r="C665" s="212">
        <v>42815</v>
      </c>
      <c r="D665" s="212">
        <v>2</v>
      </c>
      <c r="E665" s="212">
        <v>53.98</v>
      </c>
      <c r="F665" s="212">
        <v>21.72</v>
      </c>
      <c r="G665" s="212">
        <v>32.26</v>
      </c>
      <c r="H665" s="216" t="s">
        <v>537</v>
      </c>
      <c r="I665" s="214" t="str">
        <f t="shared" si="10"/>
        <v>España</v>
      </c>
      <c r="J665" s="214"/>
    </row>
    <row r="666" spans="2:10">
      <c r="B666" s="215" t="s">
        <v>541</v>
      </c>
      <c r="C666" s="212">
        <v>42817</v>
      </c>
      <c r="D666" s="212">
        <v>36</v>
      </c>
      <c r="E666" s="212">
        <v>549.9</v>
      </c>
      <c r="F666" s="212">
        <v>350.68</v>
      </c>
      <c r="G666" s="212">
        <v>199.22</v>
      </c>
      <c r="H666" s="216" t="s">
        <v>538</v>
      </c>
      <c r="I666" s="214" t="str">
        <f t="shared" si="10"/>
        <v>Estonia</v>
      </c>
      <c r="J666" s="214"/>
    </row>
    <row r="667" spans="2:10">
      <c r="B667" s="215" t="s">
        <v>525</v>
      </c>
      <c r="C667" s="212">
        <v>42816</v>
      </c>
      <c r="D667" s="212">
        <v>1</v>
      </c>
      <c r="E667" s="212">
        <v>14.5</v>
      </c>
      <c r="F667" s="212">
        <v>5.4</v>
      </c>
      <c r="G667" s="212">
        <v>9.1</v>
      </c>
      <c r="H667" s="216" t="s">
        <v>539</v>
      </c>
      <c r="I667" s="214" t="str">
        <f t="shared" si="10"/>
        <v>Finlandia</v>
      </c>
      <c r="J667" s="214"/>
    </row>
    <row r="668" spans="2:10">
      <c r="B668" s="215" t="s">
        <v>530</v>
      </c>
      <c r="C668" s="212">
        <v>42818</v>
      </c>
      <c r="D668" s="212">
        <v>2</v>
      </c>
      <c r="E668" s="212">
        <v>43.9</v>
      </c>
      <c r="F668" s="212">
        <v>17.3</v>
      </c>
      <c r="G668" s="212">
        <v>26.6</v>
      </c>
      <c r="H668" s="216" t="s">
        <v>540</v>
      </c>
      <c r="I668" s="214" t="str">
        <f t="shared" si="10"/>
        <v>Francia</v>
      </c>
      <c r="J668" s="214"/>
    </row>
    <row r="669" spans="2:10">
      <c r="B669" s="215" t="s">
        <v>536</v>
      </c>
      <c r="C669" s="212">
        <v>42820</v>
      </c>
      <c r="D669" s="212">
        <v>3</v>
      </c>
      <c r="E669" s="212">
        <v>20.97</v>
      </c>
      <c r="F669" s="212">
        <v>10.53</v>
      </c>
      <c r="G669" s="212">
        <v>10.44</v>
      </c>
      <c r="H669" s="216" t="s">
        <v>528</v>
      </c>
      <c r="I669" s="214" t="str">
        <f t="shared" si="10"/>
        <v>UK</v>
      </c>
      <c r="J669" s="214"/>
    </row>
    <row r="670" spans="2:10">
      <c r="B670" s="215" t="s">
        <v>536</v>
      </c>
      <c r="C670" s="212">
        <v>42822</v>
      </c>
      <c r="D670" s="212">
        <v>1</v>
      </c>
      <c r="E670" s="212">
        <v>6.99</v>
      </c>
      <c r="F670" s="212">
        <v>3.22</v>
      </c>
      <c r="G670" s="212">
        <v>3.77</v>
      </c>
      <c r="H670" s="216" t="s">
        <v>529</v>
      </c>
      <c r="I670" s="214" t="str">
        <f t="shared" si="10"/>
        <v>Grecia</v>
      </c>
      <c r="J670" s="214"/>
    </row>
    <row r="671" spans="2:10">
      <c r="B671" s="215" t="s">
        <v>536</v>
      </c>
      <c r="C671" s="212">
        <v>42824</v>
      </c>
      <c r="D671" s="212">
        <v>1</v>
      </c>
      <c r="E671" s="212">
        <v>6.99</v>
      </c>
      <c r="F671" s="212">
        <v>3.15</v>
      </c>
      <c r="G671" s="212">
        <v>3.84</v>
      </c>
      <c r="H671" s="216" t="s">
        <v>531</v>
      </c>
      <c r="I671" s="214" t="str">
        <f t="shared" si="10"/>
        <v>Hong Kong</v>
      </c>
      <c r="J671" s="214"/>
    </row>
    <row r="672" spans="2:10">
      <c r="B672" s="220" t="s">
        <v>520</v>
      </c>
      <c r="C672" s="221">
        <v>42826</v>
      </c>
      <c r="D672" s="221">
        <v>4</v>
      </c>
      <c r="E672" s="221">
        <v>115.8</v>
      </c>
      <c r="F672" s="221">
        <v>45.96</v>
      </c>
      <c r="G672" s="221">
        <v>69.84</v>
      </c>
      <c r="H672" s="222" t="s">
        <v>543</v>
      </c>
      <c r="I672" s="214" t="str">
        <f t="shared" si="10"/>
        <v>Honduras</v>
      </c>
      <c r="J672" s="214"/>
    </row>
  </sheetData>
  <dataConsolidate/>
  <pageMargins left="0.7" right="0.7" top="0.75" bottom="0.75" header="0.3" footer="0.3"/>
  <tableParts count="2">
    <tablePart r:id="rId2"/>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2F187-0E10-491E-AE73-65FE6399194D}">
  <dimension ref="A1:I60"/>
  <sheetViews>
    <sheetView topLeftCell="A49" workbookViewId="0">
      <selection activeCell="B62" sqref="B62"/>
    </sheetView>
  </sheetViews>
  <sheetFormatPr baseColWidth="10" defaultRowHeight="15"/>
  <cols>
    <col min="1" max="1" width="12" bestFit="1" customWidth="1"/>
    <col min="2" max="2" width="16.42578125" bestFit="1" customWidth="1"/>
    <col min="3" max="3" width="11.7109375" bestFit="1" customWidth="1"/>
    <col min="4" max="4" width="20.140625" bestFit="1" customWidth="1"/>
    <col min="5" max="5" width="24.28515625" bestFit="1" customWidth="1"/>
    <col min="6" max="6" width="29.7109375" bestFit="1" customWidth="1"/>
    <col min="7" max="7" width="22.140625" bestFit="1" customWidth="1"/>
    <col min="8" max="8" width="31.7109375" bestFit="1" customWidth="1"/>
    <col min="9" max="9" width="26.28515625" bestFit="1" customWidth="1"/>
  </cols>
  <sheetData>
    <row r="1" spans="1:9">
      <c r="A1" t="s">
        <v>615</v>
      </c>
      <c r="B1" t="s">
        <v>1180</v>
      </c>
      <c r="C1" t="s">
        <v>512</v>
      </c>
      <c r="D1" t="s">
        <v>1181</v>
      </c>
      <c r="E1" t="s">
        <v>1182</v>
      </c>
      <c r="F1" t="s">
        <v>1183</v>
      </c>
      <c r="G1" t="s">
        <v>1184</v>
      </c>
      <c r="H1" t="s">
        <v>1185</v>
      </c>
      <c r="I1" t="s">
        <v>1186</v>
      </c>
    </row>
    <row r="2" spans="1:9">
      <c r="A2" t="s">
        <v>585</v>
      </c>
      <c r="B2" t="s">
        <v>1427</v>
      </c>
      <c r="C2" t="s">
        <v>1187</v>
      </c>
      <c r="D2" t="s">
        <v>1188</v>
      </c>
      <c r="E2" t="s">
        <v>1189</v>
      </c>
      <c r="F2" t="s">
        <v>1190</v>
      </c>
      <c r="G2" t="s">
        <v>1191</v>
      </c>
      <c r="H2" t="s">
        <v>1192</v>
      </c>
      <c r="I2">
        <v>0.25</v>
      </c>
    </row>
    <row r="3" spans="1:9">
      <c r="A3" t="s">
        <v>621</v>
      </c>
      <c r="B3" t="s">
        <v>1428</v>
      </c>
      <c r="C3" t="s">
        <v>1187</v>
      </c>
      <c r="D3" t="s">
        <v>1193</v>
      </c>
      <c r="E3" t="s">
        <v>1194</v>
      </c>
      <c r="F3" t="s">
        <v>1195</v>
      </c>
      <c r="G3" t="s">
        <v>1196</v>
      </c>
      <c r="H3" t="s">
        <v>1197</v>
      </c>
      <c r="I3">
        <v>7.0000000000000007E-2</v>
      </c>
    </row>
    <row r="4" spans="1:9">
      <c r="A4" t="s">
        <v>624</v>
      </c>
      <c r="B4" t="s">
        <v>1429</v>
      </c>
      <c r="C4" t="s">
        <v>1187</v>
      </c>
      <c r="D4" t="s">
        <v>1198</v>
      </c>
      <c r="E4" t="s">
        <v>1199</v>
      </c>
      <c r="F4" t="s">
        <v>1200</v>
      </c>
      <c r="G4" t="s">
        <v>1201</v>
      </c>
      <c r="H4" t="s">
        <v>1202</v>
      </c>
      <c r="I4">
        <v>0</v>
      </c>
    </row>
    <row r="5" spans="1:9">
      <c r="A5" t="s">
        <v>588</v>
      </c>
      <c r="B5" t="s">
        <v>1430</v>
      </c>
      <c r="C5" t="s">
        <v>1187</v>
      </c>
      <c r="D5" t="s">
        <v>1203</v>
      </c>
      <c r="E5" t="s">
        <v>1204</v>
      </c>
      <c r="F5" t="s">
        <v>1205</v>
      </c>
      <c r="G5" t="s">
        <v>1206</v>
      </c>
      <c r="H5" t="s">
        <v>1207</v>
      </c>
      <c r="I5">
        <v>0.03</v>
      </c>
    </row>
    <row r="6" spans="1:9">
      <c r="A6" t="s">
        <v>596</v>
      </c>
      <c r="B6" t="s">
        <v>1431</v>
      </c>
      <c r="C6" t="s">
        <v>1208</v>
      </c>
      <c r="D6" t="s">
        <v>1209</v>
      </c>
      <c r="E6" t="s">
        <v>1210</v>
      </c>
      <c r="F6" t="s">
        <v>1211</v>
      </c>
      <c r="G6" t="s">
        <v>1212</v>
      </c>
      <c r="H6" t="s">
        <v>1213</v>
      </c>
      <c r="I6">
        <v>0.35</v>
      </c>
    </row>
    <row r="7" spans="1:9">
      <c r="A7" t="s">
        <v>605</v>
      </c>
      <c r="B7" t="s">
        <v>1432</v>
      </c>
      <c r="C7" t="s">
        <v>1187</v>
      </c>
      <c r="D7" t="s">
        <v>1214</v>
      </c>
      <c r="E7" t="s">
        <v>1215</v>
      </c>
      <c r="F7" t="s">
        <v>1190</v>
      </c>
      <c r="G7" t="s">
        <v>1216</v>
      </c>
      <c r="H7" t="s">
        <v>1217</v>
      </c>
      <c r="I7">
        <v>0.06</v>
      </c>
    </row>
    <row r="8" spans="1:9">
      <c r="A8" t="s">
        <v>634</v>
      </c>
      <c r="B8" t="s">
        <v>1433</v>
      </c>
      <c r="C8" t="s">
        <v>1208</v>
      </c>
      <c r="D8" t="s">
        <v>1218</v>
      </c>
      <c r="E8" t="s">
        <v>1219</v>
      </c>
      <c r="F8" t="s">
        <v>1220</v>
      </c>
      <c r="G8" t="s">
        <v>1221</v>
      </c>
      <c r="H8" t="s">
        <v>1222</v>
      </c>
      <c r="I8">
        <v>0.39</v>
      </c>
    </row>
    <row r="9" spans="1:9">
      <c r="A9" t="s">
        <v>637</v>
      </c>
      <c r="B9" t="s">
        <v>1434</v>
      </c>
      <c r="C9" t="s">
        <v>1187</v>
      </c>
      <c r="D9" t="s">
        <v>1223</v>
      </c>
      <c r="E9" t="s">
        <v>1224</v>
      </c>
      <c r="F9" t="s">
        <v>1225</v>
      </c>
      <c r="G9" t="s">
        <v>1226</v>
      </c>
      <c r="H9" t="s">
        <v>1227</v>
      </c>
      <c r="I9">
        <v>0.13</v>
      </c>
    </row>
    <row r="10" spans="1:9">
      <c r="A10" t="s">
        <v>640</v>
      </c>
      <c r="B10" t="s">
        <v>1435</v>
      </c>
      <c r="C10" t="s">
        <v>1187</v>
      </c>
      <c r="D10" t="s">
        <v>1228</v>
      </c>
      <c r="E10" t="s">
        <v>1229</v>
      </c>
      <c r="F10" t="s">
        <v>1230</v>
      </c>
      <c r="G10" t="s">
        <v>627</v>
      </c>
      <c r="H10" t="s">
        <v>627</v>
      </c>
    </row>
    <row r="11" spans="1:9">
      <c r="A11" t="s">
        <v>640</v>
      </c>
      <c r="B11" t="s">
        <v>1435</v>
      </c>
      <c r="C11" t="s">
        <v>1208</v>
      </c>
      <c r="D11" t="s">
        <v>627</v>
      </c>
      <c r="E11" t="s">
        <v>627</v>
      </c>
      <c r="F11" t="s">
        <v>627</v>
      </c>
      <c r="G11" t="s">
        <v>1231</v>
      </c>
      <c r="H11" t="s">
        <v>1232</v>
      </c>
      <c r="I11">
        <v>-0.73</v>
      </c>
    </row>
    <row r="12" spans="1:9">
      <c r="A12" t="s">
        <v>658</v>
      </c>
      <c r="B12" t="s">
        <v>1436</v>
      </c>
      <c r="C12" t="s">
        <v>1208</v>
      </c>
      <c r="D12" t="s">
        <v>1233</v>
      </c>
      <c r="E12" t="s">
        <v>1205</v>
      </c>
      <c r="F12" t="s">
        <v>1234</v>
      </c>
      <c r="G12" t="s">
        <v>1235</v>
      </c>
      <c r="H12" t="s">
        <v>1236</v>
      </c>
      <c r="I12">
        <v>0.55000000000000004</v>
      </c>
    </row>
    <row r="13" spans="1:9">
      <c r="A13" t="s">
        <v>570</v>
      </c>
      <c r="B13" t="s">
        <v>1437</v>
      </c>
      <c r="C13" t="s">
        <v>1208</v>
      </c>
      <c r="D13" t="s">
        <v>1237</v>
      </c>
      <c r="E13" t="s">
        <v>1238</v>
      </c>
      <c r="F13" t="s">
        <v>1239</v>
      </c>
      <c r="G13" t="s">
        <v>1240</v>
      </c>
      <c r="H13" t="s">
        <v>1241</v>
      </c>
      <c r="I13">
        <v>-0.88</v>
      </c>
    </row>
    <row r="14" spans="1:9">
      <c r="A14" t="s">
        <v>572</v>
      </c>
      <c r="B14" t="s">
        <v>1438</v>
      </c>
      <c r="C14" t="s">
        <v>1187</v>
      </c>
      <c r="D14" t="s">
        <v>1242</v>
      </c>
      <c r="E14" t="s">
        <v>1204</v>
      </c>
      <c r="F14" t="s">
        <v>1243</v>
      </c>
      <c r="G14" t="s">
        <v>1244</v>
      </c>
      <c r="H14" t="s">
        <v>1245</v>
      </c>
      <c r="I14">
        <v>0.03</v>
      </c>
    </row>
    <row r="15" spans="1:9">
      <c r="A15" t="s">
        <v>571</v>
      </c>
      <c r="B15" t="s">
        <v>1439</v>
      </c>
      <c r="C15" t="s">
        <v>1208</v>
      </c>
      <c r="D15" t="s">
        <v>1246</v>
      </c>
      <c r="E15" t="s">
        <v>1219</v>
      </c>
      <c r="F15" t="s">
        <v>1247</v>
      </c>
      <c r="G15" t="s">
        <v>1248</v>
      </c>
      <c r="H15" t="s">
        <v>1249</v>
      </c>
      <c r="I15">
        <v>-0.21</v>
      </c>
    </row>
    <row r="16" spans="1:9">
      <c r="A16" t="s">
        <v>676</v>
      </c>
      <c r="B16" t="s">
        <v>1440</v>
      </c>
      <c r="C16" t="s">
        <v>1208</v>
      </c>
      <c r="D16" t="s">
        <v>1250</v>
      </c>
      <c r="E16" t="s">
        <v>1194</v>
      </c>
      <c r="F16" t="s">
        <v>1227</v>
      </c>
      <c r="G16" t="s">
        <v>1251</v>
      </c>
      <c r="H16" t="s">
        <v>1252</v>
      </c>
      <c r="I16">
        <v>0.42</v>
      </c>
    </row>
    <row r="17" spans="1:9">
      <c r="A17" t="s">
        <v>685</v>
      </c>
      <c r="B17" t="s">
        <v>1441</v>
      </c>
      <c r="C17" t="s">
        <v>1187</v>
      </c>
      <c r="D17" t="s">
        <v>1253</v>
      </c>
      <c r="E17" t="s">
        <v>1254</v>
      </c>
      <c r="F17" t="s">
        <v>1255</v>
      </c>
      <c r="G17" t="s">
        <v>1256</v>
      </c>
      <c r="H17" t="s">
        <v>1257</v>
      </c>
      <c r="I17">
        <v>0.02</v>
      </c>
    </row>
    <row r="18" spans="1:9">
      <c r="A18" t="s">
        <v>574</v>
      </c>
      <c r="B18" t="s">
        <v>1442</v>
      </c>
      <c r="C18" t="s">
        <v>1187</v>
      </c>
      <c r="D18" t="s">
        <v>1258</v>
      </c>
      <c r="E18" t="s">
        <v>1259</v>
      </c>
      <c r="F18" t="s">
        <v>1260</v>
      </c>
      <c r="G18" t="s">
        <v>1261</v>
      </c>
      <c r="H18" t="s">
        <v>1262</v>
      </c>
      <c r="I18">
        <v>0.11</v>
      </c>
    </row>
    <row r="19" spans="1:9">
      <c r="A19" t="s">
        <v>708</v>
      </c>
      <c r="B19" t="s">
        <v>1443</v>
      </c>
      <c r="C19" t="s">
        <v>1208</v>
      </c>
      <c r="D19" t="s">
        <v>1263</v>
      </c>
      <c r="E19" t="s">
        <v>1224</v>
      </c>
      <c r="F19" t="s">
        <v>1264</v>
      </c>
      <c r="G19" t="s">
        <v>1265</v>
      </c>
      <c r="H19" t="s">
        <v>1266</v>
      </c>
      <c r="I19">
        <v>-0.09</v>
      </c>
    </row>
    <row r="20" spans="1:9">
      <c r="A20" t="s">
        <v>726</v>
      </c>
      <c r="B20" t="s">
        <v>1444</v>
      </c>
      <c r="C20" t="s">
        <v>1208</v>
      </c>
      <c r="D20" t="s">
        <v>1267</v>
      </c>
      <c r="E20" t="s">
        <v>1200</v>
      </c>
      <c r="F20" t="s">
        <v>1238</v>
      </c>
      <c r="G20" t="s">
        <v>1268</v>
      </c>
      <c r="H20" t="s">
        <v>1269</v>
      </c>
      <c r="I20">
        <v>-0.25</v>
      </c>
    </row>
    <row r="21" spans="1:9">
      <c r="A21" t="s">
        <v>577</v>
      </c>
      <c r="B21" t="s">
        <v>1445</v>
      </c>
      <c r="C21" t="s">
        <v>1187</v>
      </c>
      <c r="D21" t="s">
        <v>1270</v>
      </c>
      <c r="E21" t="s">
        <v>1210</v>
      </c>
      <c r="F21" t="s">
        <v>1219</v>
      </c>
      <c r="G21" t="s">
        <v>1271</v>
      </c>
      <c r="H21" t="s">
        <v>1272</v>
      </c>
      <c r="I21">
        <v>0.01</v>
      </c>
    </row>
    <row r="22" spans="1:9">
      <c r="A22" t="s">
        <v>578</v>
      </c>
      <c r="B22" t="s">
        <v>1446</v>
      </c>
      <c r="C22" t="s">
        <v>1208</v>
      </c>
      <c r="D22" t="s">
        <v>1273</v>
      </c>
      <c r="E22" t="s">
        <v>1274</v>
      </c>
      <c r="F22" t="s">
        <v>1275</v>
      </c>
      <c r="G22" t="s">
        <v>1276</v>
      </c>
      <c r="H22" t="s">
        <v>1277</v>
      </c>
      <c r="I22">
        <v>-0.53</v>
      </c>
    </row>
    <row r="23" spans="1:9">
      <c r="A23" t="s">
        <v>160</v>
      </c>
      <c r="B23" t="s">
        <v>1447</v>
      </c>
      <c r="C23" t="s">
        <v>1187</v>
      </c>
      <c r="D23" t="s">
        <v>1278</v>
      </c>
      <c r="E23" t="s">
        <v>1279</v>
      </c>
      <c r="F23" t="s">
        <v>1280</v>
      </c>
      <c r="G23" t="s">
        <v>1281</v>
      </c>
      <c r="H23" t="s">
        <v>1282</v>
      </c>
      <c r="I23">
        <v>0.53</v>
      </c>
    </row>
    <row r="24" spans="1:9">
      <c r="A24" t="s">
        <v>738</v>
      </c>
      <c r="B24" t="s">
        <v>1448</v>
      </c>
      <c r="C24" t="s">
        <v>1208</v>
      </c>
      <c r="D24" t="s">
        <v>1283</v>
      </c>
      <c r="E24" t="s">
        <v>1284</v>
      </c>
      <c r="F24" t="s">
        <v>1219</v>
      </c>
      <c r="G24" t="s">
        <v>1285</v>
      </c>
      <c r="H24" t="s">
        <v>1286</v>
      </c>
      <c r="I24">
        <v>0.16</v>
      </c>
    </row>
    <row r="25" spans="1:9">
      <c r="A25" t="s">
        <v>756</v>
      </c>
      <c r="B25" t="s">
        <v>1449</v>
      </c>
      <c r="C25" t="s">
        <v>1208</v>
      </c>
      <c r="D25" t="s">
        <v>1287</v>
      </c>
      <c r="E25" t="s">
        <v>1194</v>
      </c>
      <c r="F25" t="s">
        <v>1205</v>
      </c>
      <c r="G25" t="s">
        <v>1288</v>
      </c>
      <c r="H25" t="s">
        <v>1289</v>
      </c>
      <c r="I25">
        <v>0.42</v>
      </c>
    </row>
    <row r="26" spans="1:9">
      <c r="A26" t="s">
        <v>759</v>
      </c>
      <c r="B26" t="s">
        <v>1450</v>
      </c>
      <c r="C26" t="s">
        <v>1208</v>
      </c>
      <c r="D26" t="s">
        <v>1290</v>
      </c>
      <c r="E26" t="s">
        <v>1291</v>
      </c>
      <c r="F26" t="s">
        <v>1292</v>
      </c>
      <c r="G26" t="s">
        <v>1293</v>
      </c>
      <c r="H26" t="s">
        <v>1294</v>
      </c>
      <c r="I26">
        <v>0.62</v>
      </c>
    </row>
    <row r="27" spans="1:9">
      <c r="A27" t="s">
        <v>582</v>
      </c>
      <c r="B27" t="s">
        <v>1451</v>
      </c>
      <c r="C27" t="s">
        <v>1187</v>
      </c>
      <c r="D27" t="s">
        <v>1295</v>
      </c>
      <c r="E27" t="s">
        <v>1254</v>
      </c>
      <c r="F27" t="s">
        <v>1296</v>
      </c>
      <c r="G27" t="s">
        <v>1297</v>
      </c>
      <c r="H27" t="s">
        <v>1222</v>
      </c>
      <c r="I27">
        <v>0.02</v>
      </c>
    </row>
    <row r="28" spans="1:9">
      <c r="A28" t="s">
        <v>586</v>
      </c>
      <c r="B28" t="s">
        <v>1452</v>
      </c>
      <c r="C28" t="s">
        <v>1208</v>
      </c>
      <c r="D28" t="s">
        <v>1298</v>
      </c>
      <c r="E28" t="s">
        <v>1299</v>
      </c>
      <c r="F28" t="s">
        <v>1300</v>
      </c>
      <c r="G28" t="s">
        <v>1301</v>
      </c>
      <c r="H28" t="s">
        <v>1302</v>
      </c>
      <c r="I28">
        <v>0.32</v>
      </c>
    </row>
    <row r="29" spans="1:9">
      <c r="A29" t="s">
        <v>587</v>
      </c>
      <c r="B29" t="s">
        <v>1453</v>
      </c>
      <c r="C29" t="s">
        <v>1187</v>
      </c>
      <c r="D29" t="s">
        <v>1303</v>
      </c>
      <c r="E29" t="s">
        <v>1304</v>
      </c>
      <c r="F29" t="s">
        <v>1305</v>
      </c>
      <c r="G29" t="s">
        <v>1306</v>
      </c>
      <c r="H29" t="s">
        <v>1307</v>
      </c>
      <c r="I29">
        <v>0.05</v>
      </c>
    </row>
    <row r="30" spans="1:9">
      <c r="A30" t="s">
        <v>590</v>
      </c>
      <c r="B30" t="s">
        <v>1454</v>
      </c>
      <c r="C30" t="s">
        <v>1208</v>
      </c>
      <c r="D30" t="s">
        <v>1308</v>
      </c>
      <c r="E30" t="s">
        <v>1296</v>
      </c>
      <c r="F30" t="s">
        <v>1309</v>
      </c>
      <c r="G30" t="s">
        <v>1310</v>
      </c>
      <c r="H30" t="s">
        <v>1311</v>
      </c>
      <c r="I30">
        <v>0.43</v>
      </c>
    </row>
    <row r="31" spans="1:9">
      <c r="A31" t="s">
        <v>831</v>
      </c>
      <c r="B31" t="s">
        <v>1455</v>
      </c>
      <c r="C31" t="s">
        <v>1187</v>
      </c>
      <c r="D31" t="s">
        <v>1312</v>
      </c>
      <c r="E31" t="s">
        <v>1189</v>
      </c>
      <c r="F31" t="s">
        <v>1272</v>
      </c>
      <c r="G31" t="s">
        <v>1313</v>
      </c>
      <c r="H31" t="s">
        <v>1314</v>
      </c>
      <c r="I31">
        <v>0.25</v>
      </c>
    </row>
    <row r="32" spans="1:9">
      <c r="A32" t="s">
        <v>837</v>
      </c>
      <c r="B32" t="s">
        <v>1456</v>
      </c>
      <c r="C32" t="s">
        <v>1208</v>
      </c>
      <c r="D32" t="s">
        <v>1315</v>
      </c>
      <c r="E32" t="s">
        <v>1195</v>
      </c>
      <c r="F32" t="s">
        <v>1316</v>
      </c>
      <c r="G32" t="s">
        <v>1317</v>
      </c>
      <c r="H32" t="s">
        <v>1197</v>
      </c>
      <c r="I32">
        <v>0.67</v>
      </c>
    </row>
    <row r="33" spans="1:9">
      <c r="A33" t="s">
        <v>840</v>
      </c>
      <c r="B33" t="s">
        <v>1457</v>
      </c>
      <c r="C33" t="s">
        <v>1187</v>
      </c>
      <c r="D33" t="s">
        <v>1318</v>
      </c>
      <c r="E33" t="s">
        <v>1304</v>
      </c>
      <c r="F33" t="s">
        <v>1319</v>
      </c>
      <c r="G33" t="s">
        <v>1320</v>
      </c>
      <c r="H33" t="s">
        <v>1321</v>
      </c>
      <c r="I33">
        <v>0.15</v>
      </c>
    </row>
    <row r="34" spans="1:9">
      <c r="A34" t="s">
        <v>595</v>
      </c>
      <c r="B34" t="s">
        <v>1458</v>
      </c>
      <c r="C34" t="s">
        <v>1208</v>
      </c>
      <c r="D34" t="s">
        <v>1322</v>
      </c>
      <c r="E34" t="s">
        <v>1323</v>
      </c>
      <c r="F34" t="s">
        <v>1324</v>
      </c>
      <c r="G34" t="s">
        <v>1325</v>
      </c>
      <c r="H34" t="s">
        <v>1326</v>
      </c>
      <c r="I34">
        <v>0.12</v>
      </c>
    </row>
    <row r="35" spans="1:9">
      <c r="A35" t="s">
        <v>845</v>
      </c>
      <c r="B35" t="s">
        <v>1459</v>
      </c>
      <c r="C35" t="s">
        <v>1187</v>
      </c>
      <c r="D35" t="s">
        <v>1327</v>
      </c>
      <c r="E35" t="s">
        <v>1328</v>
      </c>
      <c r="F35" t="s">
        <v>1302</v>
      </c>
      <c r="G35" t="s">
        <v>627</v>
      </c>
      <c r="H35" t="s">
        <v>627</v>
      </c>
    </row>
    <row r="36" spans="1:9">
      <c r="A36" t="s">
        <v>845</v>
      </c>
      <c r="B36" t="s">
        <v>1459</v>
      </c>
      <c r="C36" t="s">
        <v>1208</v>
      </c>
      <c r="D36" t="s">
        <v>627</v>
      </c>
      <c r="E36" t="s">
        <v>627</v>
      </c>
      <c r="F36" t="s">
        <v>627</v>
      </c>
      <c r="G36" t="s">
        <v>1329</v>
      </c>
      <c r="H36" t="s">
        <v>1194</v>
      </c>
      <c r="I36">
        <v>0.41</v>
      </c>
    </row>
    <row r="37" spans="1:9">
      <c r="A37" t="s">
        <v>848</v>
      </c>
      <c r="B37" t="s">
        <v>1460</v>
      </c>
      <c r="C37" t="s">
        <v>1208</v>
      </c>
      <c r="D37" t="s">
        <v>1330</v>
      </c>
      <c r="E37" t="s">
        <v>1331</v>
      </c>
      <c r="F37" t="s">
        <v>1332</v>
      </c>
      <c r="G37" t="s">
        <v>1333</v>
      </c>
      <c r="H37" t="s">
        <v>1334</v>
      </c>
      <c r="I37">
        <v>-0.59</v>
      </c>
    </row>
    <row r="38" spans="1:9">
      <c r="A38" t="s">
        <v>857</v>
      </c>
      <c r="B38" t="s">
        <v>1461</v>
      </c>
      <c r="C38" t="s">
        <v>1208</v>
      </c>
      <c r="D38" t="s">
        <v>1335</v>
      </c>
      <c r="E38" t="s">
        <v>1336</v>
      </c>
      <c r="F38" t="s">
        <v>1337</v>
      </c>
      <c r="G38" t="s">
        <v>1338</v>
      </c>
      <c r="H38" t="s">
        <v>1339</v>
      </c>
      <c r="I38">
        <v>0.56000000000000005</v>
      </c>
    </row>
    <row r="39" spans="1:9">
      <c r="A39" t="s">
        <v>884</v>
      </c>
      <c r="B39" t="s">
        <v>1462</v>
      </c>
      <c r="C39" t="s">
        <v>1208</v>
      </c>
      <c r="D39" t="s">
        <v>1340</v>
      </c>
      <c r="E39" t="s">
        <v>1341</v>
      </c>
      <c r="F39" t="s">
        <v>1342</v>
      </c>
      <c r="G39" t="s">
        <v>1343</v>
      </c>
      <c r="H39" t="s">
        <v>1344</v>
      </c>
      <c r="I39">
        <v>-0.44</v>
      </c>
    </row>
    <row r="40" spans="1:9">
      <c r="A40" t="s">
        <v>916</v>
      </c>
      <c r="B40" t="s">
        <v>1463</v>
      </c>
      <c r="C40" t="s">
        <v>1187</v>
      </c>
      <c r="D40" t="s">
        <v>1345</v>
      </c>
      <c r="E40" t="s">
        <v>1296</v>
      </c>
      <c r="F40" t="s">
        <v>1346</v>
      </c>
      <c r="G40" t="s">
        <v>1347</v>
      </c>
      <c r="H40" t="s">
        <v>1348</v>
      </c>
      <c r="I40">
        <v>0.09</v>
      </c>
    </row>
    <row r="41" spans="1:9">
      <c r="A41" t="s">
        <v>919</v>
      </c>
      <c r="B41" t="s">
        <v>1464</v>
      </c>
      <c r="C41" t="s">
        <v>1208</v>
      </c>
      <c r="D41" t="s">
        <v>1349</v>
      </c>
      <c r="E41" t="s">
        <v>1205</v>
      </c>
      <c r="F41" t="s">
        <v>1350</v>
      </c>
      <c r="G41" t="s">
        <v>1351</v>
      </c>
      <c r="H41" t="s">
        <v>1352</v>
      </c>
      <c r="I41">
        <v>0.55000000000000004</v>
      </c>
    </row>
    <row r="42" spans="1:9">
      <c r="A42" t="s">
        <v>922</v>
      </c>
      <c r="B42" t="s">
        <v>1465</v>
      </c>
      <c r="C42" t="s">
        <v>1187</v>
      </c>
      <c r="D42" t="s">
        <v>1353</v>
      </c>
      <c r="E42" t="s">
        <v>1205</v>
      </c>
      <c r="F42" t="s">
        <v>1354</v>
      </c>
      <c r="G42" t="s">
        <v>1355</v>
      </c>
      <c r="H42" t="s">
        <v>1356</v>
      </c>
      <c r="I42">
        <v>0.2</v>
      </c>
    </row>
    <row r="43" spans="1:9">
      <c r="A43" t="s">
        <v>937</v>
      </c>
      <c r="B43" t="s">
        <v>1466</v>
      </c>
      <c r="C43" t="s">
        <v>1208</v>
      </c>
      <c r="D43" t="s">
        <v>1357</v>
      </c>
      <c r="E43" t="s">
        <v>1224</v>
      </c>
      <c r="F43" t="s">
        <v>1358</v>
      </c>
      <c r="G43" t="s">
        <v>1359</v>
      </c>
      <c r="H43" t="s">
        <v>1360</v>
      </c>
      <c r="I43">
        <v>0.48</v>
      </c>
    </row>
    <row r="44" spans="1:9">
      <c r="A44" t="s">
        <v>946</v>
      </c>
      <c r="B44" t="s">
        <v>1467</v>
      </c>
      <c r="C44" t="s">
        <v>1208</v>
      </c>
      <c r="D44" t="s">
        <v>1361</v>
      </c>
      <c r="E44" t="s">
        <v>1362</v>
      </c>
      <c r="F44" t="s">
        <v>1352</v>
      </c>
      <c r="G44" t="s">
        <v>1363</v>
      </c>
      <c r="H44" t="s">
        <v>1364</v>
      </c>
      <c r="I44">
        <v>0.68</v>
      </c>
    </row>
    <row r="45" spans="1:9">
      <c r="A45" t="s">
        <v>961</v>
      </c>
      <c r="B45" t="s">
        <v>1468</v>
      </c>
      <c r="C45" t="s">
        <v>1187</v>
      </c>
      <c r="D45" t="s">
        <v>1365</v>
      </c>
      <c r="E45" t="s">
        <v>1189</v>
      </c>
      <c r="F45" t="s">
        <v>1366</v>
      </c>
      <c r="G45" t="s">
        <v>1367</v>
      </c>
      <c r="H45" t="s">
        <v>1368</v>
      </c>
      <c r="I45">
        <v>0.25</v>
      </c>
    </row>
    <row r="46" spans="1:9">
      <c r="A46" t="s">
        <v>973</v>
      </c>
      <c r="B46" t="s">
        <v>1469</v>
      </c>
      <c r="C46" t="s">
        <v>1208</v>
      </c>
      <c r="D46" t="s">
        <v>1369</v>
      </c>
      <c r="E46" t="s">
        <v>1370</v>
      </c>
      <c r="F46" t="s">
        <v>1341</v>
      </c>
      <c r="G46" t="s">
        <v>1371</v>
      </c>
      <c r="H46" t="s">
        <v>1372</v>
      </c>
      <c r="I46">
        <v>-0.3</v>
      </c>
    </row>
    <row r="47" spans="1:9">
      <c r="A47" t="s">
        <v>994</v>
      </c>
      <c r="B47" t="s">
        <v>1470</v>
      </c>
      <c r="C47" t="s">
        <v>1187</v>
      </c>
      <c r="D47" t="s">
        <v>1373</v>
      </c>
      <c r="E47" t="s">
        <v>1374</v>
      </c>
      <c r="F47" t="s">
        <v>1375</v>
      </c>
      <c r="G47" t="s">
        <v>1376</v>
      </c>
      <c r="H47" t="s">
        <v>1377</v>
      </c>
      <c r="I47">
        <v>0.08</v>
      </c>
    </row>
    <row r="48" spans="1:9">
      <c r="A48" t="s">
        <v>997</v>
      </c>
      <c r="B48" t="s">
        <v>1471</v>
      </c>
      <c r="C48" t="s">
        <v>1187</v>
      </c>
      <c r="D48" t="s">
        <v>1378</v>
      </c>
      <c r="E48" t="s">
        <v>1341</v>
      </c>
      <c r="F48" t="s">
        <v>1199</v>
      </c>
      <c r="G48" t="s">
        <v>1379</v>
      </c>
      <c r="H48" t="s">
        <v>1380</v>
      </c>
      <c r="I48">
        <v>-2.75</v>
      </c>
    </row>
    <row r="49" spans="1:9">
      <c r="A49" t="s">
        <v>1006</v>
      </c>
      <c r="B49" t="s">
        <v>1472</v>
      </c>
      <c r="C49" t="s">
        <v>1208</v>
      </c>
      <c r="D49" t="s">
        <v>1381</v>
      </c>
      <c r="E49" t="s">
        <v>1382</v>
      </c>
      <c r="F49" t="s">
        <v>1230</v>
      </c>
      <c r="G49" t="s">
        <v>1383</v>
      </c>
      <c r="H49" t="s">
        <v>1384</v>
      </c>
      <c r="I49">
        <v>-0.48</v>
      </c>
    </row>
    <row r="50" spans="1:9">
      <c r="A50" t="s">
        <v>604</v>
      </c>
      <c r="B50" t="s">
        <v>1473</v>
      </c>
      <c r="C50" t="s">
        <v>1208</v>
      </c>
      <c r="D50" t="s">
        <v>1385</v>
      </c>
      <c r="E50" t="s">
        <v>1386</v>
      </c>
      <c r="F50" t="s">
        <v>1387</v>
      </c>
      <c r="G50" t="s">
        <v>1388</v>
      </c>
      <c r="H50" t="s">
        <v>1389</v>
      </c>
      <c r="I50">
        <v>0.46</v>
      </c>
    </row>
    <row r="51" spans="1:9">
      <c r="A51" t="s">
        <v>1041</v>
      </c>
      <c r="B51" t="s">
        <v>1474</v>
      </c>
      <c r="C51" t="s">
        <v>1208</v>
      </c>
      <c r="D51" t="s">
        <v>1390</v>
      </c>
      <c r="E51" t="s">
        <v>1391</v>
      </c>
      <c r="F51" t="s">
        <v>1392</v>
      </c>
      <c r="G51" t="s">
        <v>1393</v>
      </c>
      <c r="H51" t="s">
        <v>1394</v>
      </c>
      <c r="I51">
        <v>0.6</v>
      </c>
    </row>
    <row r="52" spans="1:9">
      <c r="A52" t="s">
        <v>1044</v>
      </c>
      <c r="B52" t="s">
        <v>1475</v>
      </c>
      <c r="C52" t="s">
        <v>1208</v>
      </c>
      <c r="D52" t="s">
        <v>1395</v>
      </c>
      <c r="E52" t="s">
        <v>1396</v>
      </c>
      <c r="F52" t="s">
        <v>1397</v>
      </c>
      <c r="G52" t="s">
        <v>1398</v>
      </c>
      <c r="H52" t="s">
        <v>1389</v>
      </c>
      <c r="I52">
        <v>0.52</v>
      </c>
    </row>
    <row r="53" spans="1:9">
      <c r="A53" t="s">
        <v>1047</v>
      </c>
      <c r="B53" t="s">
        <v>1476</v>
      </c>
      <c r="C53" t="s">
        <v>1399</v>
      </c>
      <c r="D53" t="s">
        <v>1400</v>
      </c>
      <c r="E53" t="s">
        <v>1401</v>
      </c>
      <c r="F53" t="s">
        <v>1402</v>
      </c>
      <c r="G53" t="s">
        <v>1403</v>
      </c>
      <c r="H53" t="s">
        <v>1404</v>
      </c>
      <c r="I53">
        <v>0.91</v>
      </c>
    </row>
    <row r="54" spans="1:9">
      <c r="A54" t="s">
        <v>1053</v>
      </c>
      <c r="B54" t="s">
        <v>1477</v>
      </c>
      <c r="C54" t="s">
        <v>1405</v>
      </c>
      <c r="D54" t="s">
        <v>1406</v>
      </c>
      <c r="E54" t="s">
        <v>1407</v>
      </c>
      <c r="F54" t="s">
        <v>1408</v>
      </c>
      <c r="G54" t="s">
        <v>1409</v>
      </c>
      <c r="H54" t="s">
        <v>1304</v>
      </c>
      <c r="I54">
        <v>0.37</v>
      </c>
    </row>
    <row r="55" spans="1:9">
      <c r="A55" t="s">
        <v>608</v>
      </c>
      <c r="B55" t="s">
        <v>1478</v>
      </c>
      <c r="C55" t="s">
        <v>1208</v>
      </c>
      <c r="D55" t="s">
        <v>1410</v>
      </c>
      <c r="E55" t="s">
        <v>1411</v>
      </c>
      <c r="F55" t="s">
        <v>1354</v>
      </c>
      <c r="G55" t="s">
        <v>1412</v>
      </c>
      <c r="H55" t="s">
        <v>1260</v>
      </c>
      <c r="I55">
        <v>0.35</v>
      </c>
    </row>
    <row r="56" spans="1:9">
      <c r="A56" t="s">
        <v>1069</v>
      </c>
      <c r="B56" t="s">
        <v>1479</v>
      </c>
      <c r="C56" t="s">
        <v>1187</v>
      </c>
      <c r="D56" t="s">
        <v>1413</v>
      </c>
      <c r="E56" t="s">
        <v>1396</v>
      </c>
      <c r="F56" t="s">
        <v>1414</v>
      </c>
      <c r="G56" t="s">
        <v>1415</v>
      </c>
      <c r="H56" t="s">
        <v>1394</v>
      </c>
      <c r="I56">
        <v>0.17</v>
      </c>
    </row>
    <row r="57" spans="1:9">
      <c r="A57" t="s">
        <v>1072</v>
      </c>
      <c r="B57" t="s">
        <v>1480</v>
      </c>
      <c r="C57" t="s">
        <v>1187</v>
      </c>
      <c r="D57" t="s">
        <v>1416</v>
      </c>
      <c r="E57" t="s">
        <v>1417</v>
      </c>
      <c r="F57" t="s">
        <v>1418</v>
      </c>
      <c r="G57" t="s">
        <v>1419</v>
      </c>
      <c r="H57" t="s">
        <v>1420</v>
      </c>
      <c r="I57">
        <v>0.1</v>
      </c>
    </row>
    <row r="58" spans="1:9">
      <c r="A58" t="s">
        <v>1127</v>
      </c>
      <c r="B58" t="s">
        <v>1481</v>
      </c>
      <c r="C58" t="s">
        <v>1208</v>
      </c>
      <c r="D58" t="s">
        <v>1421</v>
      </c>
      <c r="E58" t="s">
        <v>1215</v>
      </c>
      <c r="F58" t="s">
        <v>1280</v>
      </c>
      <c r="G58" t="s">
        <v>1422</v>
      </c>
      <c r="H58" t="s">
        <v>1423</v>
      </c>
      <c r="I58">
        <v>0.4</v>
      </c>
    </row>
    <row r="59" spans="1:9">
      <c r="A59" t="s">
        <v>1169</v>
      </c>
      <c r="B59" t="s">
        <v>1482</v>
      </c>
      <c r="C59" t="s">
        <v>1208</v>
      </c>
      <c r="D59" t="s">
        <v>1424</v>
      </c>
      <c r="E59" t="s">
        <v>1211</v>
      </c>
      <c r="F59" t="s">
        <v>1200</v>
      </c>
      <c r="G59" t="s">
        <v>1425</v>
      </c>
      <c r="H59" t="s">
        <v>1426</v>
      </c>
      <c r="I59">
        <v>-0.02</v>
      </c>
    </row>
    <row r="60" spans="1:9">
      <c r="A60" t="s">
        <v>1178</v>
      </c>
      <c r="B60" t="s">
        <v>1179</v>
      </c>
      <c r="C60" t="s">
        <v>1179</v>
      </c>
      <c r="D60" t="s">
        <v>1179</v>
      </c>
      <c r="E60" t="s">
        <v>1179</v>
      </c>
      <c r="F60" t="s">
        <v>1179</v>
      </c>
    </row>
  </sheetData>
  <phoneticPr fontId="14" type="noConversion"/>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3E71D-F224-4BE3-9898-5CA87A4A3AB6}">
  <dimension ref="A1:N640"/>
  <sheetViews>
    <sheetView topLeftCell="E1" workbookViewId="0">
      <selection activeCell="P5" sqref="P5"/>
    </sheetView>
  </sheetViews>
  <sheetFormatPr baseColWidth="10" defaultRowHeight="15"/>
  <cols>
    <col min="3" max="3" width="12" customWidth="1"/>
    <col min="5" max="5" width="12.5703125" customWidth="1"/>
    <col min="6" max="6" width="16.85546875" customWidth="1"/>
    <col min="9" max="9" width="21.7109375" bestFit="1" customWidth="1"/>
    <col min="10" max="10" width="19" bestFit="1" customWidth="1"/>
    <col min="11" max="11" width="19.5703125" bestFit="1" customWidth="1"/>
    <col min="12" max="12" width="23.140625" bestFit="1" customWidth="1"/>
  </cols>
  <sheetData>
    <row r="1" spans="1:14">
      <c r="A1" s="228" t="s">
        <v>1483</v>
      </c>
      <c r="B1" s="194" t="s">
        <v>512</v>
      </c>
      <c r="C1" s="194" t="s">
        <v>1484</v>
      </c>
      <c r="D1" s="194" t="s">
        <v>1485</v>
      </c>
      <c r="E1" s="194" t="s">
        <v>1486</v>
      </c>
      <c r="F1" s="194" t="s">
        <v>1487</v>
      </c>
      <c r="G1" s="194" t="s">
        <v>1488</v>
      </c>
      <c r="H1" s="194" t="s">
        <v>1489</v>
      </c>
      <c r="I1" s="229" t="s">
        <v>1490</v>
      </c>
      <c r="J1" s="229" t="s">
        <v>1491</v>
      </c>
      <c r="K1" s="230" t="s">
        <v>1492</v>
      </c>
      <c r="L1" s="229" t="s">
        <v>1505</v>
      </c>
      <c r="M1" s="229" t="s">
        <v>1511</v>
      </c>
      <c r="N1" s="229" t="s">
        <v>1512</v>
      </c>
    </row>
    <row r="2" spans="1:14">
      <c r="A2" s="226">
        <v>1001</v>
      </c>
      <c r="B2" s="224">
        <v>44197</v>
      </c>
      <c r="C2" s="207" t="s">
        <v>1493</v>
      </c>
      <c r="D2" s="207" t="s">
        <v>1494</v>
      </c>
      <c r="E2" s="207" t="s">
        <v>518</v>
      </c>
      <c r="F2" s="225">
        <v>110</v>
      </c>
      <c r="G2" s="225">
        <v>23.1</v>
      </c>
      <c r="H2" s="225">
        <v>133.1</v>
      </c>
      <c r="I2" s="24" t="str">
        <f>UPPER(Tabla11[[#This Row],[Comercial]])</f>
        <v>MARIA GARCIA 1254</v>
      </c>
      <c r="J2" s="24" t="str">
        <f>LOWER(Tabla11[[#This Row],[Comercial]])</f>
        <v>maria garcia 1254</v>
      </c>
      <c r="K2" s="227" t="str">
        <f>PROPER(Tabla11[[#This Row],[Comercial]])</f>
        <v>Maria Garcia 1254</v>
      </c>
      <c r="L2" t="s">
        <v>1506</v>
      </c>
      <c r="M2" t="str">
        <f>RIGHT(Tabla11[[#This Row],[Comercial]],4)</f>
        <v>1254</v>
      </c>
      <c r="N2" t="str">
        <f>LEFT(Tabla11[[#This Row],[Minuscula]],6)</f>
        <v xml:space="preserve">maria </v>
      </c>
    </row>
    <row r="3" spans="1:14">
      <c r="A3" s="226">
        <v>1002</v>
      </c>
      <c r="B3" s="224">
        <v>44198</v>
      </c>
      <c r="C3" s="207" t="s">
        <v>1495</v>
      </c>
      <c r="D3" s="207" t="s">
        <v>1494</v>
      </c>
      <c r="E3" s="207" t="s">
        <v>520</v>
      </c>
      <c r="F3" s="225">
        <v>450</v>
      </c>
      <c r="G3" s="225">
        <v>94.5</v>
      </c>
      <c r="H3" s="225">
        <v>544.5</v>
      </c>
      <c r="I3" s="24" t="str">
        <f>UPPER(Tabla11[[#This Row],[Comercial]])</f>
        <v>LUIS VALLE 5431</v>
      </c>
      <c r="J3" s="24" t="str">
        <f>LOWER(Tabla11[[#This Row],[Comercial]])</f>
        <v>luis valle 5431</v>
      </c>
      <c r="K3" s="227" t="str">
        <f>PROPER(Tabla11[[#This Row],[Comercial]])</f>
        <v>Luis Valle 5431</v>
      </c>
      <c r="L3" t="s">
        <v>1507</v>
      </c>
      <c r="M3" t="str">
        <f>RIGHT(Tabla11[[#This Row],[Comercial]],4)</f>
        <v>5431</v>
      </c>
      <c r="N3" t="str">
        <f>LEFT(Tabla11[[#This Row],[Minuscula]],6)</f>
        <v>luis v</v>
      </c>
    </row>
    <row r="4" spans="1:14">
      <c r="A4" s="226">
        <v>1003</v>
      </c>
      <c r="B4" s="224">
        <v>44199</v>
      </c>
      <c r="C4" s="207" t="s">
        <v>1496</v>
      </c>
      <c r="D4" s="207" t="s">
        <v>1497</v>
      </c>
      <c r="E4" s="207" t="s">
        <v>525</v>
      </c>
      <c r="F4" s="225">
        <v>10</v>
      </c>
      <c r="G4" s="225">
        <v>2.1</v>
      </c>
      <c r="H4" s="225">
        <v>12.1</v>
      </c>
      <c r="I4" s="24" t="str">
        <f>UPPER(Tabla11[[#This Row],[Comercial]])</f>
        <v>PABLO LOPEZ 7384</v>
      </c>
      <c r="J4" s="24" t="str">
        <f>LOWER(Tabla11[[#This Row],[Comercial]])</f>
        <v>pablo lopez 7384</v>
      </c>
      <c r="K4" s="227" t="str">
        <f>PROPER(Tabla11[[#This Row],[Comercial]])</f>
        <v>Pablo Lopez 7384</v>
      </c>
      <c r="L4" t="s">
        <v>1508</v>
      </c>
      <c r="M4" t="str">
        <f>RIGHT(Tabla11[[#This Row],[Comercial]],4)</f>
        <v>7384</v>
      </c>
      <c r="N4" t="str">
        <f>LEFT(Tabla11[[#This Row],[Minuscula]],6)</f>
        <v xml:space="preserve">pablo </v>
      </c>
    </row>
    <row r="5" spans="1:14">
      <c r="A5" s="226">
        <v>1004</v>
      </c>
      <c r="B5" s="224">
        <v>44199</v>
      </c>
      <c r="C5" s="207" t="s">
        <v>1498</v>
      </c>
      <c r="D5" s="207" t="s">
        <v>1497</v>
      </c>
      <c r="E5" s="207" t="s">
        <v>520</v>
      </c>
      <c r="F5" s="225">
        <v>853</v>
      </c>
      <c r="G5" s="225">
        <v>179.13</v>
      </c>
      <c r="H5" s="225">
        <v>1032.1300000000001</v>
      </c>
      <c r="I5" s="24" t="str">
        <f>UPPER(Tabla11[[#This Row],[Comercial]])</f>
        <v>PABLO LOPEZ 7384</v>
      </c>
      <c r="J5" s="24" t="str">
        <f>LOWER(Tabla11[[#This Row],[Comercial]])</f>
        <v>pablo lopez 7384</v>
      </c>
      <c r="K5" s="227" t="str">
        <f>PROPER(Tabla11[[#This Row],[Comercial]])</f>
        <v>Pablo Lopez 7384</v>
      </c>
      <c r="L5" t="s">
        <v>1508</v>
      </c>
      <c r="M5" t="str">
        <f>RIGHT(Tabla11[[#This Row],[Comercial]],4)</f>
        <v>7384</v>
      </c>
      <c r="N5" t="str">
        <f>LEFT(Tabla11[[#This Row],[Minuscula]],6)</f>
        <v xml:space="preserve">pablo </v>
      </c>
    </row>
    <row r="6" spans="1:14">
      <c r="A6" s="226">
        <v>1005</v>
      </c>
      <c r="B6" s="224">
        <v>44200</v>
      </c>
      <c r="C6" s="207" t="s">
        <v>1496</v>
      </c>
      <c r="D6" s="207" t="s">
        <v>1494</v>
      </c>
      <c r="E6" s="207" t="s">
        <v>530</v>
      </c>
      <c r="F6" s="225">
        <v>39</v>
      </c>
      <c r="G6" s="225">
        <v>8.19</v>
      </c>
      <c r="H6" s="225">
        <v>47.19</v>
      </c>
      <c r="I6" s="24" t="str">
        <f>UPPER(Tabla11[[#This Row],[Comercial]])</f>
        <v>PABLO LOPEZ 7384</v>
      </c>
      <c r="J6" s="24" t="str">
        <f>LOWER(Tabla11[[#This Row],[Comercial]])</f>
        <v>pablo lopez 7384</v>
      </c>
      <c r="K6" s="227" t="str">
        <f>PROPER(Tabla11[[#This Row],[Comercial]])</f>
        <v>Pablo Lopez 7384</v>
      </c>
      <c r="L6" t="s">
        <v>1508</v>
      </c>
      <c r="M6" t="str">
        <f>RIGHT(Tabla11[[#This Row],[Comercial]],4)</f>
        <v>7384</v>
      </c>
      <c r="N6" t="str">
        <f>LEFT(Tabla11[[#This Row],[Minuscula]],6)</f>
        <v xml:space="preserve">pablo </v>
      </c>
    </row>
    <row r="7" spans="1:14">
      <c r="A7" s="226">
        <v>1006</v>
      </c>
      <c r="B7" s="224">
        <v>44200</v>
      </c>
      <c r="C7" s="207" t="s">
        <v>1496</v>
      </c>
      <c r="D7" s="207" t="s">
        <v>1499</v>
      </c>
      <c r="E7" s="207" t="s">
        <v>525</v>
      </c>
      <c r="F7" s="225">
        <v>15</v>
      </c>
      <c r="G7" s="225">
        <v>3.15</v>
      </c>
      <c r="H7" s="225">
        <v>18.149999999999999</v>
      </c>
      <c r="I7" s="24" t="str">
        <f>UPPER(Tabla11[[#This Row],[Comercial]])</f>
        <v>PABLO LOPEZ 7384</v>
      </c>
      <c r="J7" s="24" t="str">
        <f>LOWER(Tabla11[[#This Row],[Comercial]])</f>
        <v>pablo lopez 7384</v>
      </c>
      <c r="K7" s="227" t="str">
        <f>PROPER(Tabla11[[#This Row],[Comercial]])</f>
        <v>Pablo Lopez 7384</v>
      </c>
      <c r="L7" t="s">
        <v>1508</v>
      </c>
      <c r="M7" t="str">
        <f>RIGHT(Tabla11[[#This Row],[Comercial]],4)</f>
        <v>7384</v>
      </c>
      <c r="N7" t="str">
        <f>LEFT(Tabla11[[#This Row],[Minuscula]],6)</f>
        <v xml:space="preserve">pablo </v>
      </c>
    </row>
    <row r="8" spans="1:14">
      <c r="A8" s="226">
        <v>1007</v>
      </c>
      <c r="B8" s="224">
        <v>44200</v>
      </c>
      <c r="C8" s="207" t="s">
        <v>1495</v>
      </c>
      <c r="D8" s="207" t="s">
        <v>1497</v>
      </c>
      <c r="E8" s="207" t="s">
        <v>520</v>
      </c>
      <c r="F8" s="225">
        <v>843</v>
      </c>
      <c r="G8" s="225">
        <v>177.03</v>
      </c>
      <c r="H8" s="225">
        <v>1020.03</v>
      </c>
      <c r="I8" s="24" t="str">
        <f>UPPER(Tabla11[[#This Row],[Comercial]])</f>
        <v>LUIS VALLE 5431</v>
      </c>
      <c r="J8" s="24" t="str">
        <f>LOWER(Tabla11[[#This Row],[Comercial]])</f>
        <v>luis valle 5431</v>
      </c>
      <c r="K8" s="227" t="str">
        <f>PROPER(Tabla11[[#This Row],[Comercial]])</f>
        <v>Luis Valle 5431</v>
      </c>
      <c r="L8" t="s">
        <v>1507</v>
      </c>
      <c r="M8" t="str">
        <f>RIGHT(Tabla11[[#This Row],[Comercial]],4)</f>
        <v>5431</v>
      </c>
      <c r="N8" t="str">
        <f>LEFT(Tabla11[[#This Row],[Minuscula]],6)</f>
        <v>luis v</v>
      </c>
    </row>
    <row r="9" spans="1:14">
      <c r="A9" s="226">
        <v>1008</v>
      </c>
      <c r="B9" s="224">
        <v>44202</v>
      </c>
      <c r="C9" s="207" t="s">
        <v>1500</v>
      </c>
      <c r="D9" s="207" t="s">
        <v>1497</v>
      </c>
      <c r="E9" s="207" t="s">
        <v>534</v>
      </c>
      <c r="F9" s="225">
        <v>8</v>
      </c>
      <c r="G9" s="225">
        <v>1.68</v>
      </c>
      <c r="H9" s="225">
        <v>9.68</v>
      </c>
      <c r="I9" s="24" t="str">
        <f>UPPER(Tabla11[[#This Row],[Comercial]])</f>
        <v>ANA FERNANDEZZ 4321</v>
      </c>
      <c r="J9" s="24" t="str">
        <f>LOWER(Tabla11[[#This Row],[Comercial]])</f>
        <v>ana fernandezz 4321</v>
      </c>
      <c r="K9" s="227" t="str">
        <f>PROPER(Tabla11[[#This Row],[Comercial]])</f>
        <v>Ana Fernandezz 4321</v>
      </c>
      <c r="L9" t="s">
        <v>1509</v>
      </c>
      <c r="M9" t="str">
        <f>RIGHT(Tabla11[[#This Row],[Comercial]],4)</f>
        <v>4321</v>
      </c>
      <c r="N9" t="str">
        <f>LEFT(Tabla11[[#This Row],[Minuscula]],6)</f>
        <v>ana fe</v>
      </c>
    </row>
    <row r="10" spans="1:14">
      <c r="A10" s="226">
        <v>1009</v>
      </c>
      <c r="B10" s="224">
        <v>44202</v>
      </c>
      <c r="C10" s="207" t="s">
        <v>1495</v>
      </c>
      <c r="D10" s="207" t="s">
        <v>1499</v>
      </c>
      <c r="E10" s="207" t="s">
        <v>525</v>
      </c>
      <c r="F10" s="225">
        <v>17</v>
      </c>
      <c r="G10" s="225">
        <v>3.57</v>
      </c>
      <c r="H10" s="225">
        <v>20.57</v>
      </c>
      <c r="I10" s="24" t="str">
        <f>UPPER(Tabla11[[#This Row],[Comercial]])</f>
        <v>LUIS VALLE 5431</v>
      </c>
      <c r="J10" s="24" t="str">
        <f>LOWER(Tabla11[[#This Row],[Comercial]])</f>
        <v>luis valle 5431</v>
      </c>
      <c r="K10" s="227" t="str">
        <f>PROPER(Tabla11[[#This Row],[Comercial]])</f>
        <v>Luis Valle 5431</v>
      </c>
      <c r="L10" t="s">
        <v>1507</v>
      </c>
      <c r="M10" t="str">
        <f>RIGHT(Tabla11[[#This Row],[Comercial]],4)</f>
        <v>5431</v>
      </c>
      <c r="N10" t="str">
        <f>LEFT(Tabla11[[#This Row],[Minuscula]],6)</f>
        <v>luis v</v>
      </c>
    </row>
    <row r="11" spans="1:14">
      <c r="A11" s="226">
        <v>1010</v>
      </c>
      <c r="B11" s="224">
        <v>44202</v>
      </c>
      <c r="C11" s="207" t="s">
        <v>1501</v>
      </c>
      <c r="D11" s="207" t="s">
        <v>1497</v>
      </c>
      <c r="E11" s="207" t="s">
        <v>518</v>
      </c>
      <c r="F11" s="225">
        <v>47</v>
      </c>
      <c r="G11" s="225">
        <v>9.8699999999999992</v>
      </c>
      <c r="H11" s="225">
        <v>56.87</v>
      </c>
      <c r="I11" s="24" t="str">
        <f>UPPER(Tabla11[[#This Row],[Comercial]])</f>
        <v>MARIO PEREZ 1123</v>
      </c>
      <c r="J11" s="24" t="str">
        <f>LOWER(Tabla11[[#This Row],[Comercial]])</f>
        <v>mario perez 1123</v>
      </c>
      <c r="K11" s="227" t="str">
        <f>PROPER(Tabla11[[#This Row],[Comercial]])</f>
        <v>Mario Perez 1123</v>
      </c>
      <c r="L11" t="s">
        <v>1510</v>
      </c>
      <c r="M11" t="str">
        <f>RIGHT(Tabla11[[#This Row],[Comercial]],4)</f>
        <v>1123</v>
      </c>
      <c r="N11" t="str">
        <f>LEFT(Tabla11[[#This Row],[Minuscula]],6)</f>
        <v xml:space="preserve">mario </v>
      </c>
    </row>
    <row r="12" spans="1:14">
      <c r="A12" s="226">
        <v>1011</v>
      </c>
      <c r="B12" s="224">
        <v>44202</v>
      </c>
      <c r="C12" s="207" t="s">
        <v>1496</v>
      </c>
      <c r="D12" s="207" t="s">
        <v>1502</v>
      </c>
      <c r="E12" s="207" t="s">
        <v>525</v>
      </c>
      <c r="F12" s="225">
        <v>10</v>
      </c>
      <c r="G12" s="225">
        <v>2.1</v>
      </c>
      <c r="H12" s="225">
        <v>12.1</v>
      </c>
      <c r="I12" s="24" t="str">
        <f>UPPER(Tabla11[[#This Row],[Comercial]])</f>
        <v>PABLO LOPEZ 7384</v>
      </c>
      <c r="J12" s="24" t="str">
        <f>LOWER(Tabla11[[#This Row],[Comercial]])</f>
        <v>pablo lopez 7384</v>
      </c>
      <c r="K12" s="227" t="str">
        <f>PROPER(Tabla11[[#This Row],[Comercial]])</f>
        <v>Pablo Lopez 7384</v>
      </c>
      <c r="L12" t="s">
        <v>1508</v>
      </c>
      <c r="M12" t="str">
        <f>RIGHT(Tabla11[[#This Row],[Comercial]],4)</f>
        <v>7384</v>
      </c>
      <c r="N12" t="str">
        <f>LEFT(Tabla11[[#This Row],[Minuscula]],6)</f>
        <v xml:space="preserve">pablo </v>
      </c>
    </row>
    <row r="13" spans="1:14">
      <c r="A13" s="226">
        <v>1012</v>
      </c>
      <c r="B13" s="224">
        <v>44203</v>
      </c>
      <c r="C13" s="207" t="s">
        <v>1496</v>
      </c>
      <c r="D13" s="207" t="s">
        <v>1502</v>
      </c>
      <c r="E13" s="207" t="s">
        <v>525</v>
      </c>
      <c r="F13" s="225">
        <v>6</v>
      </c>
      <c r="G13" s="225">
        <v>1.26</v>
      </c>
      <c r="H13" s="225">
        <v>7.26</v>
      </c>
      <c r="I13" s="24" t="str">
        <f>UPPER(Tabla11[[#This Row],[Comercial]])</f>
        <v>PABLO LOPEZ 7384</v>
      </c>
      <c r="J13" s="24" t="str">
        <f>LOWER(Tabla11[[#This Row],[Comercial]])</f>
        <v>pablo lopez 7384</v>
      </c>
      <c r="K13" s="227" t="str">
        <f>PROPER(Tabla11[[#This Row],[Comercial]])</f>
        <v>Pablo Lopez 7384</v>
      </c>
      <c r="L13" t="s">
        <v>1508</v>
      </c>
      <c r="M13" t="str">
        <f>RIGHT(Tabla11[[#This Row],[Comercial]],4)</f>
        <v>7384</v>
      </c>
      <c r="N13" t="str">
        <f>LEFT(Tabla11[[#This Row],[Minuscula]],6)</f>
        <v xml:space="preserve">pablo </v>
      </c>
    </row>
    <row r="14" spans="1:14">
      <c r="A14" s="226">
        <v>1013</v>
      </c>
      <c r="B14" s="224">
        <v>44203</v>
      </c>
      <c r="C14" s="207" t="s">
        <v>1495</v>
      </c>
      <c r="D14" s="207" t="s">
        <v>1503</v>
      </c>
      <c r="E14" s="207" t="s">
        <v>534</v>
      </c>
      <c r="F14" s="225">
        <v>6</v>
      </c>
      <c r="G14" s="225">
        <v>1.26</v>
      </c>
      <c r="H14" s="225">
        <v>7.26</v>
      </c>
      <c r="I14" s="24" t="str">
        <f>UPPER(Tabla11[[#This Row],[Comercial]])</f>
        <v>LUIS VALLE 5431</v>
      </c>
      <c r="J14" s="24" t="str">
        <f>LOWER(Tabla11[[#This Row],[Comercial]])</f>
        <v>luis valle 5431</v>
      </c>
      <c r="K14" s="227" t="str">
        <f>PROPER(Tabla11[[#This Row],[Comercial]])</f>
        <v>Luis Valle 5431</v>
      </c>
      <c r="L14" t="s">
        <v>1507</v>
      </c>
      <c r="M14" t="str">
        <f>RIGHT(Tabla11[[#This Row],[Comercial]],4)</f>
        <v>5431</v>
      </c>
      <c r="N14" t="str">
        <f>LEFT(Tabla11[[#This Row],[Minuscula]],6)</f>
        <v>luis v</v>
      </c>
    </row>
    <row r="15" spans="1:14">
      <c r="A15" s="226">
        <v>1014</v>
      </c>
      <c r="B15" s="224">
        <v>44205</v>
      </c>
      <c r="C15" s="207" t="s">
        <v>1504</v>
      </c>
      <c r="D15" s="207" t="s">
        <v>1499</v>
      </c>
      <c r="E15" s="207" t="s">
        <v>520</v>
      </c>
      <c r="F15" s="225">
        <v>484</v>
      </c>
      <c r="G15" s="225">
        <v>101.64</v>
      </c>
      <c r="H15" s="225">
        <v>585.64</v>
      </c>
      <c r="I15" s="24" t="str">
        <f>UPPER(Tabla11[[#This Row],[Comercial]])</f>
        <v>MARIA GARCIA 1254</v>
      </c>
      <c r="J15" s="24" t="str">
        <f>LOWER(Tabla11[[#This Row],[Comercial]])</f>
        <v>maria garcia 1254</v>
      </c>
      <c r="K15" s="227" t="str">
        <f>PROPER(Tabla11[[#This Row],[Comercial]])</f>
        <v>Maria Garcia 1254</v>
      </c>
      <c r="L15" t="s">
        <v>1506</v>
      </c>
      <c r="M15" t="str">
        <f>RIGHT(Tabla11[[#This Row],[Comercial]],4)</f>
        <v>1254</v>
      </c>
      <c r="N15" t="str">
        <f>LEFT(Tabla11[[#This Row],[Minuscula]],6)</f>
        <v xml:space="preserve">maria </v>
      </c>
    </row>
    <row r="16" spans="1:14">
      <c r="A16" s="226">
        <v>1015</v>
      </c>
      <c r="B16" s="224">
        <v>44207</v>
      </c>
      <c r="C16" s="207" t="s">
        <v>1496</v>
      </c>
      <c r="D16" s="207" t="s">
        <v>1503</v>
      </c>
      <c r="E16" s="207" t="s">
        <v>530</v>
      </c>
      <c r="F16" s="225">
        <v>26</v>
      </c>
      <c r="G16" s="225">
        <v>5.46</v>
      </c>
      <c r="H16" s="225">
        <v>31.46</v>
      </c>
      <c r="I16" s="24" t="str">
        <f>UPPER(Tabla11[[#This Row],[Comercial]])</f>
        <v>PABLO LOPEZ 7384</v>
      </c>
      <c r="J16" s="24" t="str">
        <f>LOWER(Tabla11[[#This Row],[Comercial]])</f>
        <v>pablo lopez 7384</v>
      </c>
      <c r="K16" s="227" t="str">
        <f>PROPER(Tabla11[[#This Row],[Comercial]])</f>
        <v>Pablo Lopez 7384</v>
      </c>
      <c r="L16" t="s">
        <v>1508</v>
      </c>
      <c r="M16" t="str">
        <f>RIGHT(Tabla11[[#This Row],[Comercial]],4)</f>
        <v>7384</v>
      </c>
      <c r="N16" t="str">
        <f>LEFT(Tabla11[[#This Row],[Minuscula]],6)</f>
        <v xml:space="preserve">pablo </v>
      </c>
    </row>
    <row r="17" spans="1:14">
      <c r="A17" s="226">
        <v>1016</v>
      </c>
      <c r="B17" s="224">
        <v>44208</v>
      </c>
      <c r="C17" s="207" t="s">
        <v>1495</v>
      </c>
      <c r="D17" s="207" t="s">
        <v>1499</v>
      </c>
      <c r="E17" s="207" t="s">
        <v>525</v>
      </c>
      <c r="F17" s="225">
        <v>18</v>
      </c>
      <c r="G17" s="225">
        <v>3.78</v>
      </c>
      <c r="H17" s="225">
        <v>21.78</v>
      </c>
      <c r="I17" s="24" t="str">
        <f>UPPER(Tabla11[[#This Row],[Comercial]])</f>
        <v>LUIS VALLE 5431</v>
      </c>
      <c r="J17" s="24" t="str">
        <f>LOWER(Tabla11[[#This Row],[Comercial]])</f>
        <v>luis valle 5431</v>
      </c>
      <c r="K17" s="227" t="str">
        <f>PROPER(Tabla11[[#This Row],[Comercial]])</f>
        <v>Luis Valle 5431</v>
      </c>
      <c r="L17" t="s">
        <v>1507</v>
      </c>
      <c r="M17" t="str">
        <f>RIGHT(Tabla11[[#This Row],[Comercial]],4)</f>
        <v>5431</v>
      </c>
      <c r="N17" t="str">
        <f>LEFT(Tabla11[[#This Row],[Minuscula]],6)</f>
        <v>luis v</v>
      </c>
    </row>
    <row r="18" spans="1:14">
      <c r="A18" s="226">
        <v>1017</v>
      </c>
      <c r="B18" s="224">
        <v>44208</v>
      </c>
      <c r="C18" s="207" t="s">
        <v>1504</v>
      </c>
      <c r="D18" s="207" t="s">
        <v>1499</v>
      </c>
      <c r="E18" s="207" t="s">
        <v>530</v>
      </c>
      <c r="F18" s="225">
        <v>13</v>
      </c>
      <c r="G18" s="225">
        <v>2.73</v>
      </c>
      <c r="H18" s="225">
        <v>15.73</v>
      </c>
      <c r="I18" s="24" t="str">
        <f>UPPER(Tabla11[[#This Row],[Comercial]])</f>
        <v>MARIA GARCIA 1254</v>
      </c>
      <c r="J18" s="24" t="str">
        <f>LOWER(Tabla11[[#This Row],[Comercial]])</f>
        <v>maria garcia 1254</v>
      </c>
      <c r="K18" s="227" t="str">
        <f>PROPER(Tabla11[[#This Row],[Comercial]])</f>
        <v>Maria Garcia 1254</v>
      </c>
      <c r="L18" t="s">
        <v>1506</v>
      </c>
      <c r="M18" t="str">
        <f>RIGHT(Tabla11[[#This Row],[Comercial]],4)</f>
        <v>1254</v>
      </c>
      <c r="N18" t="str">
        <f>LEFT(Tabla11[[#This Row],[Minuscula]],6)</f>
        <v xml:space="preserve">maria </v>
      </c>
    </row>
    <row r="19" spans="1:14">
      <c r="A19" s="226">
        <v>1018</v>
      </c>
      <c r="B19" s="224">
        <v>44209</v>
      </c>
      <c r="C19" s="207" t="s">
        <v>1501</v>
      </c>
      <c r="D19" s="207" t="s">
        <v>1499</v>
      </c>
      <c r="E19" s="207" t="s">
        <v>520</v>
      </c>
      <c r="F19" s="225">
        <v>322</v>
      </c>
      <c r="G19" s="225">
        <v>67.62</v>
      </c>
      <c r="H19" s="225">
        <v>389.62</v>
      </c>
      <c r="I19" s="24" t="str">
        <f>UPPER(Tabla11[[#This Row],[Comercial]])</f>
        <v>MARIO PEREZ 1123</v>
      </c>
      <c r="J19" s="24" t="str">
        <f>LOWER(Tabla11[[#This Row],[Comercial]])</f>
        <v>mario perez 1123</v>
      </c>
      <c r="K19" s="227" t="str">
        <f>PROPER(Tabla11[[#This Row],[Comercial]])</f>
        <v>Mario Perez 1123</v>
      </c>
      <c r="L19" t="s">
        <v>1510</v>
      </c>
      <c r="M19" t="str">
        <f>RIGHT(Tabla11[[#This Row],[Comercial]],4)</f>
        <v>1123</v>
      </c>
      <c r="N19" t="str">
        <f>LEFT(Tabla11[[#This Row],[Minuscula]],6)</f>
        <v xml:space="preserve">mario </v>
      </c>
    </row>
    <row r="20" spans="1:14">
      <c r="A20" s="226">
        <v>1019</v>
      </c>
      <c r="B20" s="224">
        <v>44209</v>
      </c>
      <c r="C20" s="207" t="s">
        <v>1504</v>
      </c>
      <c r="D20" s="207" t="s">
        <v>1499</v>
      </c>
      <c r="E20" s="207" t="s">
        <v>520</v>
      </c>
      <c r="F20" s="225">
        <v>185</v>
      </c>
      <c r="G20" s="225">
        <v>38.85</v>
      </c>
      <c r="H20" s="225">
        <v>223.85</v>
      </c>
      <c r="I20" s="24" t="str">
        <f>UPPER(Tabla11[[#This Row],[Comercial]])</f>
        <v>MARIA GARCIA 1254</v>
      </c>
      <c r="J20" s="24" t="str">
        <f>LOWER(Tabla11[[#This Row],[Comercial]])</f>
        <v>maria garcia 1254</v>
      </c>
      <c r="K20" s="227" t="str">
        <f>PROPER(Tabla11[[#This Row],[Comercial]])</f>
        <v>Maria Garcia 1254</v>
      </c>
      <c r="L20" t="s">
        <v>1506</v>
      </c>
      <c r="M20" t="str">
        <f>RIGHT(Tabla11[[#This Row],[Comercial]],4)</f>
        <v>1254</v>
      </c>
      <c r="N20" t="str">
        <f>LEFT(Tabla11[[#This Row],[Minuscula]],6)</f>
        <v xml:space="preserve">maria </v>
      </c>
    </row>
    <row r="21" spans="1:14">
      <c r="A21" s="226">
        <v>1020</v>
      </c>
      <c r="B21" s="224">
        <v>44211</v>
      </c>
      <c r="C21" s="207" t="s">
        <v>1496</v>
      </c>
      <c r="D21" s="207" t="s">
        <v>1494</v>
      </c>
      <c r="E21" s="207" t="s">
        <v>530</v>
      </c>
      <c r="F21" s="225">
        <v>46</v>
      </c>
      <c r="G21" s="225">
        <v>9.66</v>
      </c>
      <c r="H21" s="225">
        <v>55.66</v>
      </c>
      <c r="I21" s="24" t="str">
        <f>UPPER(Tabla11[[#This Row],[Comercial]])</f>
        <v>PABLO LOPEZ 7384</v>
      </c>
      <c r="J21" s="24" t="str">
        <f>LOWER(Tabla11[[#This Row],[Comercial]])</f>
        <v>pablo lopez 7384</v>
      </c>
      <c r="K21" s="227" t="str">
        <f>PROPER(Tabla11[[#This Row],[Comercial]])</f>
        <v>Pablo Lopez 7384</v>
      </c>
      <c r="L21" t="s">
        <v>1508</v>
      </c>
      <c r="M21" t="str">
        <f>RIGHT(Tabla11[[#This Row],[Comercial]],4)</f>
        <v>7384</v>
      </c>
      <c r="N21" t="str">
        <f>LEFT(Tabla11[[#This Row],[Minuscula]],6)</f>
        <v xml:space="preserve">pablo </v>
      </c>
    </row>
    <row r="22" spans="1:14">
      <c r="A22" s="226">
        <v>1021</v>
      </c>
      <c r="B22" s="224">
        <v>44215</v>
      </c>
      <c r="C22" s="207" t="s">
        <v>1496</v>
      </c>
      <c r="D22" s="207" t="s">
        <v>1502</v>
      </c>
      <c r="E22" s="207" t="s">
        <v>534</v>
      </c>
      <c r="F22" s="225">
        <v>7</v>
      </c>
      <c r="G22" s="225">
        <v>1.47</v>
      </c>
      <c r="H22" s="225">
        <v>8.4700000000000006</v>
      </c>
      <c r="I22" s="24" t="str">
        <f>UPPER(Tabla11[[#This Row],[Comercial]])</f>
        <v>PABLO LOPEZ 7384</v>
      </c>
      <c r="J22" s="24" t="str">
        <f>LOWER(Tabla11[[#This Row],[Comercial]])</f>
        <v>pablo lopez 7384</v>
      </c>
      <c r="K22" s="227" t="str">
        <f>PROPER(Tabla11[[#This Row],[Comercial]])</f>
        <v>Pablo Lopez 7384</v>
      </c>
      <c r="L22" t="s">
        <v>1508</v>
      </c>
      <c r="M22" t="str">
        <f>RIGHT(Tabla11[[#This Row],[Comercial]],4)</f>
        <v>7384</v>
      </c>
      <c r="N22" t="str">
        <f>LEFT(Tabla11[[#This Row],[Minuscula]],6)</f>
        <v xml:space="preserve">pablo </v>
      </c>
    </row>
    <row r="23" spans="1:14">
      <c r="A23" s="226">
        <v>1022</v>
      </c>
      <c r="B23" s="224">
        <v>44215</v>
      </c>
      <c r="C23" s="207" t="s">
        <v>1504</v>
      </c>
      <c r="D23" s="207" t="s">
        <v>1494</v>
      </c>
      <c r="E23" s="207" t="s">
        <v>525</v>
      </c>
      <c r="F23" s="225">
        <v>27</v>
      </c>
      <c r="G23" s="225">
        <v>5.67</v>
      </c>
      <c r="H23" s="225">
        <v>32.67</v>
      </c>
      <c r="I23" s="24" t="str">
        <f>UPPER(Tabla11[[#This Row],[Comercial]])</f>
        <v>MARIA GARCIA 1254</v>
      </c>
      <c r="J23" s="24" t="str">
        <f>LOWER(Tabla11[[#This Row],[Comercial]])</f>
        <v>maria garcia 1254</v>
      </c>
      <c r="K23" s="227" t="str">
        <f>PROPER(Tabla11[[#This Row],[Comercial]])</f>
        <v>Maria Garcia 1254</v>
      </c>
      <c r="L23" t="s">
        <v>1506</v>
      </c>
      <c r="M23" t="str">
        <f>RIGHT(Tabla11[[#This Row],[Comercial]],4)</f>
        <v>1254</v>
      </c>
      <c r="N23" t="str">
        <f>LEFT(Tabla11[[#This Row],[Minuscula]],6)</f>
        <v xml:space="preserve">maria </v>
      </c>
    </row>
    <row r="24" spans="1:14">
      <c r="A24" s="226">
        <v>1023</v>
      </c>
      <c r="B24" s="224">
        <v>44215</v>
      </c>
      <c r="C24" s="207" t="s">
        <v>1500</v>
      </c>
      <c r="D24" s="207" t="s">
        <v>1494</v>
      </c>
      <c r="E24" s="207" t="s">
        <v>534</v>
      </c>
      <c r="F24" s="225">
        <v>8</v>
      </c>
      <c r="G24" s="225">
        <v>1.68</v>
      </c>
      <c r="H24" s="225">
        <v>9.68</v>
      </c>
      <c r="I24" s="24" t="str">
        <f>UPPER(Tabla11[[#This Row],[Comercial]])</f>
        <v>ANA FERNANDEZZ 4321</v>
      </c>
      <c r="J24" s="24" t="str">
        <f>LOWER(Tabla11[[#This Row],[Comercial]])</f>
        <v>ana fernandezz 4321</v>
      </c>
      <c r="K24" s="227" t="str">
        <f>PROPER(Tabla11[[#This Row],[Comercial]])</f>
        <v>Ana Fernandezz 4321</v>
      </c>
      <c r="L24" t="s">
        <v>1509</v>
      </c>
      <c r="M24" t="str">
        <f>RIGHT(Tabla11[[#This Row],[Comercial]],4)</f>
        <v>4321</v>
      </c>
      <c r="N24" t="str">
        <f>LEFT(Tabla11[[#This Row],[Minuscula]],6)</f>
        <v>ana fe</v>
      </c>
    </row>
    <row r="25" spans="1:14">
      <c r="A25" s="226">
        <v>1024</v>
      </c>
      <c r="B25" s="224">
        <v>44216</v>
      </c>
      <c r="C25" s="207" t="s">
        <v>1495</v>
      </c>
      <c r="D25" s="207" t="s">
        <v>1494</v>
      </c>
      <c r="E25" s="207" t="s">
        <v>520</v>
      </c>
      <c r="F25" s="225">
        <v>677</v>
      </c>
      <c r="G25" s="225">
        <v>142.16999999999999</v>
      </c>
      <c r="H25" s="225">
        <v>819.17</v>
      </c>
      <c r="I25" s="24" t="str">
        <f>UPPER(Tabla11[[#This Row],[Comercial]])</f>
        <v>LUIS VALLE 5431</v>
      </c>
      <c r="J25" s="24" t="str">
        <f>LOWER(Tabla11[[#This Row],[Comercial]])</f>
        <v>luis valle 5431</v>
      </c>
      <c r="K25" s="227" t="str">
        <f>PROPER(Tabla11[[#This Row],[Comercial]])</f>
        <v>Luis Valle 5431</v>
      </c>
      <c r="L25" t="s">
        <v>1507</v>
      </c>
      <c r="M25" t="str">
        <f>RIGHT(Tabla11[[#This Row],[Comercial]],4)</f>
        <v>5431</v>
      </c>
      <c r="N25" t="str">
        <f>LEFT(Tabla11[[#This Row],[Minuscula]],6)</f>
        <v>luis v</v>
      </c>
    </row>
    <row r="26" spans="1:14">
      <c r="A26" s="226">
        <v>1025</v>
      </c>
      <c r="B26" s="224">
        <v>44218</v>
      </c>
      <c r="C26" s="207" t="s">
        <v>1496</v>
      </c>
      <c r="D26" s="207" t="s">
        <v>1497</v>
      </c>
      <c r="E26" s="207" t="s">
        <v>525</v>
      </c>
      <c r="F26" s="225">
        <v>19</v>
      </c>
      <c r="G26" s="225">
        <v>3.99</v>
      </c>
      <c r="H26" s="225">
        <v>22.99</v>
      </c>
      <c r="I26" s="24" t="str">
        <f>UPPER(Tabla11[[#This Row],[Comercial]])</f>
        <v>PABLO LOPEZ 7384</v>
      </c>
      <c r="J26" s="24" t="str">
        <f>LOWER(Tabla11[[#This Row],[Comercial]])</f>
        <v>pablo lopez 7384</v>
      </c>
      <c r="K26" s="227" t="str">
        <f>PROPER(Tabla11[[#This Row],[Comercial]])</f>
        <v>Pablo Lopez 7384</v>
      </c>
      <c r="L26" t="s">
        <v>1508</v>
      </c>
      <c r="M26" t="str">
        <f>RIGHT(Tabla11[[#This Row],[Comercial]],4)</f>
        <v>7384</v>
      </c>
      <c r="N26" t="str">
        <f>LEFT(Tabla11[[#This Row],[Minuscula]],6)</f>
        <v xml:space="preserve">pablo </v>
      </c>
    </row>
    <row r="27" spans="1:14">
      <c r="A27" s="226">
        <v>1026</v>
      </c>
      <c r="B27" s="224">
        <v>44219</v>
      </c>
      <c r="C27" s="207" t="s">
        <v>1495</v>
      </c>
      <c r="D27" s="207" t="s">
        <v>1499</v>
      </c>
      <c r="E27" s="207" t="s">
        <v>525</v>
      </c>
      <c r="F27" s="225">
        <v>14</v>
      </c>
      <c r="G27" s="225">
        <v>2.94</v>
      </c>
      <c r="H27" s="225">
        <v>16.940000000000001</v>
      </c>
      <c r="I27" s="24" t="str">
        <f>UPPER(Tabla11[[#This Row],[Comercial]])</f>
        <v>LUIS VALLE 5431</v>
      </c>
      <c r="J27" s="24" t="str">
        <f>LOWER(Tabla11[[#This Row],[Comercial]])</f>
        <v>luis valle 5431</v>
      </c>
      <c r="K27" s="227" t="str">
        <f>PROPER(Tabla11[[#This Row],[Comercial]])</f>
        <v>Luis Valle 5431</v>
      </c>
      <c r="L27" t="s">
        <v>1507</v>
      </c>
      <c r="M27" t="str">
        <f>RIGHT(Tabla11[[#This Row],[Comercial]],4)</f>
        <v>5431</v>
      </c>
      <c r="N27" t="str">
        <f>LEFT(Tabla11[[#This Row],[Minuscula]],6)</f>
        <v>luis v</v>
      </c>
    </row>
    <row r="28" spans="1:14">
      <c r="A28" s="226">
        <v>1027</v>
      </c>
      <c r="B28" s="224">
        <v>44219</v>
      </c>
      <c r="C28" s="207" t="s">
        <v>1504</v>
      </c>
      <c r="D28" s="207" t="s">
        <v>1494</v>
      </c>
      <c r="E28" s="207" t="s">
        <v>534</v>
      </c>
      <c r="F28" s="225">
        <v>7</v>
      </c>
      <c r="G28" s="225">
        <v>1.47</v>
      </c>
      <c r="H28" s="225">
        <v>8.4700000000000006</v>
      </c>
      <c r="I28" s="24" t="str">
        <f>UPPER(Tabla11[[#This Row],[Comercial]])</f>
        <v>MARIA GARCIA 1254</v>
      </c>
      <c r="J28" s="24" t="str">
        <f>LOWER(Tabla11[[#This Row],[Comercial]])</f>
        <v>maria garcia 1254</v>
      </c>
      <c r="K28" s="227" t="str">
        <f>PROPER(Tabla11[[#This Row],[Comercial]])</f>
        <v>Maria Garcia 1254</v>
      </c>
      <c r="L28" t="s">
        <v>1506</v>
      </c>
      <c r="M28" t="str">
        <f>RIGHT(Tabla11[[#This Row],[Comercial]],4)</f>
        <v>1254</v>
      </c>
      <c r="N28" t="str">
        <f>LEFT(Tabla11[[#This Row],[Minuscula]],6)</f>
        <v xml:space="preserve">maria </v>
      </c>
    </row>
    <row r="29" spans="1:14">
      <c r="A29" s="226">
        <v>1028</v>
      </c>
      <c r="B29" s="224">
        <v>44219</v>
      </c>
      <c r="C29" s="207" t="s">
        <v>1500</v>
      </c>
      <c r="D29" s="207" t="s">
        <v>1497</v>
      </c>
      <c r="E29" s="207" t="s">
        <v>520</v>
      </c>
      <c r="F29" s="225">
        <v>454</v>
      </c>
      <c r="G29" s="225">
        <v>95.34</v>
      </c>
      <c r="H29" s="225">
        <v>549.34</v>
      </c>
      <c r="I29" s="24" t="str">
        <f>UPPER(Tabla11[[#This Row],[Comercial]])</f>
        <v>ANA FERNANDEZZ 4321</v>
      </c>
      <c r="J29" s="24" t="str">
        <f>LOWER(Tabla11[[#This Row],[Comercial]])</f>
        <v>ana fernandezz 4321</v>
      </c>
      <c r="K29" s="227" t="str">
        <f>PROPER(Tabla11[[#This Row],[Comercial]])</f>
        <v>Ana Fernandezz 4321</v>
      </c>
      <c r="L29" t="s">
        <v>1509</v>
      </c>
      <c r="M29" t="str">
        <f>RIGHT(Tabla11[[#This Row],[Comercial]],4)</f>
        <v>4321</v>
      </c>
      <c r="N29" t="str">
        <f>LEFT(Tabla11[[#This Row],[Minuscula]],6)</f>
        <v>ana fe</v>
      </c>
    </row>
    <row r="30" spans="1:14">
      <c r="A30" s="226">
        <v>1029</v>
      </c>
      <c r="B30" s="224">
        <v>44220</v>
      </c>
      <c r="C30" s="207" t="s">
        <v>1500</v>
      </c>
      <c r="D30" s="207" t="s">
        <v>1502</v>
      </c>
      <c r="E30" s="207" t="s">
        <v>520</v>
      </c>
      <c r="F30" s="225">
        <v>342</v>
      </c>
      <c r="G30" s="225">
        <v>71.819999999999993</v>
      </c>
      <c r="H30" s="225">
        <v>413.82</v>
      </c>
      <c r="I30" s="24" t="str">
        <f>UPPER(Tabla11[[#This Row],[Comercial]])</f>
        <v>ANA FERNANDEZZ 4321</v>
      </c>
      <c r="J30" s="24" t="str">
        <f>LOWER(Tabla11[[#This Row],[Comercial]])</f>
        <v>ana fernandezz 4321</v>
      </c>
      <c r="K30" s="227" t="str">
        <f>PROPER(Tabla11[[#This Row],[Comercial]])</f>
        <v>Ana Fernandezz 4321</v>
      </c>
      <c r="L30" t="s">
        <v>1509</v>
      </c>
      <c r="M30" t="str">
        <f>RIGHT(Tabla11[[#This Row],[Comercial]],4)</f>
        <v>4321</v>
      </c>
      <c r="N30" t="str">
        <f>LEFT(Tabla11[[#This Row],[Minuscula]],6)</f>
        <v>ana fe</v>
      </c>
    </row>
    <row r="31" spans="1:14">
      <c r="A31" s="226">
        <v>1030</v>
      </c>
      <c r="B31" s="224">
        <v>44220</v>
      </c>
      <c r="C31" s="207" t="s">
        <v>1500</v>
      </c>
      <c r="D31" s="207" t="s">
        <v>1502</v>
      </c>
      <c r="E31" s="207" t="s">
        <v>530</v>
      </c>
      <c r="F31" s="225">
        <v>10</v>
      </c>
      <c r="G31" s="225">
        <v>2.1</v>
      </c>
      <c r="H31" s="225">
        <v>12.1</v>
      </c>
      <c r="I31" s="24" t="str">
        <f>UPPER(Tabla11[[#This Row],[Comercial]])</f>
        <v>ANA FERNANDEZZ 4321</v>
      </c>
      <c r="J31" s="24" t="str">
        <f>LOWER(Tabla11[[#This Row],[Comercial]])</f>
        <v>ana fernandezz 4321</v>
      </c>
      <c r="K31" s="227" t="str">
        <f>PROPER(Tabla11[[#This Row],[Comercial]])</f>
        <v>Ana Fernandezz 4321</v>
      </c>
      <c r="L31" t="s">
        <v>1509</v>
      </c>
      <c r="M31" t="str">
        <f>RIGHT(Tabla11[[#This Row],[Comercial]],4)</f>
        <v>4321</v>
      </c>
      <c r="N31" t="str">
        <f>LEFT(Tabla11[[#This Row],[Minuscula]],6)</f>
        <v>ana fe</v>
      </c>
    </row>
    <row r="32" spans="1:14">
      <c r="A32" s="226">
        <v>1031</v>
      </c>
      <c r="B32" s="224">
        <v>44221</v>
      </c>
      <c r="C32" s="207" t="s">
        <v>1504</v>
      </c>
      <c r="D32" s="207" t="s">
        <v>1499</v>
      </c>
      <c r="E32" s="207" t="s">
        <v>520</v>
      </c>
      <c r="F32" s="225">
        <v>177</v>
      </c>
      <c r="G32" s="225">
        <v>37.17</v>
      </c>
      <c r="H32" s="225">
        <v>214.17</v>
      </c>
      <c r="I32" s="24" t="str">
        <f>UPPER(Tabla11[[#This Row],[Comercial]])</f>
        <v>MARIA GARCIA 1254</v>
      </c>
      <c r="J32" s="24" t="str">
        <f>LOWER(Tabla11[[#This Row],[Comercial]])</f>
        <v>maria garcia 1254</v>
      </c>
      <c r="K32" s="227" t="str">
        <f>PROPER(Tabla11[[#This Row],[Comercial]])</f>
        <v>Maria Garcia 1254</v>
      </c>
      <c r="L32" t="s">
        <v>1506</v>
      </c>
      <c r="M32" t="str">
        <f>RIGHT(Tabla11[[#This Row],[Comercial]],4)</f>
        <v>1254</v>
      </c>
      <c r="N32" t="str">
        <f>LEFT(Tabla11[[#This Row],[Minuscula]],6)</f>
        <v xml:space="preserve">maria </v>
      </c>
    </row>
    <row r="33" spans="1:14">
      <c r="A33" s="226">
        <v>1032</v>
      </c>
      <c r="B33" s="224">
        <v>44222</v>
      </c>
      <c r="C33" s="207" t="s">
        <v>1504</v>
      </c>
      <c r="D33" s="207" t="s">
        <v>1497</v>
      </c>
      <c r="E33" s="207" t="s">
        <v>520</v>
      </c>
      <c r="F33" s="225">
        <v>707</v>
      </c>
      <c r="G33" s="225">
        <v>148.47</v>
      </c>
      <c r="H33" s="225">
        <v>855.47</v>
      </c>
      <c r="I33" s="24" t="str">
        <f>UPPER(Tabla11[[#This Row],[Comercial]])</f>
        <v>MARIA GARCIA 1254</v>
      </c>
      <c r="J33" s="24" t="str">
        <f>LOWER(Tabla11[[#This Row],[Comercial]])</f>
        <v>maria garcia 1254</v>
      </c>
      <c r="K33" s="227" t="str">
        <f>PROPER(Tabla11[[#This Row],[Comercial]])</f>
        <v>Maria Garcia 1254</v>
      </c>
      <c r="L33" t="s">
        <v>1506</v>
      </c>
      <c r="M33" t="str">
        <f>RIGHT(Tabla11[[#This Row],[Comercial]],4)</f>
        <v>1254</v>
      </c>
      <c r="N33" t="str">
        <f>LEFT(Tabla11[[#This Row],[Minuscula]],6)</f>
        <v xml:space="preserve">maria </v>
      </c>
    </row>
    <row r="34" spans="1:14">
      <c r="A34" s="226">
        <v>1033</v>
      </c>
      <c r="B34" s="224">
        <v>44222</v>
      </c>
      <c r="C34" s="207" t="s">
        <v>1495</v>
      </c>
      <c r="D34" s="207" t="s">
        <v>1497</v>
      </c>
      <c r="E34" s="207" t="s">
        <v>534</v>
      </c>
      <c r="F34" s="225">
        <v>7</v>
      </c>
      <c r="G34" s="225">
        <v>1.47</v>
      </c>
      <c r="H34" s="225">
        <v>8.4700000000000006</v>
      </c>
      <c r="I34" s="24" t="str">
        <f>UPPER(Tabla11[[#This Row],[Comercial]])</f>
        <v>LUIS VALLE 5431</v>
      </c>
      <c r="J34" s="24" t="str">
        <f>LOWER(Tabla11[[#This Row],[Comercial]])</f>
        <v>luis valle 5431</v>
      </c>
      <c r="K34" s="227" t="str">
        <f>PROPER(Tabla11[[#This Row],[Comercial]])</f>
        <v>Luis Valle 5431</v>
      </c>
      <c r="L34" t="s">
        <v>1507</v>
      </c>
      <c r="M34" t="str">
        <f>RIGHT(Tabla11[[#This Row],[Comercial]],4)</f>
        <v>5431</v>
      </c>
      <c r="N34" t="str">
        <f>LEFT(Tabla11[[#This Row],[Minuscula]],6)</f>
        <v>luis v</v>
      </c>
    </row>
    <row r="35" spans="1:14">
      <c r="A35" s="226">
        <v>1034</v>
      </c>
      <c r="B35" s="224">
        <v>44223</v>
      </c>
      <c r="C35" s="207" t="s">
        <v>1504</v>
      </c>
      <c r="D35" s="207" t="s">
        <v>1499</v>
      </c>
      <c r="E35" s="207" t="s">
        <v>534</v>
      </c>
      <c r="F35" s="225">
        <v>8</v>
      </c>
      <c r="G35" s="225">
        <v>1.68</v>
      </c>
      <c r="H35" s="225">
        <v>9.68</v>
      </c>
      <c r="I35" s="24" t="str">
        <f>UPPER(Tabla11[[#This Row],[Comercial]])</f>
        <v>MARIA GARCIA 1254</v>
      </c>
      <c r="J35" s="24" t="str">
        <f>LOWER(Tabla11[[#This Row],[Comercial]])</f>
        <v>maria garcia 1254</v>
      </c>
      <c r="K35" s="227" t="str">
        <f>PROPER(Tabla11[[#This Row],[Comercial]])</f>
        <v>Maria Garcia 1254</v>
      </c>
      <c r="L35" t="s">
        <v>1506</v>
      </c>
      <c r="M35" t="str">
        <f>RIGHT(Tabla11[[#This Row],[Comercial]],4)</f>
        <v>1254</v>
      </c>
      <c r="N35" t="str">
        <f>LEFT(Tabla11[[#This Row],[Minuscula]],6)</f>
        <v xml:space="preserve">maria </v>
      </c>
    </row>
    <row r="36" spans="1:14">
      <c r="A36" s="226">
        <v>1035</v>
      </c>
      <c r="B36" s="224">
        <v>44224</v>
      </c>
      <c r="C36" s="207" t="s">
        <v>1504</v>
      </c>
      <c r="D36" s="207" t="s">
        <v>1502</v>
      </c>
      <c r="E36" s="207" t="s">
        <v>530</v>
      </c>
      <c r="F36" s="225">
        <v>20</v>
      </c>
      <c r="G36" s="225">
        <v>4.2</v>
      </c>
      <c r="H36" s="225">
        <v>24.2</v>
      </c>
      <c r="I36" s="24" t="str">
        <f>UPPER(Tabla11[[#This Row],[Comercial]])</f>
        <v>MARIA GARCIA 1254</v>
      </c>
      <c r="J36" s="24" t="str">
        <f>LOWER(Tabla11[[#This Row],[Comercial]])</f>
        <v>maria garcia 1254</v>
      </c>
      <c r="K36" s="227" t="str">
        <f>PROPER(Tabla11[[#This Row],[Comercial]])</f>
        <v>Maria Garcia 1254</v>
      </c>
      <c r="L36" t="s">
        <v>1506</v>
      </c>
      <c r="M36" t="str">
        <f>RIGHT(Tabla11[[#This Row],[Comercial]],4)</f>
        <v>1254</v>
      </c>
      <c r="N36" t="str">
        <f>LEFT(Tabla11[[#This Row],[Minuscula]],6)</f>
        <v xml:space="preserve">maria </v>
      </c>
    </row>
    <row r="37" spans="1:14">
      <c r="A37" s="226">
        <v>1036</v>
      </c>
      <c r="B37" s="224">
        <v>44227</v>
      </c>
      <c r="C37" s="207" t="s">
        <v>1501</v>
      </c>
      <c r="D37" s="207" t="s">
        <v>1497</v>
      </c>
      <c r="E37" s="207" t="s">
        <v>530</v>
      </c>
      <c r="F37" s="225">
        <v>16</v>
      </c>
      <c r="G37" s="225">
        <v>3.36</v>
      </c>
      <c r="H37" s="225">
        <v>19.36</v>
      </c>
      <c r="I37" s="24" t="str">
        <f>UPPER(Tabla11[[#This Row],[Comercial]])</f>
        <v>MARIO PEREZ 1123</v>
      </c>
      <c r="J37" s="24" t="str">
        <f>LOWER(Tabla11[[#This Row],[Comercial]])</f>
        <v>mario perez 1123</v>
      </c>
      <c r="K37" s="227" t="str">
        <f>PROPER(Tabla11[[#This Row],[Comercial]])</f>
        <v>Mario Perez 1123</v>
      </c>
      <c r="L37" t="s">
        <v>1510</v>
      </c>
      <c r="M37" t="str">
        <f>RIGHT(Tabla11[[#This Row],[Comercial]],4)</f>
        <v>1123</v>
      </c>
      <c r="N37" t="str">
        <f>LEFT(Tabla11[[#This Row],[Minuscula]],6)</f>
        <v xml:space="preserve">mario </v>
      </c>
    </row>
    <row r="38" spans="1:14">
      <c r="A38" s="226">
        <v>1037</v>
      </c>
      <c r="B38" s="224">
        <v>44227</v>
      </c>
      <c r="C38" s="207" t="s">
        <v>1504</v>
      </c>
      <c r="D38" s="207" t="s">
        <v>1502</v>
      </c>
      <c r="E38" s="207" t="s">
        <v>525</v>
      </c>
      <c r="F38" s="225">
        <v>8</v>
      </c>
      <c r="G38" s="225">
        <v>1.68</v>
      </c>
      <c r="H38" s="225">
        <v>9.68</v>
      </c>
      <c r="I38" s="24" t="str">
        <f>UPPER(Tabla11[[#This Row],[Comercial]])</f>
        <v>MARIA GARCIA 1254</v>
      </c>
      <c r="J38" s="24" t="str">
        <f>LOWER(Tabla11[[#This Row],[Comercial]])</f>
        <v>maria garcia 1254</v>
      </c>
      <c r="K38" s="227" t="str">
        <f>PROPER(Tabla11[[#This Row],[Comercial]])</f>
        <v>Maria Garcia 1254</v>
      </c>
      <c r="L38" t="s">
        <v>1506</v>
      </c>
      <c r="M38" t="str">
        <f>RIGHT(Tabla11[[#This Row],[Comercial]],4)</f>
        <v>1254</v>
      </c>
      <c r="N38" t="str">
        <f>LEFT(Tabla11[[#This Row],[Minuscula]],6)</f>
        <v xml:space="preserve">maria </v>
      </c>
    </row>
    <row r="39" spans="1:14">
      <c r="A39" s="226">
        <v>1038</v>
      </c>
      <c r="B39" s="224">
        <v>44228</v>
      </c>
      <c r="C39" s="207" t="s">
        <v>1500</v>
      </c>
      <c r="D39" s="207" t="s">
        <v>1499</v>
      </c>
      <c r="E39" s="207" t="s">
        <v>520</v>
      </c>
      <c r="F39" s="225">
        <v>267</v>
      </c>
      <c r="G39" s="225">
        <v>56.07</v>
      </c>
      <c r="H39" s="225">
        <v>323.07</v>
      </c>
      <c r="I39" s="24" t="str">
        <f>UPPER(Tabla11[[#This Row],[Comercial]])</f>
        <v>ANA FERNANDEZZ 4321</v>
      </c>
      <c r="J39" s="24" t="str">
        <f>LOWER(Tabla11[[#This Row],[Comercial]])</f>
        <v>ana fernandezz 4321</v>
      </c>
      <c r="K39" s="227" t="str">
        <f>PROPER(Tabla11[[#This Row],[Comercial]])</f>
        <v>Ana Fernandezz 4321</v>
      </c>
      <c r="L39" t="s">
        <v>1509</v>
      </c>
      <c r="M39" t="str">
        <f>RIGHT(Tabla11[[#This Row],[Comercial]],4)</f>
        <v>4321</v>
      </c>
      <c r="N39" t="str">
        <f>LEFT(Tabla11[[#This Row],[Minuscula]],6)</f>
        <v>ana fe</v>
      </c>
    </row>
    <row r="40" spans="1:14">
      <c r="A40" s="226">
        <v>1039</v>
      </c>
      <c r="B40" s="224">
        <v>44229</v>
      </c>
      <c r="C40" s="207" t="s">
        <v>1495</v>
      </c>
      <c r="D40" s="207" t="s">
        <v>1503</v>
      </c>
      <c r="E40" s="207" t="s">
        <v>534</v>
      </c>
      <c r="F40" s="225">
        <v>10</v>
      </c>
      <c r="G40" s="225">
        <v>2.1</v>
      </c>
      <c r="H40" s="225">
        <v>12.1</v>
      </c>
      <c r="I40" s="24" t="str">
        <f>UPPER(Tabla11[[#This Row],[Comercial]])</f>
        <v>LUIS VALLE 5431</v>
      </c>
      <c r="J40" s="24" t="str">
        <f>LOWER(Tabla11[[#This Row],[Comercial]])</f>
        <v>luis valle 5431</v>
      </c>
      <c r="K40" s="227" t="str">
        <f>PROPER(Tabla11[[#This Row],[Comercial]])</f>
        <v>Luis Valle 5431</v>
      </c>
      <c r="L40" t="s">
        <v>1507</v>
      </c>
      <c r="M40" t="str">
        <f>RIGHT(Tabla11[[#This Row],[Comercial]],4)</f>
        <v>5431</v>
      </c>
      <c r="N40" t="str">
        <f>LEFT(Tabla11[[#This Row],[Minuscula]],6)</f>
        <v>luis v</v>
      </c>
    </row>
    <row r="41" spans="1:14">
      <c r="A41" s="226">
        <v>1040</v>
      </c>
      <c r="B41" s="224">
        <v>44230</v>
      </c>
      <c r="C41" s="207" t="s">
        <v>1500</v>
      </c>
      <c r="D41" s="207" t="s">
        <v>1494</v>
      </c>
      <c r="E41" s="207" t="s">
        <v>534</v>
      </c>
      <c r="F41" s="225">
        <v>10</v>
      </c>
      <c r="G41" s="225">
        <v>2.1</v>
      </c>
      <c r="H41" s="225">
        <v>12.1</v>
      </c>
      <c r="I41" s="24" t="str">
        <f>UPPER(Tabla11[[#This Row],[Comercial]])</f>
        <v>ANA FERNANDEZZ 4321</v>
      </c>
      <c r="J41" s="24" t="str">
        <f>LOWER(Tabla11[[#This Row],[Comercial]])</f>
        <v>ana fernandezz 4321</v>
      </c>
      <c r="K41" s="227" t="str">
        <f>PROPER(Tabla11[[#This Row],[Comercial]])</f>
        <v>Ana Fernandezz 4321</v>
      </c>
      <c r="L41" t="s">
        <v>1509</v>
      </c>
      <c r="M41" t="str">
        <f>RIGHT(Tabla11[[#This Row],[Comercial]],4)</f>
        <v>4321</v>
      </c>
      <c r="N41" t="str">
        <f>LEFT(Tabla11[[#This Row],[Minuscula]],6)</f>
        <v>ana fe</v>
      </c>
    </row>
    <row r="42" spans="1:14">
      <c r="A42" s="226">
        <v>1041</v>
      </c>
      <c r="B42" s="224">
        <v>44231</v>
      </c>
      <c r="C42" s="207" t="s">
        <v>1500</v>
      </c>
      <c r="D42" s="207" t="s">
        <v>1499</v>
      </c>
      <c r="E42" s="207" t="s">
        <v>520</v>
      </c>
      <c r="F42" s="225">
        <v>345</v>
      </c>
      <c r="G42" s="225">
        <v>72.45</v>
      </c>
      <c r="H42" s="225">
        <v>417.45</v>
      </c>
      <c r="I42" s="24" t="str">
        <f>UPPER(Tabla11[[#This Row],[Comercial]])</f>
        <v>ANA FERNANDEZZ 4321</v>
      </c>
      <c r="J42" s="24" t="str">
        <f>LOWER(Tabla11[[#This Row],[Comercial]])</f>
        <v>ana fernandezz 4321</v>
      </c>
      <c r="K42" s="227" t="str">
        <f>PROPER(Tabla11[[#This Row],[Comercial]])</f>
        <v>Ana Fernandezz 4321</v>
      </c>
      <c r="L42" t="s">
        <v>1509</v>
      </c>
      <c r="M42" t="str">
        <f>RIGHT(Tabla11[[#This Row],[Comercial]],4)</f>
        <v>4321</v>
      </c>
      <c r="N42" t="str">
        <f>LEFT(Tabla11[[#This Row],[Minuscula]],6)</f>
        <v>ana fe</v>
      </c>
    </row>
    <row r="43" spans="1:14">
      <c r="A43" s="226">
        <v>1042</v>
      </c>
      <c r="B43" s="224">
        <v>44231</v>
      </c>
      <c r="C43" s="207" t="s">
        <v>1501</v>
      </c>
      <c r="D43" s="207" t="s">
        <v>1494</v>
      </c>
      <c r="E43" s="207" t="s">
        <v>525</v>
      </c>
      <c r="F43" s="225">
        <v>25</v>
      </c>
      <c r="G43" s="225">
        <v>5.25</v>
      </c>
      <c r="H43" s="225">
        <v>30.25</v>
      </c>
      <c r="I43" s="24" t="str">
        <f>UPPER(Tabla11[[#This Row],[Comercial]])</f>
        <v>MARIO PEREZ 1123</v>
      </c>
      <c r="J43" s="24" t="str">
        <f>LOWER(Tabla11[[#This Row],[Comercial]])</f>
        <v>mario perez 1123</v>
      </c>
      <c r="K43" s="227" t="str">
        <f>PROPER(Tabla11[[#This Row],[Comercial]])</f>
        <v>Mario Perez 1123</v>
      </c>
      <c r="L43" t="s">
        <v>1510</v>
      </c>
      <c r="M43" t="str">
        <f>RIGHT(Tabla11[[#This Row],[Comercial]],4)</f>
        <v>1123</v>
      </c>
      <c r="N43" t="str">
        <f>LEFT(Tabla11[[#This Row],[Minuscula]],6)</f>
        <v xml:space="preserve">mario </v>
      </c>
    </row>
    <row r="44" spans="1:14">
      <c r="A44" s="226">
        <v>1043</v>
      </c>
      <c r="B44" s="224">
        <v>44231</v>
      </c>
      <c r="C44" s="207" t="s">
        <v>1500</v>
      </c>
      <c r="D44" s="207" t="s">
        <v>1494</v>
      </c>
      <c r="E44" s="207" t="s">
        <v>525</v>
      </c>
      <c r="F44" s="225">
        <v>30</v>
      </c>
      <c r="G44" s="225">
        <v>6.3</v>
      </c>
      <c r="H44" s="225">
        <v>36.299999999999997</v>
      </c>
      <c r="I44" s="24" t="str">
        <f>UPPER(Tabla11[[#This Row],[Comercial]])</f>
        <v>ANA FERNANDEZZ 4321</v>
      </c>
      <c r="J44" s="24" t="str">
        <f>LOWER(Tabla11[[#This Row],[Comercial]])</f>
        <v>ana fernandezz 4321</v>
      </c>
      <c r="K44" s="227" t="str">
        <f>PROPER(Tabla11[[#This Row],[Comercial]])</f>
        <v>Ana Fernandezz 4321</v>
      </c>
      <c r="L44" t="s">
        <v>1509</v>
      </c>
      <c r="M44" t="str">
        <f>RIGHT(Tabla11[[#This Row],[Comercial]],4)</f>
        <v>4321</v>
      </c>
      <c r="N44" t="str">
        <f>LEFT(Tabla11[[#This Row],[Minuscula]],6)</f>
        <v>ana fe</v>
      </c>
    </row>
    <row r="45" spans="1:14">
      <c r="A45" s="226">
        <v>1044</v>
      </c>
      <c r="B45" s="224">
        <v>44235</v>
      </c>
      <c r="C45" s="207" t="s">
        <v>1504</v>
      </c>
      <c r="D45" s="207" t="s">
        <v>1502</v>
      </c>
      <c r="E45" s="207" t="s">
        <v>518</v>
      </c>
      <c r="F45" s="225">
        <v>25</v>
      </c>
      <c r="G45" s="225">
        <v>5.25</v>
      </c>
      <c r="H45" s="225">
        <v>30.25</v>
      </c>
      <c r="I45" s="24" t="str">
        <f>UPPER(Tabla11[[#This Row],[Comercial]])</f>
        <v>MARIA GARCIA 1254</v>
      </c>
      <c r="J45" s="24" t="str">
        <f>LOWER(Tabla11[[#This Row],[Comercial]])</f>
        <v>maria garcia 1254</v>
      </c>
      <c r="K45" s="227" t="str">
        <f>PROPER(Tabla11[[#This Row],[Comercial]])</f>
        <v>Maria Garcia 1254</v>
      </c>
      <c r="L45" t="s">
        <v>1506</v>
      </c>
      <c r="M45" t="str">
        <f>RIGHT(Tabla11[[#This Row],[Comercial]],4)</f>
        <v>1254</v>
      </c>
      <c r="N45" t="str">
        <f>LEFT(Tabla11[[#This Row],[Minuscula]],6)</f>
        <v xml:space="preserve">maria </v>
      </c>
    </row>
    <row r="46" spans="1:14">
      <c r="A46" s="226">
        <v>1045</v>
      </c>
      <c r="B46" s="224">
        <v>44238</v>
      </c>
      <c r="C46" s="207" t="s">
        <v>1500</v>
      </c>
      <c r="D46" s="207" t="s">
        <v>1497</v>
      </c>
      <c r="E46" s="207" t="s">
        <v>520</v>
      </c>
      <c r="F46" s="225">
        <v>219</v>
      </c>
      <c r="G46" s="225">
        <v>45.99</v>
      </c>
      <c r="H46" s="225">
        <v>264.99</v>
      </c>
      <c r="I46" s="24" t="str">
        <f>UPPER(Tabla11[[#This Row],[Comercial]])</f>
        <v>ANA FERNANDEZZ 4321</v>
      </c>
      <c r="J46" s="24" t="str">
        <f>LOWER(Tabla11[[#This Row],[Comercial]])</f>
        <v>ana fernandezz 4321</v>
      </c>
      <c r="K46" s="227" t="str">
        <f>PROPER(Tabla11[[#This Row],[Comercial]])</f>
        <v>Ana Fernandezz 4321</v>
      </c>
      <c r="L46" t="s">
        <v>1509</v>
      </c>
      <c r="M46" t="str">
        <f>RIGHT(Tabla11[[#This Row],[Comercial]],4)</f>
        <v>4321</v>
      </c>
      <c r="N46" t="str">
        <f>LEFT(Tabla11[[#This Row],[Minuscula]],6)</f>
        <v>ana fe</v>
      </c>
    </row>
    <row r="47" spans="1:14">
      <c r="A47" s="226">
        <v>1046</v>
      </c>
      <c r="B47" s="224">
        <v>44238</v>
      </c>
      <c r="C47" s="207" t="s">
        <v>1496</v>
      </c>
      <c r="D47" s="207" t="s">
        <v>1494</v>
      </c>
      <c r="E47" s="207" t="s">
        <v>525</v>
      </c>
      <c r="F47" s="225">
        <v>39</v>
      </c>
      <c r="G47" s="225">
        <v>8.19</v>
      </c>
      <c r="H47" s="225">
        <v>47.19</v>
      </c>
      <c r="I47" s="24" t="str">
        <f>UPPER(Tabla11[[#This Row],[Comercial]])</f>
        <v>PABLO LOPEZ 7384</v>
      </c>
      <c r="J47" s="24" t="str">
        <f>LOWER(Tabla11[[#This Row],[Comercial]])</f>
        <v>pablo lopez 7384</v>
      </c>
      <c r="K47" s="227" t="str">
        <f>PROPER(Tabla11[[#This Row],[Comercial]])</f>
        <v>Pablo Lopez 7384</v>
      </c>
      <c r="L47" t="s">
        <v>1508</v>
      </c>
      <c r="M47" t="str">
        <f>RIGHT(Tabla11[[#This Row],[Comercial]],4)</f>
        <v>7384</v>
      </c>
      <c r="N47" t="str">
        <f>LEFT(Tabla11[[#This Row],[Minuscula]],6)</f>
        <v xml:space="preserve">pablo </v>
      </c>
    </row>
    <row r="48" spans="1:14">
      <c r="A48" s="226">
        <v>1047</v>
      </c>
      <c r="B48" s="224">
        <v>44238</v>
      </c>
      <c r="C48" s="207" t="s">
        <v>1501</v>
      </c>
      <c r="D48" s="207" t="s">
        <v>1497</v>
      </c>
      <c r="E48" s="207" t="s">
        <v>520</v>
      </c>
      <c r="F48" s="225">
        <v>492</v>
      </c>
      <c r="G48" s="225">
        <v>103.32</v>
      </c>
      <c r="H48" s="225">
        <v>595.32000000000005</v>
      </c>
      <c r="I48" s="24" t="str">
        <f>UPPER(Tabla11[[#This Row],[Comercial]])</f>
        <v>MARIO PEREZ 1123</v>
      </c>
      <c r="J48" s="24" t="str">
        <f>LOWER(Tabla11[[#This Row],[Comercial]])</f>
        <v>mario perez 1123</v>
      </c>
      <c r="K48" s="227" t="str">
        <f>PROPER(Tabla11[[#This Row],[Comercial]])</f>
        <v>Mario Perez 1123</v>
      </c>
      <c r="L48" t="s">
        <v>1510</v>
      </c>
      <c r="M48" t="str">
        <f>RIGHT(Tabla11[[#This Row],[Comercial]],4)</f>
        <v>1123</v>
      </c>
      <c r="N48" t="str">
        <f>LEFT(Tabla11[[#This Row],[Minuscula]],6)</f>
        <v xml:space="preserve">mario </v>
      </c>
    </row>
    <row r="49" spans="1:14">
      <c r="A49" s="226">
        <v>1048</v>
      </c>
      <c r="B49" s="224">
        <v>44241</v>
      </c>
      <c r="C49" s="207" t="s">
        <v>1496</v>
      </c>
      <c r="D49" s="207" t="s">
        <v>1503</v>
      </c>
      <c r="E49" s="207" t="s">
        <v>534</v>
      </c>
      <c r="F49" s="225">
        <v>7</v>
      </c>
      <c r="G49" s="225">
        <v>1.47</v>
      </c>
      <c r="H49" s="225">
        <v>8.4700000000000006</v>
      </c>
      <c r="I49" s="24" t="str">
        <f>UPPER(Tabla11[[#This Row],[Comercial]])</f>
        <v>PABLO LOPEZ 7384</v>
      </c>
      <c r="J49" s="24" t="str">
        <f>LOWER(Tabla11[[#This Row],[Comercial]])</f>
        <v>pablo lopez 7384</v>
      </c>
      <c r="K49" s="227" t="str">
        <f>PROPER(Tabla11[[#This Row],[Comercial]])</f>
        <v>Pablo Lopez 7384</v>
      </c>
      <c r="L49" t="s">
        <v>1508</v>
      </c>
      <c r="M49" t="str">
        <f>RIGHT(Tabla11[[#This Row],[Comercial]],4)</f>
        <v>7384</v>
      </c>
      <c r="N49" t="str">
        <f>LEFT(Tabla11[[#This Row],[Minuscula]],6)</f>
        <v xml:space="preserve">pablo </v>
      </c>
    </row>
    <row r="50" spans="1:14">
      <c r="A50" s="226">
        <v>1049</v>
      </c>
      <c r="B50" s="224">
        <v>44243</v>
      </c>
      <c r="C50" s="207" t="s">
        <v>1496</v>
      </c>
      <c r="D50" s="207" t="s">
        <v>1494</v>
      </c>
      <c r="E50" s="207" t="s">
        <v>534</v>
      </c>
      <c r="F50" s="225">
        <v>10</v>
      </c>
      <c r="G50" s="225">
        <v>2.1</v>
      </c>
      <c r="H50" s="225">
        <v>12.1</v>
      </c>
      <c r="I50" s="24" t="str">
        <f>UPPER(Tabla11[[#This Row],[Comercial]])</f>
        <v>PABLO LOPEZ 7384</v>
      </c>
      <c r="J50" s="24" t="str">
        <f>LOWER(Tabla11[[#This Row],[Comercial]])</f>
        <v>pablo lopez 7384</v>
      </c>
      <c r="K50" s="227" t="str">
        <f>PROPER(Tabla11[[#This Row],[Comercial]])</f>
        <v>Pablo Lopez 7384</v>
      </c>
      <c r="L50" t="s">
        <v>1508</v>
      </c>
      <c r="M50" t="str">
        <f>RIGHT(Tabla11[[#This Row],[Comercial]],4)</f>
        <v>7384</v>
      </c>
      <c r="N50" t="str">
        <f>LEFT(Tabla11[[#This Row],[Minuscula]],6)</f>
        <v xml:space="preserve">pablo </v>
      </c>
    </row>
    <row r="51" spans="1:14">
      <c r="A51" s="226">
        <v>1050</v>
      </c>
      <c r="B51" s="224">
        <v>44243</v>
      </c>
      <c r="C51" s="207" t="s">
        <v>1496</v>
      </c>
      <c r="D51" s="207" t="s">
        <v>1502</v>
      </c>
      <c r="E51" s="207" t="s">
        <v>520</v>
      </c>
      <c r="F51" s="225">
        <v>406</v>
      </c>
      <c r="G51" s="225">
        <v>85.26</v>
      </c>
      <c r="H51" s="225">
        <v>491.26</v>
      </c>
      <c r="I51" s="24" t="str">
        <f>UPPER(Tabla11[[#This Row],[Comercial]])</f>
        <v>PABLO LOPEZ 7384</v>
      </c>
      <c r="J51" s="24" t="str">
        <f>LOWER(Tabla11[[#This Row],[Comercial]])</f>
        <v>pablo lopez 7384</v>
      </c>
      <c r="K51" s="227" t="str">
        <f>PROPER(Tabla11[[#This Row],[Comercial]])</f>
        <v>Pablo Lopez 7384</v>
      </c>
      <c r="L51" t="s">
        <v>1508</v>
      </c>
      <c r="M51" t="str">
        <f>RIGHT(Tabla11[[#This Row],[Comercial]],4)</f>
        <v>7384</v>
      </c>
      <c r="N51" t="str">
        <f>LEFT(Tabla11[[#This Row],[Minuscula]],6)</f>
        <v xml:space="preserve">pablo </v>
      </c>
    </row>
    <row r="52" spans="1:14">
      <c r="A52" s="226">
        <v>1051</v>
      </c>
      <c r="B52" s="224">
        <v>44243</v>
      </c>
      <c r="C52" s="207" t="s">
        <v>1496</v>
      </c>
      <c r="D52" s="207" t="s">
        <v>1503</v>
      </c>
      <c r="E52" s="207" t="s">
        <v>530</v>
      </c>
      <c r="F52" s="225">
        <v>37</v>
      </c>
      <c r="G52" s="225">
        <v>7.77</v>
      </c>
      <c r="H52" s="225">
        <v>44.77</v>
      </c>
      <c r="I52" s="24" t="str">
        <f>UPPER(Tabla11[[#This Row],[Comercial]])</f>
        <v>PABLO LOPEZ 7384</v>
      </c>
      <c r="J52" s="24" t="str">
        <f>LOWER(Tabla11[[#This Row],[Comercial]])</f>
        <v>pablo lopez 7384</v>
      </c>
      <c r="K52" s="227" t="str">
        <f>PROPER(Tabla11[[#This Row],[Comercial]])</f>
        <v>Pablo Lopez 7384</v>
      </c>
      <c r="L52" t="s">
        <v>1508</v>
      </c>
      <c r="M52" t="str">
        <f>RIGHT(Tabla11[[#This Row],[Comercial]],4)</f>
        <v>7384</v>
      </c>
      <c r="N52" t="str">
        <f>LEFT(Tabla11[[#This Row],[Minuscula]],6)</f>
        <v xml:space="preserve">pablo </v>
      </c>
    </row>
    <row r="53" spans="1:14">
      <c r="A53" s="226">
        <v>1052</v>
      </c>
      <c r="B53" s="224">
        <v>44245</v>
      </c>
      <c r="C53" s="207" t="s">
        <v>1501</v>
      </c>
      <c r="D53" s="207" t="s">
        <v>1502</v>
      </c>
      <c r="E53" s="207" t="s">
        <v>534</v>
      </c>
      <c r="F53" s="225">
        <v>10</v>
      </c>
      <c r="G53" s="225">
        <v>2.1</v>
      </c>
      <c r="H53" s="225">
        <v>12.1</v>
      </c>
      <c r="I53" s="24" t="str">
        <f>UPPER(Tabla11[[#This Row],[Comercial]])</f>
        <v>MARIO PEREZ 1123</v>
      </c>
      <c r="J53" s="24" t="str">
        <f>LOWER(Tabla11[[#This Row],[Comercial]])</f>
        <v>mario perez 1123</v>
      </c>
      <c r="K53" s="227" t="str">
        <f>PROPER(Tabla11[[#This Row],[Comercial]])</f>
        <v>Mario Perez 1123</v>
      </c>
      <c r="L53" t="s">
        <v>1510</v>
      </c>
      <c r="M53" t="str">
        <f>RIGHT(Tabla11[[#This Row],[Comercial]],4)</f>
        <v>1123</v>
      </c>
      <c r="N53" t="str">
        <f>LEFT(Tabla11[[#This Row],[Minuscula]],6)</f>
        <v xml:space="preserve">mario </v>
      </c>
    </row>
    <row r="54" spans="1:14">
      <c r="A54" s="226">
        <v>1053</v>
      </c>
      <c r="B54" s="224">
        <v>44245</v>
      </c>
      <c r="C54" s="207" t="s">
        <v>1504</v>
      </c>
      <c r="D54" s="207" t="s">
        <v>1499</v>
      </c>
      <c r="E54" s="207" t="s">
        <v>530</v>
      </c>
      <c r="F54" s="225">
        <v>20</v>
      </c>
      <c r="G54" s="225">
        <v>4.2</v>
      </c>
      <c r="H54" s="225">
        <v>24.2</v>
      </c>
      <c r="I54" s="24" t="str">
        <f>UPPER(Tabla11[[#This Row],[Comercial]])</f>
        <v>MARIA GARCIA 1254</v>
      </c>
      <c r="J54" s="24" t="str">
        <f>LOWER(Tabla11[[#This Row],[Comercial]])</f>
        <v>maria garcia 1254</v>
      </c>
      <c r="K54" s="227" t="str">
        <f>PROPER(Tabla11[[#This Row],[Comercial]])</f>
        <v>Maria Garcia 1254</v>
      </c>
      <c r="L54" t="s">
        <v>1506</v>
      </c>
      <c r="M54" t="str">
        <f>RIGHT(Tabla11[[#This Row],[Comercial]],4)</f>
        <v>1254</v>
      </c>
      <c r="N54" t="str">
        <f>LEFT(Tabla11[[#This Row],[Minuscula]],6)</f>
        <v xml:space="preserve">maria </v>
      </c>
    </row>
    <row r="55" spans="1:14">
      <c r="A55" s="226">
        <v>1054</v>
      </c>
      <c r="B55" s="224">
        <v>44246</v>
      </c>
      <c r="C55" s="207" t="s">
        <v>1501</v>
      </c>
      <c r="D55" s="207" t="s">
        <v>1502</v>
      </c>
      <c r="E55" s="207" t="s">
        <v>534</v>
      </c>
      <c r="F55" s="225">
        <v>8</v>
      </c>
      <c r="G55" s="225">
        <v>1.68</v>
      </c>
      <c r="H55" s="225">
        <v>9.68</v>
      </c>
      <c r="I55" s="24" t="str">
        <f>UPPER(Tabla11[[#This Row],[Comercial]])</f>
        <v>MARIO PEREZ 1123</v>
      </c>
      <c r="J55" s="24" t="str">
        <f>LOWER(Tabla11[[#This Row],[Comercial]])</f>
        <v>mario perez 1123</v>
      </c>
      <c r="K55" s="227" t="str">
        <f>PROPER(Tabla11[[#This Row],[Comercial]])</f>
        <v>Mario Perez 1123</v>
      </c>
      <c r="L55" t="s">
        <v>1510</v>
      </c>
      <c r="M55" t="str">
        <f>RIGHT(Tabla11[[#This Row],[Comercial]],4)</f>
        <v>1123</v>
      </c>
      <c r="N55" t="str">
        <f>LEFT(Tabla11[[#This Row],[Minuscula]],6)</f>
        <v xml:space="preserve">mario </v>
      </c>
    </row>
    <row r="56" spans="1:14">
      <c r="A56" s="226">
        <v>1055</v>
      </c>
      <c r="B56" s="224">
        <v>44246</v>
      </c>
      <c r="C56" s="207" t="s">
        <v>1496</v>
      </c>
      <c r="D56" s="207" t="s">
        <v>1494</v>
      </c>
      <c r="E56" s="207" t="s">
        <v>525</v>
      </c>
      <c r="F56" s="225">
        <v>28</v>
      </c>
      <c r="G56" s="225">
        <v>5.88</v>
      </c>
      <c r="H56" s="225">
        <v>33.880000000000003</v>
      </c>
      <c r="I56" s="24" t="str">
        <f>UPPER(Tabla11[[#This Row],[Comercial]])</f>
        <v>PABLO LOPEZ 7384</v>
      </c>
      <c r="J56" s="24" t="str">
        <f>LOWER(Tabla11[[#This Row],[Comercial]])</f>
        <v>pablo lopez 7384</v>
      </c>
      <c r="K56" s="227" t="str">
        <f>PROPER(Tabla11[[#This Row],[Comercial]])</f>
        <v>Pablo Lopez 7384</v>
      </c>
      <c r="L56" t="s">
        <v>1508</v>
      </c>
      <c r="M56" t="str">
        <f>RIGHT(Tabla11[[#This Row],[Comercial]],4)</f>
        <v>7384</v>
      </c>
      <c r="N56" t="str">
        <f>LEFT(Tabla11[[#This Row],[Minuscula]],6)</f>
        <v xml:space="preserve">pablo </v>
      </c>
    </row>
    <row r="57" spans="1:14">
      <c r="A57" s="226">
        <v>1056</v>
      </c>
      <c r="B57" s="224">
        <v>44247</v>
      </c>
      <c r="C57" s="207" t="s">
        <v>1504</v>
      </c>
      <c r="D57" s="207" t="s">
        <v>1497</v>
      </c>
      <c r="E57" s="207" t="s">
        <v>534</v>
      </c>
      <c r="F57" s="225">
        <v>8</v>
      </c>
      <c r="G57" s="225">
        <v>1.68</v>
      </c>
      <c r="H57" s="225">
        <v>9.68</v>
      </c>
      <c r="I57" s="24" t="str">
        <f>UPPER(Tabla11[[#This Row],[Comercial]])</f>
        <v>MARIA GARCIA 1254</v>
      </c>
      <c r="J57" s="24" t="str">
        <f>LOWER(Tabla11[[#This Row],[Comercial]])</f>
        <v>maria garcia 1254</v>
      </c>
      <c r="K57" s="227" t="str">
        <f>PROPER(Tabla11[[#This Row],[Comercial]])</f>
        <v>Maria Garcia 1254</v>
      </c>
      <c r="L57" t="s">
        <v>1506</v>
      </c>
      <c r="M57" t="str">
        <f>RIGHT(Tabla11[[#This Row],[Comercial]],4)</f>
        <v>1254</v>
      </c>
      <c r="N57" t="str">
        <f>LEFT(Tabla11[[#This Row],[Minuscula]],6)</f>
        <v xml:space="preserve">maria </v>
      </c>
    </row>
    <row r="58" spans="1:14">
      <c r="A58" s="226">
        <v>1057</v>
      </c>
      <c r="B58" s="224">
        <v>44249</v>
      </c>
      <c r="C58" s="207" t="s">
        <v>1501</v>
      </c>
      <c r="D58" s="207" t="s">
        <v>1499</v>
      </c>
      <c r="E58" s="207" t="s">
        <v>518</v>
      </c>
      <c r="F58" s="225">
        <v>84</v>
      </c>
      <c r="G58" s="225">
        <v>17.64</v>
      </c>
      <c r="H58" s="225">
        <v>101.64</v>
      </c>
      <c r="I58" s="24" t="str">
        <f>UPPER(Tabla11[[#This Row],[Comercial]])</f>
        <v>MARIO PEREZ 1123</v>
      </c>
      <c r="J58" s="24" t="str">
        <f>LOWER(Tabla11[[#This Row],[Comercial]])</f>
        <v>mario perez 1123</v>
      </c>
      <c r="K58" s="227" t="str">
        <f>PROPER(Tabla11[[#This Row],[Comercial]])</f>
        <v>Mario Perez 1123</v>
      </c>
      <c r="L58" t="s">
        <v>1510</v>
      </c>
      <c r="M58" t="str">
        <f>RIGHT(Tabla11[[#This Row],[Comercial]],4)</f>
        <v>1123</v>
      </c>
      <c r="N58" t="str">
        <f>LEFT(Tabla11[[#This Row],[Minuscula]],6)</f>
        <v xml:space="preserve">mario </v>
      </c>
    </row>
    <row r="59" spans="1:14">
      <c r="A59" s="226">
        <v>1058</v>
      </c>
      <c r="B59" s="224">
        <v>44250</v>
      </c>
      <c r="C59" s="207" t="s">
        <v>1495</v>
      </c>
      <c r="D59" s="207" t="s">
        <v>1502</v>
      </c>
      <c r="E59" s="207" t="s">
        <v>530</v>
      </c>
      <c r="F59" s="225">
        <v>15</v>
      </c>
      <c r="G59" s="225">
        <v>3.15</v>
      </c>
      <c r="H59" s="225">
        <v>18.149999999999999</v>
      </c>
      <c r="I59" s="24" t="str">
        <f>UPPER(Tabla11[[#This Row],[Comercial]])</f>
        <v>LUIS VALLE 5431</v>
      </c>
      <c r="J59" s="24" t="str">
        <f>LOWER(Tabla11[[#This Row],[Comercial]])</f>
        <v>luis valle 5431</v>
      </c>
      <c r="K59" s="227" t="str">
        <f>PROPER(Tabla11[[#This Row],[Comercial]])</f>
        <v>Luis Valle 5431</v>
      </c>
      <c r="L59" t="s">
        <v>1507</v>
      </c>
      <c r="M59" t="str">
        <f>RIGHT(Tabla11[[#This Row],[Comercial]],4)</f>
        <v>5431</v>
      </c>
      <c r="N59" t="str">
        <f>LEFT(Tabla11[[#This Row],[Minuscula]],6)</f>
        <v>luis v</v>
      </c>
    </row>
    <row r="60" spans="1:14">
      <c r="A60" s="226">
        <v>1059</v>
      </c>
      <c r="B60" s="224">
        <v>44250</v>
      </c>
      <c r="C60" s="207" t="s">
        <v>1495</v>
      </c>
      <c r="D60" s="207" t="s">
        <v>1499</v>
      </c>
      <c r="E60" s="207" t="s">
        <v>534</v>
      </c>
      <c r="F60" s="225">
        <v>8</v>
      </c>
      <c r="G60" s="225">
        <v>1.68</v>
      </c>
      <c r="H60" s="225">
        <v>9.68</v>
      </c>
      <c r="I60" s="24" t="str">
        <f>UPPER(Tabla11[[#This Row],[Comercial]])</f>
        <v>LUIS VALLE 5431</v>
      </c>
      <c r="J60" s="24" t="str">
        <f>LOWER(Tabla11[[#This Row],[Comercial]])</f>
        <v>luis valle 5431</v>
      </c>
      <c r="K60" s="227" t="str">
        <f>PROPER(Tabla11[[#This Row],[Comercial]])</f>
        <v>Luis Valle 5431</v>
      </c>
      <c r="L60" t="s">
        <v>1507</v>
      </c>
      <c r="M60" t="str">
        <f>RIGHT(Tabla11[[#This Row],[Comercial]],4)</f>
        <v>5431</v>
      </c>
      <c r="N60" t="str">
        <f>LEFT(Tabla11[[#This Row],[Minuscula]],6)</f>
        <v>luis v</v>
      </c>
    </row>
    <row r="61" spans="1:14">
      <c r="A61" s="226">
        <v>1060</v>
      </c>
      <c r="B61" s="224">
        <v>44251</v>
      </c>
      <c r="C61" s="207" t="s">
        <v>1501</v>
      </c>
      <c r="D61" s="207" t="s">
        <v>1503</v>
      </c>
      <c r="E61" s="207" t="s">
        <v>520</v>
      </c>
      <c r="F61" s="225">
        <v>1022</v>
      </c>
      <c r="G61" s="225">
        <v>214.62</v>
      </c>
      <c r="H61" s="225">
        <v>1236.6199999999999</v>
      </c>
      <c r="I61" s="24" t="str">
        <f>UPPER(Tabla11[[#This Row],[Comercial]])</f>
        <v>MARIO PEREZ 1123</v>
      </c>
      <c r="J61" s="24" t="str">
        <f>LOWER(Tabla11[[#This Row],[Comercial]])</f>
        <v>mario perez 1123</v>
      </c>
      <c r="K61" s="227" t="str">
        <f>PROPER(Tabla11[[#This Row],[Comercial]])</f>
        <v>Mario Perez 1123</v>
      </c>
      <c r="L61" t="s">
        <v>1510</v>
      </c>
      <c r="M61" t="str">
        <f>RIGHT(Tabla11[[#This Row],[Comercial]],4)</f>
        <v>1123</v>
      </c>
      <c r="N61" t="str">
        <f>LEFT(Tabla11[[#This Row],[Minuscula]],6)</f>
        <v xml:space="preserve">mario </v>
      </c>
    </row>
    <row r="62" spans="1:14">
      <c r="A62" s="226">
        <v>1061</v>
      </c>
      <c r="B62" s="224">
        <v>44251</v>
      </c>
      <c r="C62" s="207" t="s">
        <v>1504</v>
      </c>
      <c r="D62" s="207" t="s">
        <v>1497</v>
      </c>
      <c r="E62" s="207" t="s">
        <v>534</v>
      </c>
      <c r="F62" s="225">
        <v>5</v>
      </c>
      <c r="G62" s="225">
        <v>1.05</v>
      </c>
      <c r="H62" s="225">
        <v>6.05</v>
      </c>
      <c r="I62" s="24" t="str">
        <f>UPPER(Tabla11[[#This Row],[Comercial]])</f>
        <v>MARIA GARCIA 1254</v>
      </c>
      <c r="J62" s="24" t="str">
        <f>LOWER(Tabla11[[#This Row],[Comercial]])</f>
        <v>maria garcia 1254</v>
      </c>
      <c r="K62" s="227" t="str">
        <f>PROPER(Tabla11[[#This Row],[Comercial]])</f>
        <v>Maria Garcia 1254</v>
      </c>
      <c r="L62" t="s">
        <v>1506</v>
      </c>
      <c r="M62" t="str">
        <f>RIGHT(Tabla11[[#This Row],[Comercial]],4)</f>
        <v>1254</v>
      </c>
      <c r="N62" t="str">
        <f>LEFT(Tabla11[[#This Row],[Minuscula]],6)</f>
        <v xml:space="preserve">maria </v>
      </c>
    </row>
    <row r="63" spans="1:14">
      <c r="A63" s="226">
        <v>1062</v>
      </c>
      <c r="B63" s="224">
        <v>44252</v>
      </c>
      <c r="C63" s="207" t="s">
        <v>1501</v>
      </c>
      <c r="D63" s="207" t="s">
        <v>1499</v>
      </c>
      <c r="E63" s="207" t="s">
        <v>520</v>
      </c>
      <c r="F63" s="225">
        <v>270</v>
      </c>
      <c r="G63" s="225">
        <v>56.7</v>
      </c>
      <c r="H63" s="225">
        <v>326.7</v>
      </c>
      <c r="I63" s="24" t="str">
        <f>UPPER(Tabla11[[#This Row],[Comercial]])</f>
        <v>MARIO PEREZ 1123</v>
      </c>
      <c r="J63" s="24" t="str">
        <f>LOWER(Tabla11[[#This Row],[Comercial]])</f>
        <v>mario perez 1123</v>
      </c>
      <c r="K63" s="227" t="str">
        <f>PROPER(Tabla11[[#This Row],[Comercial]])</f>
        <v>Mario Perez 1123</v>
      </c>
      <c r="L63" t="s">
        <v>1510</v>
      </c>
      <c r="M63" t="str">
        <f>RIGHT(Tabla11[[#This Row],[Comercial]],4)</f>
        <v>1123</v>
      </c>
      <c r="N63" t="str">
        <f>LEFT(Tabla11[[#This Row],[Minuscula]],6)</f>
        <v xml:space="preserve">mario </v>
      </c>
    </row>
    <row r="64" spans="1:14">
      <c r="A64" s="226">
        <v>1063</v>
      </c>
      <c r="B64" s="224">
        <v>44253</v>
      </c>
      <c r="C64" s="207" t="s">
        <v>1500</v>
      </c>
      <c r="D64" s="207" t="s">
        <v>1499</v>
      </c>
      <c r="E64" s="207" t="s">
        <v>534</v>
      </c>
      <c r="F64" s="225">
        <v>7</v>
      </c>
      <c r="G64" s="225">
        <v>1.47</v>
      </c>
      <c r="H64" s="225">
        <v>8.4700000000000006</v>
      </c>
      <c r="I64" s="24" t="str">
        <f>UPPER(Tabla11[[#This Row],[Comercial]])</f>
        <v>ANA FERNANDEZZ 4321</v>
      </c>
      <c r="J64" s="24" t="str">
        <f>LOWER(Tabla11[[#This Row],[Comercial]])</f>
        <v>ana fernandezz 4321</v>
      </c>
      <c r="K64" s="227" t="str">
        <f>PROPER(Tabla11[[#This Row],[Comercial]])</f>
        <v>Ana Fernandezz 4321</v>
      </c>
      <c r="L64" t="s">
        <v>1509</v>
      </c>
      <c r="M64" t="str">
        <f>RIGHT(Tabla11[[#This Row],[Comercial]],4)</f>
        <v>4321</v>
      </c>
      <c r="N64" t="str">
        <f>LEFT(Tabla11[[#This Row],[Minuscula]],6)</f>
        <v>ana fe</v>
      </c>
    </row>
    <row r="65" spans="1:14">
      <c r="A65" s="226">
        <v>1064</v>
      </c>
      <c r="B65" s="224">
        <v>44253</v>
      </c>
      <c r="C65" s="207" t="s">
        <v>1500</v>
      </c>
      <c r="D65" s="207" t="s">
        <v>1494</v>
      </c>
      <c r="E65" s="207" t="s">
        <v>530</v>
      </c>
      <c r="F65" s="225">
        <v>41</v>
      </c>
      <c r="G65" s="225">
        <v>8.61</v>
      </c>
      <c r="H65" s="225">
        <v>49.61</v>
      </c>
      <c r="I65" s="24" t="str">
        <f>UPPER(Tabla11[[#This Row],[Comercial]])</f>
        <v>ANA FERNANDEZZ 4321</v>
      </c>
      <c r="J65" s="24" t="str">
        <f>LOWER(Tabla11[[#This Row],[Comercial]])</f>
        <v>ana fernandezz 4321</v>
      </c>
      <c r="K65" s="227" t="str">
        <f>PROPER(Tabla11[[#This Row],[Comercial]])</f>
        <v>Ana Fernandezz 4321</v>
      </c>
      <c r="L65" t="s">
        <v>1509</v>
      </c>
      <c r="M65" t="str">
        <f>RIGHT(Tabla11[[#This Row],[Comercial]],4)</f>
        <v>4321</v>
      </c>
      <c r="N65" t="str">
        <f>LEFT(Tabla11[[#This Row],[Minuscula]],6)</f>
        <v>ana fe</v>
      </c>
    </row>
    <row r="66" spans="1:14">
      <c r="A66" s="226">
        <v>1065</v>
      </c>
      <c r="B66" s="224">
        <v>44253</v>
      </c>
      <c r="C66" s="207" t="s">
        <v>1496</v>
      </c>
      <c r="D66" s="207" t="s">
        <v>1494</v>
      </c>
      <c r="E66" s="207" t="s">
        <v>530</v>
      </c>
      <c r="F66" s="225">
        <v>29</v>
      </c>
      <c r="G66" s="225">
        <v>6.09</v>
      </c>
      <c r="H66" s="225">
        <v>35.090000000000003</v>
      </c>
      <c r="I66" s="24" t="str">
        <f>UPPER(Tabla11[[#This Row],[Comercial]])</f>
        <v>PABLO LOPEZ 7384</v>
      </c>
      <c r="J66" s="24" t="str">
        <f>LOWER(Tabla11[[#This Row],[Comercial]])</f>
        <v>pablo lopez 7384</v>
      </c>
      <c r="K66" s="227" t="str">
        <f>PROPER(Tabla11[[#This Row],[Comercial]])</f>
        <v>Pablo Lopez 7384</v>
      </c>
      <c r="L66" t="s">
        <v>1508</v>
      </c>
      <c r="M66" t="str">
        <f>RIGHT(Tabla11[[#This Row],[Comercial]],4)</f>
        <v>7384</v>
      </c>
      <c r="N66" t="str">
        <f>LEFT(Tabla11[[#This Row],[Minuscula]],6)</f>
        <v xml:space="preserve">pablo </v>
      </c>
    </row>
    <row r="67" spans="1:14">
      <c r="A67" s="226">
        <v>1066</v>
      </c>
      <c r="B67" s="224">
        <v>44254</v>
      </c>
      <c r="C67" s="207" t="s">
        <v>1504</v>
      </c>
      <c r="D67" s="207" t="s">
        <v>1494</v>
      </c>
      <c r="E67" s="207" t="s">
        <v>520</v>
      </c>
      <c r="F67" s="225">
        <v>658</v>
      </c>
      <c r="G67" s="225">
        <v>138.18</v>
      </c>
      <c r="H67" s="225">
        <v>796.18</v>
      </c>
      <c r="I67" s="24" t="str">
        <f>UPPER(Tabla11[[#This Row],[Comercial]])</f>
        <v>MARIA GARCIA 1254</v>
      </c>
      <c r="J67" s="24" t="str">
        <f>LOWER(Tabla11[[#This Row],[Comercial]])</f>
        <v>maria garcia 1254</v>
      </c>
      <c r="K67" s="227" t="str">
        <f>PROPER(Tabla11[[#This Row],[Comercial]])</f>
        <v>Maria Garcia 1254</v>
      </c>
      <c r="L67" t="s">
        <v>1506</v>
      </c>
      <c r="M67" t="str">
        <f>RIGHT(Tabla11[[#This Row],[Comercial]],4)</f>
        <v>1254</v>
      </c>
      <c r="N67" t="str">
        <f>LEFT(Tabla11[[#This Row],[Minuscula]],6)</f>
        <v xml:space="preserve">maria </v>
      </c>
    </row>
    <row r="68" spans="1:14">
      <c r="A68" s="226">
        <v>1067</v>
      </c>
      <c r="B68" s="224">
        <v>44255</v>
      </c>
      <c r="C68" s="207" t="s">
        <v>1495</v>
      </c>
      <c r="D68" s="207" t="s">
        <v>1499</v>
      </c>
      <c r="E68" s="207" t="s">
        <v>518</v>
      </c>
      <c r="F68" s="225">
        <v>86</v>
      </c>
      <c r="G68" s="225">
        <v>18.059999999999999</v>
      </c>
      <c r="H68" s="225">
        <v>104.06</v>
      </c>
      <c r="I68" s="24" t="str">
        <f>UPPER(Tabla11[[#This Row],[Comercial]])</f>
        <v>LUIS VALLE 5431</v>
      </c>
      <c r="J68" s="24" t="str">
        <f>LOWER(Tabla11[[#This Row],[Comercial]])</f>
        <v>luis valle 5431</v>
      </c>
      <c r="K68" s="227" t="str">
        <f>PROPER(Tabla11[[#This Row],[Comercial]])</f>
        <v>Luis Valle 5431</v>
      </c>
      <c r="L68" t="s">
        <v>1507</v>
      </c>
      <c r="M68" t="str">
        <f>RIGHT(Tabla11[[#This Row],[Comercial]],4)</f>
        <v>5431</v>
      </c>
      <c r="N68" t="str">
        <f>LEFT(Tabla11[[#This Row],[Minuscula]],6)</f>
        <v>luis v</v>
      </c>
    </row>
    <row r="69" spans="1:14">
      <c r="A69" s="226">
        <v>1068</v>
      </c>
      <c r="B69" s="224">
        <v>44255</v>
      </c>
      <c r="C69" s="207" t="s">
        <v>1504</v>
      </c>
      <c r="D69" s="207" t="s">
        <v>1494</v>
      </c>
      <c r="E69" s="207" t="s">
        <v>520</v>
      </c>
      <c r="F69" s="225">
        <v>553</v>
      </c>
      <c r="G69" s="225">
        <v>116.13</v>
      </c>
      <c r="H69" s="225">
        <v>669.13</v>
      </c>
      <c r="I69" s="24" t="str">
        <f>UPPER(Tabla11[[#This Row],[Comercial]])</f>
        <v>MARIA GARCIA 1254</v>
      </c>
      <c r="J69" s="24" t="str">
        <f>LOWER(Tabla11[[#This Row],[Comercial]])</f>
        <v>maria garcia 1254</v>
      </c>
      <c r="K69" s="227" t="str">
        <f>PROPER(Tabla11[[#This Row],[Comercial]])</f>
        <v>Maria Garcia 1254</v>
      </c>
      <c r="L69" t="s">
        <v>1506</v>
      </c>
      <c r="M69" t="str">
        <f>RIGHT(Tabla11[[#This Row],[Comercial]],4)</f>
        <v>1254</v>
      </c>
      <c r="N69" t="str">
        <f>LEFT(Tabla11[[#This Row],[Minuscula]],6)</f>
        <v xml:space="preserve">maria </v>
      </c>
    </row>
    <row r="70" spans="1:14">
      <c r="A70" s="226">
        <v>1069</v>
      </c>
      <c r="B70" s="224">
        <v>44256</v>
      </c>
      <c r="C70" s="207" t="s">
        <v>1504</v>
      </c>
      <c r="D70" s="207" t="s">
        <v>1494</v>
      </c>
      <c r="E70" s="207" t="s">
        <v>525</v>
      </c>
      <c r="F70" s="225">
        <v>30</v>
      </c>
      <c r="G70" s="225">
        <v>6.3</v>
      </c>
      <c r="H70" s="225">
        <v>36.299999999999997</v>
      </c>
      <c r="I70" s="24" t="str">
        <f>UPPER(Tabla11[[#This Row],[Comercial]])</f>
        <v>MARIA GARCIA 1254</v>
      </c>
      <c r="J70" s="24" t="str">
        <f>LOWER(Tabla11[[#This Row],[Comercial]])</f>
        <v>maria garcia 1254</v>
      </c>
      <c r="K70" s="227" t="str">
        <f>PROPER(Tabla11[[#This Row],[Comercial]])</f>
        <v>Maria Garcia 1254</v>
      </c>
      <c r="L70" t="s">
        <v>1506</v>
      </c>
      <c r="M70" t="str">
        <f>RIGHT(Tabla11[[#This Row],[Comercial]],4)</f>
        <v>1254</v>
      </c>
      <c r="N70" t="str">
        <f>LEFT(Tabla11[[#This Row],[Minuscula]],6)</f>
        <v xml:space="preserve">maria </v>
      </c>
    </row>
    <row r="71" spans="1:14">
      <c r="A71" s="226">
        <v>1070</v>
      </c>
      <c r="B71" s="224">
        <v>44257</v>
      </c>
      <c r="C71" s="207" t="s">
        <v>1504</v>
      </c>
      <c r="D71" s="207" t="s">
        <v>1503</v>
      </c>
      <c r="E71" s="207" t="s">
        <v>530</v>
      </c>
      <c r="F71" s="225">
        <v>41</v>
      </c>
      <c r="G71" s="225">
        <v>8.61</v>
      </c>
      <c r="H71" s="225">
        <v>49.61</v>
      </c>
      <c r="I71" s="24" t="str">
        <f>UPPER(Tabla11[[#This Row],[Comercial]])</f>
        <v>MARIA GARCIA 1254</v>
      </c>
      <c r="J71" s="24" t="str">
        <f>LOWER(Tabla11[[#This Row],[Comercial]])</f>
        <v>maria garcia 1254</v>
      </c>
      <c r="K71" s="227" t="str">
        <f>PROPER(Tabla11[[#This Row],[Comercial]])</f>
        <v>Maria Garcia 1254</v>
      </c>
      <c r="L71" t="s">
        <v>1506</v>
      </c>
      <c r="M71" t="str">
        <f>RIGHT(Tabla11[[#This Row],[Comercial]],4)</f>
        <v>1254</v>
      </c>
      <c r="N71" t="str">
        <f>LEFT(Tabla11[[#This Row],[Minuscula]],6)</f>
        <v xml:space="preserve">maria </v>
      </c>
    </row>
    <row r="72" spans="1:14">
      <c r="A72" s="226">
        <v>1071</v>
      </c>
      <c r="B72" s="224">
        <v>44259</v>
      </c>
      <c r="C72" s="207" t="s">
        <v>1500</v>
      </c>
      <c r="D72" s="207" t="s">
        <v>1502</v>
      </c>
      <c r="E72" s="207" t="s">
        <v>530</v>
      </c>
      <c r="F72" s="225">
        <v>25</v>
      </c>
      <c r="G72" s="225">
        <v>5.25</v>
      </c>
      <c r="H72" s="225">
        <v>30.25</v>
      </c>
      <c r="I72" s="24" t="str">
        <f>UPPER(Tabla11[[#This Row],[Comercial]])</f>
        <v>ANA FERNANDEZZ 4321</v>
      </c>
      <c r="J72" s="24" t="str">
        <f>LOWER(Tabla11[[#This Row],[Comercial]])</f>
        <v>ana fernandezz 4321</v>
      </c>
      <c r="K72" s="227" t="str">
        <f>PROPER(Tabla11[[#This Row],[Comercial]])</f>
        <v>Ana Fernandezz 4321</v>
      </c>
      <c r="L72" t="s">
        <v>1509</v>
      </c>
      <c r="M72" t="str">
        <f>RIGHT(Tabla11[[#This Row],[Comercial]],4)</f>
        <v>4321</v>
      </c>
      <c r="N72" t="str">
        <f>LEFT(Tabla11[[#This Row],[Minuscula]],6)</f>
        <v>ana fe</v>
      </c>
    </row>
    <row r="73" spans="1:14">
      <c r="A73" s="226">
        <v>1072</v>
      </c>
      <c r="B73" s="224">
        <v>44260</v>
      </c>
      <c r="C73" s="207" t="s">
        <v>1496</v>
      </c>
      <c r="D73" s="207" t="s">
        <v>1502</v>
      </c>
      <c r="E73" s="207" t="s">
        <v>520</v>
      </c>
      <c r="F73" s="225">
        <v>258</v>
      </c>
      <c r="G73" s="225">
        <v>54.18</v>
      </c>
      <c r="H73" s="225">
        <v>312.18</v>
      </c>
      <c r="I73" s="24" t="str">
        <f>UPPER(Tabla11[[#This Row],[Comercial]])</f>
        <v>PABLO LOPEZ 7384</v>
      </c>
      <c r="J73" s="24" t="str">
        <f>LOWER(Tabla11[[#This Row],[Comercial]])</f>
        <v>pablo lopez 7384</v>
      </c>
      <c r="K73" s="227" t="str">
        <f>PROPER(Tabla11[[#This Row],[Comercial]])</f>
        <v>Pablo Lopez 7384</v>
      </c>
      <c r="L73" t="s">
        <v>1508</v>
      </c>
      <c r="M73" t="str">
        <f>RIGHT(Tabla11[[#This Row],[Comercial]],4)</f>
        <v>7384</v>
      </c>
      <c r="N73" t="str">
        <f>LEFT(Tabla11[[#This Row],[Minuscula]],6)</f>
        <v xml:space="preserve">pablo </v>
      </c>
    </row>
    <row r="74" spans="1:14">
      <c r="A74" s="226">
        <v>1073</v>
      </c>
      <c r="B74" s="224">
        <v>44262</v>
      </c>
      <c r="C74" s="207" t="s">
        <v>1501</v>
      </c>
      <c r="D74" s="207" t="s">
        <v>1497</v>
      </c>
      <c r="E74" s="207" t="s">
        <v>518</v>
      </c>
      <c r="F74" s="225">
        <v>24</v>
      </c>
      <c r="G74" s="225">
        <v>5.04</v>
      </c>
      <c r="H74" s="225">
        <v>29.04</v>
      </c>
      <c r="I74" s="24" t="str">
        <f>UPPER(Tabla11[[#This Row],[Comercial]])</f>
        <v>MARIO PEREZ 1123</v>
      </c>
      <c r="J74" s="24" t="str">
        <f>LOWER(Tabla11[[#This Row],[Comercial]])</f>
        <v>mario perez 1123</v>
      </c>
      <c r="K74" s="227" t="str">
        <f>PROPER(Tabla11[[#This Row],[Comercial]])</f>
        <v>Mario Perez 1123</v>
      </c>
      <c r="L74" t="s">
        <v>1510</v>
      </c>
      <c r="M74" t="str">
        <f>RIGHT(Tabla11[[#This Row],[Comercial]],4)</f>
        <v>1123</v>
      </c>
      <c r="N74" t="str">
        <f>LEFT(Tabla11[[#This Row],[Minuscula]],6)</f>
        <v xml:space="preserve">mario </v>
      </c>
    </row>
    <row r="75" spans="1:14">
      <c r="A75" s="226">
        <v>1074</v>
      </c>
      <c r="B75" s="224">
        <v>44263</v>
      </c>
      <c r="C75" s="207" t="s">
        <v>1496</v>
      </c>
      <c r="D75" s="207" t="s">
        <v>1497</v>
      </c>
      <c r="E75" s="207" t="s">
        <v>534</v>
      </c>
      <c r="F75" s="225">
        <v>6</v>
      </c>
      <c r="G75" s="225">
        <v>1.26</v>
      </c>
      <c r="H75" s="225">
        <v>7.26</v>
      </c>
      <c r="I75" s="24" t="str">
        <f>UPPER(Tabla11[[#This Row],[Comercial]])</f>
        <v>PABLO LOPEZ 7384</v>
      </c>
      <c r="J75" s="24" t="str">
        <f>LOWER(Tabla11[[#This Row],[Comercial]])</f>
        <v>pablo lopez 7384</v>
      </c>
      <c r="K75" s="227" t="str">
        <f>PROPER(Tabla11[[#This Row],[Comercial]])</f>
        <v>Pablo Lopez 7384</v>
      </c>
      <c r="L75" t="s">
        <v>1508</v>
      </c>
      <c r="M75" t="str">
        <f>RIGHT(Tabla11[[#This Row],[Comercial]],4)</f>
        <v>7384</v>
      </c>
      <c r="N75" t="str">
        <f>LEFT(Tabla11[[#This Row],[Minuscula]],6)</f>
        <v xml:space="preserve">pablo </v>
      </c>
    </row>
    <row r="76" spans="1:14">
      <c r="A76" s="226">
        <v>1075</v>
      </c>
      <c r="B76" s="224">
        <v>44265</v>
      </c>
      <c r="C76" s="207" t="s">
        <v>1504</v>
      </c>
      <c r="D76" s="207" t="s">
        <v>1499</v>
      </c>
      <c r="E76" s="207" t="s">
        <v>534</v>
      </c>
      <c r="F76" s="225">
        <v>7</v>
      </c>
      <c r="G76" s="225">
        <v>1.47</v>
      </c>
      <c r="H76" s="225">
        <v>8.4700000000000006</v>
      </c>
      <c r="I76" s="24" t="str">
        <f>UPPER(Tabla11[[#This Row],[Comercial]])</f>
        <v>MARIA GARCIA 1254</v>
      </c>
      <c r="J76" s="24" t="str">
        <f>LOWER(Tabla11[[#This Row],[Comercial]])</f>
        <v>maria garcia 1254</v>
      </c>
      <c r="K76" s="227" t="str">
        <f>PROPER(Tabla11[[#This Row],[Comercial]])</f>
        <v>Maria Garcia 1254</v>
      </c>
      <c r="L76" t="s">
        <v>1506</v>
      </c>
      <c r="M76" t="str">
        <f>RIGHT(Tabla11[[#This Row],[Comercial]],4)</f>
        <v>1254</v>
      </c>
      <c r="N76" t="str">
        <f>LEFT(Tabla11[[#This Row],[Minuscula]],6)</f>
        <v xml:space="preserve">maria </v>
      </c>
    </row>
    <row r="77" spans="1:14">
      <c r="A77" s="226">
        <v>1076</v>
      </c>
      <c r="B77" s="224">
        <v>44265</v>
      </c>
      <c r="C77" s="207" t="s">
        <v>1504</v>
      </c>
      <c r="D77" s="207" t="s">
        <v>1494</v>
      </c>
      <c r="E77" s="207" t="s">
        <v>520</v>
      </c>
      <c r="F77" s="225">
        <v>682</v>
      </c>
      <c r="G77" s="225">
        <v>143.22</v>
      </c>
      <c r="H77" s="225">
        <v>825.22</v>
      </c>
      <c r="I77" s="24" t="str">
        <f>UPPER(Tabla11[[#This Row],[Comercial]])</f>
        <v>MARIA GARCIA 1254</v>
      </c>
      <c r="J77" s="24" t="str">
        <f>LOWER(Tabla11[[#This Row],[Comercial]])</f>
        <v>maria garcia 1254</v>
      </c>
      <c r="K77" s="227" t="str">
        <f>PROPER(Tabla11[[#This Row],[Comercial]])</f>
        <v>Maria Garcia 1254</v>
      </c>
      <c r="L77" t="s">
        <v>1506</v>
      </c>
      <c r="M77" t="str">
        <f>RIGHT(Tabla11[[#This Row],[Comercial]],4)</f>
        <v>1254</v>
      </c>
      <c r="N77" t="str">
        <f>LEFT(Tabla11[[#This Row],[Minuscula]],6)</f>
        <v xml:space="preserve">maria </v>
      </c>
    </row>
    <row r="78" spans="1:14">
      <c r="A78" s="226">
        <v>1077</v>
      </c>
      <c r="B78" s="224">
        <v>44266</v>
      </c>
      <c r="C78" s="207" t="s">
        <v>1501</v>
      </c>
      <c r="D78" s="207" t="s">
        <v>1494</v>
      </c>
      <c r="E78" s="207" t="s">
        <v>520</v>
      </c>
      <c r="F78" s="225">
        <v>797</v>
      </c>
      <c r="G78" s="225">
        <v>167.37</v>
      </c>
      <c r="H78" s="225">
        <v>964.37</v>
      </c>
      <c r="I78" s="24" t="str">
        <f>UPPER(Tabla11[[#This Row],[Comercial]])</f>
        <v>MARIO PEREZ 1123</v>
      </c>
      <c r="J78" s="24" t="str">
        <f>LOWER(Tabla11[[#This Row],[Comercial]])</f>
        <v>mario perez 1123</v>
      </c>
      <c r="K78" s="227" t="str">
        <f>PROPER(Tabla11[[#This Row],[Comercial]])</f>
        <v>Mario Perez 1123</v>
      </c>
      <c r="L78" t="s">
        <v>1510</v>
      </c>
      <c r="M78" t="str">
        <f>RIGHT(Tabla11[[#This Row],[Comercial]],4)</f>
        <v>1123</v>
      </c>
      <c r="N78" t="str">
        <f>LEFT(Tabla11[[#This Row],[Minuscula]],6)</f>
        <v xml:space="preserve">mario </v>
      </c>
    </row>
    <row r="79" spans="1:14">
      <c r="A79" s="226">
        <v>1078</v>
      </c>
      <c r="B79" s="224">
        <v>44267</v>
      </c>
      <c r="C79" s="207" t="s">
        <v>1495</v>
      </c>
      <c r="D79" s="207" t="s">
        <v>1499</v>
      </c>
      <c r="E79" s="207" t="s">
        <v>534</v>
      </c>
      <c r="F79" s="225">
        <v>8</v>
      </c>
      <c r="G79" s="225">
        <v>1.68</v>
      </c>
      <c r="H79" s="225">
        <v>9.68</v>
      </c>
      <c r="I79" s="24" t="str">
        <f>UPPER(Tabla11[[#This Row],[Comercial]])</f>
        <v>LUIS VALLE 5431</v>
      </c>
      <c r="J79" s="24" t="str">
        <f>LOWER(Tabla11[[#This Row],[Comercial]])</f>
        <v>luis valle 5431</v>
      </c>
      <c r="K79" s="227" t="str">
        <f>PROPER(Tabla11[[#This Row],[Comercial]])</f>
        <v>Luis Valle 5431</v>
      </c>
      <c r="L79" t="s">
        <v>1507</v>
      </c>
      <c r="M79" t="str">
        <f>RIGHT(Tabla11[[#This Row],[Comercial]],4)</f>
        <v>5431</v>
      </c>
      <c r="N79" t="str">
        <f>LEFT(Tabla11[[#This Row],[Minuscula]],6)</f>
        <v>luis v</v>
      </c>
    </row>
    <row r="80" spans="1:14">
      <c r="A80" s="226">
        <v>1079</v>
      </c>
      <c r="B80" s="224">
        <v>44268</v>
      </c>
      <c r="C80" s="207" t="s">
        <v>1496</v>
      </c>
      <c r="D80" s="207" t="s">
        <v>1503</v>
      </c>
      <c r="E80" s="207" t="s">
        <v>534</v>
      </c>
      <c r="F80" s="225">
        <v>9</v>
      </c>
      <c r="G80" s="225">
        <v>1.89</v>
      </c>
      <c r="H80" s="225">
        <v>10.89</v>
      </c>
      <c r="I80" s="24" t="str">
        <f>UPPER(Tabla11[[#This Row],[Comercial]])</f>
        <v>PABLO LOPEZ 7384</v>
      </c>
      <c r="J80" s="24" t="str">
        <f>LOWER(Tabla11[[#This Row],[Comercial]])</f>
        <v>pablo lopez 7384</v>
      </c>
      <c r="K80" s="227" t="str">
        <f>PROPER(Tabla11[[#This Row],[Comercial]])</f>
        <v>Pablo Lopez 7384</v>
      </c>
      <c r="L80" t="s">
        <v>1508</v>
      </c>
      <c r="M80" t="str">
        <f>RIGHT(Tabla11[[#This Row],[Comercial]],4)</f>
        <v>7384</v>
      </c>
      <c r="N80" t="str">
        <f>LEFT(Tabla11[[#This Row],[Minuscula]],6)</f>
        <v xml:space="preserve">pablo </v>
      </c>
    </row>
    <row r="81" spans="1:14">
      <c r="A81" s="226">
        <v>1080</v>
      </c>
      <c r="B81" s="224">
        <v>44268</v>
      </c>
      <c r="C81" s="207" t="s">
        <v>1501</v>
      </c>
      <c r="D81" s="207" t="s">
        <v>1494</v>
      </c>
      <c r="E81" s="207" t="s">
        <v>534</v>
      </c>
      <c r="F81" s="225">
        <v>5</v>
      </c>
      <c r="G81" s="225">
        <v>1.05</v>
      </c>
      <c r="H81" s="225">
        <v>6.05</v>
      </c>
      <c r="I81" s="24" t="str">
        <f>UPPER(Tabla11[[#This Row],[Comercial]])</f>
        <v>MARIO PEREZ 1123</v>
      </c>
      <c r="J81" s="24" t="str">
        <f>LOWER(Tabla11[[#This Row],[Comercial]])</f>
        <v>mario perez 1123</v>
      </c>
      <c r="K81" s="227" t="str">
        <f>PROPER(Tabla11[[#This Row],[Comercial]])</f>
        <v>Mario Perez 1123</v>
      </c>
      <c r="L81" t="s">
        <v>1510</v>
      </c>
      <c r="M81" t="str">
        <f>RIGHT(Tabla11[[#This Row],[Comercial]],4)</f>
        <v>1123</v>
      </c>
      <c r="N81" t="str">
        <f>LEFT(Tabla11[[#This Row],[Minuscula]],6)</f>
        <v xml:space="preserve">mario </v>
      </c>
    </row>
    <row r="82" spans="1:14">
      <c r="A82" s="226">
        <v>1081</v>
      </c>
      <c r="B82" s="224">
        <v>44269</v>
      </c>
      <c r="C82" s="207" t="s">
        <v>1504</v>
      </c>
      <c r="D82" s="207" t="s">
        <v>1497</v>
      </c>
      <c r="E82" s="207" t="s">
        <v>534</v>
      </c>
      <c r="F82" s="225">
        <v>10</v>
      </c>
      <c r="G82" s="225">
        <v>2.1</v>
      </c>
      <c r="H82" s="225">
        <v>12.1</v>
      </c>
      <c r="I82" s="24" t="str">
        <f>UPPER(Tabla11[[#This Row],[Comercial]])</f>
        <v>MARIA GARCIA 1254</v>
      </c>
      <c r="J82" s="24" t="str">
        <f>LOWER(Tabla11[[#This Row],[Comercial]])</f>
        <v>maria garcia 1254</v>
      </c>
      <c r="K82" s="227" t="str">
        <f>PROPER(Tabla11[[#This Row],[Comercial]])</f>
        <v>Maria Garcia 1254</v>
      </c>
      <c r="L82" t="s">
        <v>1506</v>
      </c>
      <c r="M82" t="str">
        <f>RIGHT(Tabla11[[#This Row],[Comercial]],4)</f>
        <v>1254</v>
      </c>
      <c r="N82" t="str">
        <f>LEFT(Tabla11[[#This Row],[Minuscula]],6)</f>
        <v xml:space="preserve">maria </v>
      </c>
    </row>
    <row r="83" spans="1:14">
      <c r="A83" s="226">
        <v>1082</v>
      </c>
      <c r="B83" s="224">
        <v>44272</v>
      </c>
      <c r="C83" s="207" t="s">
        <v>1495</v>
      </c>
      <c r="D83" s="207" t="s">
        <v>1503</v>
      </c>
      <c r="E83" s="207" t="s">
        <v>520</v>
      </c>
      <c r="F83" s="225">
        <v>801</v>
      </c>
      <c r="G83" s="225">
        <v>168.21</v>
      </c>
      <c r="H83" s="225">
        <v>969.21</v>
      </c>
      <c r="I83" s="24" t="str">
        <f>UPPER(Tabla11[[#This Row],[Comercial]])</f>
        <v>LUIS VALLE 5431</v>
      </c>
      <c r="J83" s="24" t="str">
        <f>LOWER(Tabla11[[#This Row],[Comercial]])</f>
        <v>luis valle 5431</v>
      </c>
      <c r="K83" s="227" t="str">
        <f>PROPER(Tabla11[[#This Row],[Comercial]])</f>
        <v>Luis Valle 5431</v>
      </c>
      <c r="L83" t="s">
        <v>1507</v>
      </c>
      <c r="M83" t="str">
        <f>RIGHT(Tabla11[[#This Row],[Comercial]],4)</f>
        <v>5431</v>
      </c>
      <c r="N83" t="str">
        <f>LEFT(Tabla11[[#This Row],[Minuscula]],6)</f>
        <v>luis v</v>
      </c>
    </row>
    <row r="84" spans="1:14">
      <c r="A84" s="226">
        <v>1083</v>
      </c>
      <c r="B84" s="224">
        <v>44273</v>
      </c>
      <c r="C84" s="207" t="s">
        <v>1504</v>
      </c>
      <c r="D84" s="207" t="s">
        <v>1499</v>
      </c>
      <c r="E84" s="207" t="s">
        <v>534</v>
      </c>
      <c r="F84" s="225">
        <v>8</v>
      </c>
      <c r="G84" s="225">
        <v>1.68</v>
      </c>
      <c r="H84" s="225">
        <v>9.68</v>
      </c>
      <c r="I84" s="24" t="str">
        <f>UPPER(Tabla11[[#This Row],[Comercial]])</f>
        <v>MARIA GARCIA 1254</v>
      </c>
      <c r="J84" s="24" t="str">
        <f>LOWER(Tabla11[[#This Row],[Comercial]])</f>
        <v>maria garcia 1254</v>
      </c>
      <c r="K84" s="227" t="str">
        <f>PROPER(Tabla11[[#This Row],[Comercial]])</f>
        <v>Maria Garcia 1254</v>
      </c>
      <c r="L84" t="s">
        <v>1506</v>
      </c>
      <c r="M84" t="str">
        <f>RIGHT(Tabla11[[#This Row],[Comercial]],4)</f>
        <v>1254</v>
      </c>
      <c r="N84" t="str">
        <f>LEFT(Tabla11[[#This Row],[Minuscula]],6)</f>
        <v xml:space="preserve">maria </v>
      </c>
    </row>
    <row r="85" spans="1:14">
      <c r="A85" s="226">
        <v>1084</v>
      </c>
      <c r="B85" s="224">
        <v>44274</v>
      </c>
      <c r="C85" s="207" t="s">
        <v>1500</v>
      </c>
      <c r="D85" s="207" t="s">
        <v>1494</v>
      </c>
      <c r="E85" s="207" t="s">
        <v>520</v>
      </c>
      <c r="F85" s="225">
        <v>302</v>
      </c>
      <c r="G85" s="225">
        <v>63.42</v>
      </c>
      <c r="H85" s="225">
        <v>365.42</v>
      </c>
      <c r="I85" s="24" t="str">
        <f>UPPER(Tabla11[[#This Row],[Comercial]])</f>
        <v>ANA FERNANDEZZ 4321</v>
      </c>
      <c r="J85" s="24" t="str">
        <f>LOWER(Tabla11[[#This Row],[Comercial]])</f>
        <v>ana fernandezz 4321</v>
      </c>
      <c r="K85" s="227" t="str">
        <f>PROPER(Tabla11[[#This Row],[Comercial]])</f>
        <v>Ana Fernandezz 4321</v>
      </c>
      <c r="L85" t="s">
        <v>1509</v>
      </c>
      <c r="M85" t="str">
        <f>RIGHT(Tabla11[[#This Row],[Comercial]],4)</f>
        <v>4321</v>
      </c>
      <c r="N85" t="str">
        <f>LEFT(Tabla11[[#This Row],[Minuscula]],6)</f>
        <v>ana fe</v>
      </c>
    </row>
    <row r="86" spans="1:14">
      <c r="A86" s="226">
        <v>1085</v>
      </c>
      <c r="B86" s="224">
        <v>44274</v>
      </c>
      <c r="C86" s="207" t="s">
        <v>1496</v>
      </c>
      <c r="D86" s="207" t="s">
        <v>1502</v>
      </c>
      <c r="E86" s="207" t="s">
        <v>525</v>
      </c>
      <c r="F86" s="225">
        <v>9</v>
      </c>
      <c r="G86" s="225">
        <v>1.89</v>
      </c>
      <c r="H86" s="225">
        <v>10.89</v>
      </c>
      <c r="I86" s="24" t="str">
        <f>UPPER(Tabla11[[#This Row],[Comercial]])</f>
        <v>PABLO LOPEZ 7384</v>
      </c>
      <c r="J86" s="24" t="str">
        <f>LOWER(Tabla11[[#This Row],[Comercial]])</f>
        <v>pablo lopez 7384</v>
      </c>
      <c r="K86" s="227" t="str">
        <f>PROPER(Tabla11[[#This Row],[Comercial]])</f>
        <v>Pablo Lopez 7384</v>
      </c>
      <c r="L86" t="s">
        <v>1508</v>
      </c>
      <c r="M86" t="str">
        <f>RIGHT(Tabla11[[#This Row],[Comercial]],4)</f>
        <v>7384</v>
      </c>
      <c r="N86" t="str">
        <f>LEFT(Tabla11[[#This Row],[Minuscula]],6)</f>
        <v xml:space="preserve">pablo </v>
      </c>
    </row>
    <row r="87" spans="1:14">
      <c r="A87" s="226">
        <v>1086</v>
      </c>
      <c r="B87" s="224">
        <v>44274</v>
      </c>
      <c r="C87" s="207" t="s">
        <v>1496</v>
      </c>
      <c r="D87" s="207" t="s">
        <v>1502</v>
      </c>
      <c r="E87" s="207" t="s">
        <v>525</v>
      </c>
      <c r="F87" s="225">
        <v>10</v>
      </c>
      <c r="G87" s="225">
        <v>2.1</v>
      </c>
      <c r="H87" s="225">
        <v>12.1</v>
      </c>
      <c r="I87" s="24" t="str">
        <f>UPPER(Tabla11[[#This Row],[Comercial]])</f>
        <v>PABLO LOPEZ 7384</v>
      </c>
      <c r="J87" s="24" t="str">
        <f>LOWER(Tabla11[[#This Row],[Comercial]])</f>
        <v>pablo lopez 7384</v>
      </c>
      <c r="K87" s="227" t="str">
        <f>PROPER(Tabla11[[#This Row],[Comercial]])</f>
        <v>Pablo Lopez 7384</v>
      </c>
      <c r="L87" t="s">
        <v>1508</v>
      </c>
      <c r="M87" t="str">
        <f>RIGHT(Tabla11[[#This Row],[Comercial]],4)</f>
        <v>7384</v>
      </c>
      <c r="N87" t="str">
        <f>LEFT(Tabla11[[#This Row],[Minuscula]],6)</f>
        <v xml:space="preserve">pablo </v>
      </c>
    </row>
    <row r="88" spans="1:14">
      <c r="A88" s="226">
        <v>1087</v>
      </c>
      <c r="B88" s="224">
        <v>44275</v>
      </c>
      <c r="C88" s="207" t="s">
        <v>1495</v>
      </c>
      <c r="D88" s="207" t="s">
        <v>1497</v>
      </c>
      <c r="E88" s="207" t="s">
        <v>534</v>
      </c>
      <c r="F88" s="225">
        <v>10</v>
      </c>
      <c r="G88" s="225">
        <v>2.1</v>
      </c>
      <c r="H88" s="225">
        <v>12.1</v>
      </c>
      <c r="I88" s="24" t="str">
        <f>UPPER(Tabla11[[#This Row],[Comercial]])</f>
        <v>LUIS VALLE 5431</v>
      </c>
      <c r="J88" s="24" t="str">
        <f>LOWER(Tabla11[[#This Row],[Comercial]])</f>
        <v>luis valle 5431</v>
      </c>
      <c r="K88" s="227" t="str">
        <f>PROPER(Tabla11[[#This Row],[Comercial]])</f>
        <v>Luis Valle 5431</v>
      </c>
      <c r="L88" t="s">
        <v>1507</v>
      </c>
      <c r="M88" t="str">
        <f>RIGHT(Tabla11[[#This Row],[Comercial]],4)</f>
        <v>5431</v>
      </c>
      <c r="N88" t="str">
        <f>LEFT(Tabla11[[#This Row],[Minuscula]],6)</f>
        <v>luis v</v>
      </c>
    </row>
    <row r="89" spans="1:14">
      <c r="A89" s="226">
        <v>1088</v>
      </c>
      <c r="B89" s="224">
        <v>44277</v>
      </c>
      <c r="C89" s="207" t="s">
        <v>1496</v>
      </c>
      <c r="D89" s="207" t="s">
        <v>1494</v>
      </c>
      <c r="E89" s="207" t="s">
        <v>530</v>
      </c>
      <c r="F89" s="225">
        <v>49</v>
      </c>
      <c r="G89" s="225">
        <v>10.29</v>
      </c>
      <c r="H89" s="225">
        <v>59.29</v>
      </c>
      <c r="I89" s="24" t="str">
        <f>UPPER(Tabla11[[#This Row],[Comercial]])</f>
        <v>PABLO LOPEZ 7384</v>
      </c>
      <c r="J89" s="24" t="str">
        <f>LOWER(Tabla11[[#This Row],[Comercial]])</f>
        <v>pablo lopez 7384</v>
      </c>
      <c r="K89" s="227" t="str">
        <f>PROPER(Tabla11[[#This Row],[Comercial]])</f>
        <v>Pablo Lopez 7384</v>
      </c>
      <c r="L89" t="s">
        <v>1508</v>
      </c>
      <c r="M89" t="str">
        <f>RIGHT(Tabla11[[#This Row],[Comercial]],4)</f>
        <v>7384</v>
      </c>
      <c r="N89" t="str">
        <f>LEFT(Tabla11[[#This Row],[Minuscula]],6)</f>
        <v xml:space="preserve">pablo </v>
      </c>
    </row>
    <row r="90" spans="1:14">
      <c r="A90" s="226">
        <v>1089</v>
      </c>
      <c r="B90" s="224">
        <v>44277</v>
      </c>
      <c r="C90" s="207" t="s">
        <v>1500</v>
      </c>
      <c r="D90" s="207" t="s">
        <v>1502</v>
      </c>
      <c r="E90" s="207" t="s">
        <v>530</v>
      </c>
      <c r="F90" s="225">
        <v>21</v>
      </c>
      <c r="G90" s="225">
        <v>4.41</v>
      </c>
      <c r="H90" s="225">
        <v>25.41</v>
      </c>
      <c r="I90" s="24" t="str">
        <f>UPPER(Tabla11[[#This Row],[Comercial]])</f>
        <v>ANA FERNANDEZZ 4321</v>
      </c>
      <c r="J90" s="24" t="str">
        <f>LOWER(Tabla11[[#This Row],[Comercial]])</f>
        <v>ana fernandezz 4321</v>
      </c>
      <c r="K90" s="227" t="str">
        <f>PROPER(Tabla11[[#This Row],[Comercial]])</f>
        <v>Ana Fernandezz 4321</v>
      </c>
      <c r="L90" t="s">
        <v>1509</v>
      </c>
      <c r="M90" t="str">
        <f>RIGHT(Tabla11[[#This Row],[Comercial]],4)</f>
        <v>4321</v>
      </c>
      <c r="N90" t="str">
        <f>LEFT(Tabla11[[#This Row],[Minuscula]],6)</f>
        <v>ana fe</v>
      </c>
    </row>
    <row r="91" spans="1:14">
      <c r="A91" s="226">
        <v>1090</v>
      </c>
      <c r="B91" s="224">
        <v>44278</v>
      </c>
      <c r="C91" s="207" t="s">
        <v>1501</v>
      </c>
      <c r="D91" s="207" t="s">
        <v>1502</v>
      </c>
      <c r="E91" s="207" t="s">
        <v>525</v>
      </c>
      <c r="F91" s="225">
        <v>7</v>
      </c>
      <c r="G91" s="225">
        <v>1.47</v>
      </c>
      <c r="H91" s="225">
        <v>8.4700000000000006</v>
      </c>
      <c r="I91" s="24" t="str">
        <f>UPPER(Tabla11[[#This Row],[Comercial]])</f>
        <v>MARIO PEREZ 1123</v>
      </c>
      <c r="J91" s="24" t="str">
        <f>LOWER(Tabla11[[#This Row],[Comercial]])</f>
        <v>mario perez 1123</v>
      </c>
      <c r="K91" s="227" t="str">
        <f>PROPER(Tabla11[[#This Row],[Comercial]])</f>
        <v>Mario Perez 1123</v>
      </c>
      <c r="L91" t="s">
        <v>1510</v>
      </c>
      <c r="M91" t="str">
        <f>RIGHT(Tabla11[[#This Row],[Comercial]],4)</f>
        <v>1123</v>
      </c>
      <c r="N91" t="str">
        <f>LEFT(Tabla11[[#This Row],[Minuscula]],6)</f>
        <v xml:space="preserve">mario </v>
      </c>
    </row>
    <row r="92" spans="1:14">
      <c r="A92" s="226">
        <v>1091</v>
      </c>
      <c r="B92" s="224">
        <v>44280</v>
      </c>
      <c r="C92" s="207" t="s">
        <v>1496</v>
      </c>
      <c r="D92" s="207" t="s">
        <v>1502</v>
      </c>
      <c r="E92" s="207" t="s">
        <v>518</v>
      </c>
      <c r="F92" s="225">
        <v>27</v>
      </c>
      <c r="G92" s="225">
        <v>5.67</v>
      </c>
      <c r="H92" s="225">
        <v>32.67</v>
      </c>
      <c r="I92" s="24" t="str">
        <f>UPPER(Tabla11[[#This Row],[Comercial]])</f>
        <v>PABLO LOPEZ 7384</v>
      </c>
      <c r="J92" s="24" t="str">
        <f>LOWER(Tabla11[[#This Row],[Comercial]])</f>
        <v>pablo lopez 7384</v>
      </c>
      <c r="K92" s="227" t="str">
        <f>PROPER(Tabla11[[#This Row],[Comercial]])</f>
        <v>Pablo Lopez 7384</v>
      </c>
      <c r="L92" t="s">
        <v>1508</v>
      </c>
      <c r="M92" t="str">
        <f>RIGHT(Tabla11[[#This Row],[Comercial]],4)</f>
        <v>7384</v>
      </c>
      <c r="N92" t="str">
        <f>LEFT(Tabla11[[#This Row],[Minuscula]],6)</f>
        <v xml:space="preserve">pablo </v>
      </c>
    </row>
    <row r="93" spans="1:14">
      <c r="A93" s="226">
        <v>1092</v>
      </c>
      <c r="B93" s="224">
        <v>44281</v>
      </c>
      <c r="C93" s="207" t="s">
        <v>1496</v>
      </c>
      <c r="D93" s="207" t="s">
        <v>1502</v>
      </c>
      <c r="E93" s="207" t="s">
        <v>530</v>
      </c>
      <c r="F93" s="225">
        <v>23</v>
      </c>
      <c r="G93" s="225">
        <v>4.83</v>
      </c>
      <c r="H93" s="225">
        <v>27.83</v>
      </c>
      <c r="I93" s="24" t="str">
        <f>UPPER(Tabla11[[#This Row],[Comercial]])</f>
        <v>PABLO LOPEZ 7384</v>
      </c>
      <c r="J93" s="24" t="str">
        <f>LOWER(Tabla11[[#This Row],[Comercial]])</f>
        <v>pablo lopez 7384</v>
      </c>
      <c r="K93" s="227" t="str">
        <f>PROPER(Tabla11[[#This Row],[Comercial]])</f>
        <v>Pablo Lopez 7384</v>
      </c>
      <c r="L93" t="s">
        <v>1508</v>
      </c>
      <c r="M93" t="str">
        <f>RIGHT(Tabla11[[#This Row],[Comercial]],4)</f>
        <v>7384</v>
      </c>
      <c r="N93" t="str">
        <f>LEFT(Tabla11[[#This Row],[Minuscula]],6)</f>
        <v xml:space="preserve">pablo </v>
      </c>
    </row>
    <row r="94" spans="1:14">
      <c r="A94" s="226">
        <v>1093</v>
      </c>
      <c r="B94" s="224">
        <v>44282</v>
      </c>
      <c r="C94" s="207" t="s">
        <v>1496</v>
      </c>
      <c r="D94" s="207" t="s">
        <v>1499</v>
      </c>
      <c r="E94" s="207" t="s">
        <v>534</v>
      </c>
      <c r="F94" s="225">
        <v>6</v>
      </c>
      <c r="G94" s="225">
        <v>1.26</v>
      </c>
      <c r="H94" s="225">
        <v>7.26</v>
      </c>
      <c r="I94" s="24" t="str">
        <f>UPPER(Tabla11[[#This Row],[Comercial]])</f>
        <v>PABLO LOPEZ 7384</v>
      </c>
      <c r="J94" s="24" t="str">
        <f>LOWER(Tabla11[[#This Row],[Comercial]])</f>
        <v>pablo lopez 7384</v>
      </c>
      <c r="K94" s="227" t="str">
        <f>PROPER(Tabla11[[#This Row],[Comercial]])</f>
        <v>Pablo Lopez 7384</v>
      </c>
      <c r="L94" t="s">
        <v>1508</v>
      </c>
      <c r="M94" t="str">
        <f>RIGHT(Tabla11[[#This Row],[Comercial]],4)</f>
        <v>7384</v>
      </c>
      <c r="N94" t="str">
        <f>LEFT(Tabla11[[#This Row],[Minuscula]],6)</f>
        <v xml:space="preserve">pablo </v>
      </c>
    </row>
    <row r="95" spans="1:14">
      <c r="A95" s="226">
        <v>1094</v>
      </c>
      <c r="B95" s="224">
        <v>44282</v>
      </c>
      <c r="C95" s="207" t="s">
        <v>1500</v>
      </c>
      <c r="D95" s="207" t="s">
        <v>1499</v>
      </c>
      <c r="E95" s="207" t="s">
        <v>525</v>
      </c>
      <c r="F95" s="225">
        <v>5</v>
      </c>
      <c r="G95" s="225">
        <v>1.05</v>
      </c>
      <c r="H95" s="225">
        <v>6.05</v>
      </c>
      <c r="I95" s="24" t="str">
        <f>UPPER(Tabla11[[#This Row],[Comercial]])</f>
        <v>ANA FERNANDEZZ 4321</v>
      </c>
      <c r="J95" s="24" t="str">
        <f>LOWER(Tabla11[[#This Row],[Comercial]])</f>
        <v>ana fernandezz 4321</v>
      </c>
      <c r="K95" s="227" t="str">
        <f>PROPER(Tabla11[[#This Row],[Comercial]])</f>
        <v>Ana Fernandezz 4321</v>
      </c>
      <c r="L95" t="s">
        <v>1509</v>
      </c>
      <c r="M95" t="str">
        <f>RIGHT(Tabla11[[#This Row],[Comercial]],4)</f>
        <v>4321</v>
      </c>
      <c r="N95" t="str">
        <f>LEFT(Tabla11[[#This Row],[Minuscula]],6)</f>
        <v>ana fe</v>
      </c>
    </row>
    <row r="96" spans="1:14">
      <c r="A96" s="226">
        <v>1095</v>
      </c>
      <c r="B96" s="224">
        <v>44284</v>
      </c>
      <c r="C96" s="207" t="s">
        <v>1501</v>
      </c>
      <c r="D96" s="207" t="s">
        <v>1499</v>
      </c>
      <c r="E96" s="207" t="s">
        <v>530</v>
      </c>
      <c r="F96" s="225">
        <v>16</v>
      </c>
      <c r="G96" s="225">
        <v>3.36</v>
      </c>
      <c r="H96" s="225">
        <v>19.36</v>
      </c>
      <c r="I96" s="24" t="str">
        <f>UPPER(Tabla11[[#This Row],[Comercial]])</f>
        <v>MARIO PEREZ 1123</v>
      </c>
      <c r="J96" s="24" t="str">
        <f>LOWER(Tabla11[[#This Row],[Comercial]])</f>
        <v>mario perez 1123</v>
      </c>
      <c r="K96" s="227" t="str">
        <f>PROPER(Tabla11[[#This Row],[Comercial]])</f>
        <v>Mario Perez 1123</v>
      </c>
      <c r="L96" t="s">
        <v>1510</v>
      </c>
      <c r="M96" t="str">
        <f>RIGHT(Tabla11[[#This Row],[Comercial]],4)</f>
        <v>1123</v>
      </c>
      <c r="N96" t="str">
        <f>LEFT(Tabla11[[#This Row],[Minuscula]],6)</f>
        <v xml:space="preserve">mario </v>
      </c>
    </row>
    <row r="97" spans="1:14">
      <c r="A97" s="226">
        <v>1096</v>
      </c>
      <c r="B97" s="224">
        <v>44284</v>
      </c>
      <c r="C97" s="207" t="s">
        <v>1500</v>
      </c>
      <c r="D97" s="207" t="s">
        <v>1499</v>
      </c>
      <c r="E97" s="207" t="s">
        <v>520</v>
      </c>
      <c r="F97" s="225">
        <v>471</v>
      </c>
      <c r="G97" s="225">
        <v>98.91</v>
      </c>
      <c r="H97" s="225">
        <v>569.91</v>
      </c>
      <c r="I97" s="24" t="str">
        <f>UPPER(Tabla11[[#This Row],[Comercial]])</f>
        <v>ANA FERNANDEZZ 4321</v>
      </c>
      <c r="J97" s="24" t="str">
        <f>LOWER(Tabla11[[#This Row],[Comercial]])</f>
        <v>ana fernandezz 4321</v>
      </c>
      <c r="K97" s="227" t="str">
        <f>PROPER(Tabla11[[#This Row],[Comercial]])</f>
        <v>Ana Fernandezz 4321</v>
      </c>
      <c r="L97" t="s">
        <v>1509</v>
      </c>
      <c r="M97" t="str">
        <f>RIGHT(Tabla11[[#This Row],[Comercial]],4)</f>
        <v>4321</v>
      </c>
      <c r="N97" t="str">
        <f>LEFT(Tabla11[[#This Row],[Minuscula]],6)</f>
        <v>ana fe</v>
      </c>
    </row>
    <row r="98" spans="1:14">
      <c r="A98" s="226">
        <v>1097</v>
      </c>
      <c r="B98" s="224">
        <v>44285</v>
      </c>
      <c r="C98" s="207" t="s">
        <v>1496</v>
      </c>
      <c r="D98" s="207" t="s">
        <v>1503</v>
      </c>
      <c r="E98" s="207" t="s">
        <v>520</v>
      </c>
      <c r="F98" s="225">
        <v>1047</v>
      </c>
      <c r="G98" s="225">
        <v>219.87</v>
      </c>
      <c r="H98" s="225">
        <v>1266.8699999999999</v>
      </c>
      <c r="I98" s="24" t="str">
        <f>UPPER(Tabla11[[#This Row],[Comercial]])</f>
        <v>PABLO LOPEZ 7384</v>
      </c>
      <c r="J98" s="24" t="str">
        <f>LOWER(Tabla11[[#This Row],[Comercial]])</f>
        <v>pablo lopez 7384</v>
      </c>
      <c r="K98" s="227" t="str">
        <f>PROPER(Tabla11[[#This Row],[Comercial]])</f>
        <v>Pablo Lopez 7384</v>
      </c>
      <c r="L98" t="s">
        <v>1508</v>
      </c>
      <c r="M98" t="str">
        <f>RIGHT(Tabla11[[#This Row],[Comercial]],4)</f>
        <v>7384</v>
      </c>
      <c r="N98" t="str">
        <f>LEFT(Tabla11[[#This Row],[Minuscula]],6)</f>
        <v xml:space="preserve">pablo </v>
      </c>
    </row>
    <row r="99" spans="1:14">
      <c r="A99" s="226">
        <v>1098</v>
      </c>
      <c r="B99" s="224">
        <v>44285</v>
      </c>
      <c r="C99" s="207" t="s">
        <v>1501</v>
      </c>
      <c r="D99" s="207" t="s">
        <v>1502</v>
      </c>
      <c r="E99" s="207" t="s">
        <v>534</v>
      </c>
      <c r="F99" s="225">
        <v>5</v>
      </c>
      <c r="G99" s="225">
        <v>1.05</v>
      </c>
      <c r="H99" s="225">
        <v>6.05</v>
      </c>
      <c r="I99" s="24" t="str">
        <f>UPPER(Tabla11[[#This Row],[Comercial]])</f>
        <v>MARIO PEREZ 1123</v>
      </c>
      <c r="J99" s="24" t="str">
        <f>LOWER(Tabla11[[#This Row],[Comercial]])</f>
        <v>mario perez 1123</v>
      </c>
      <c r="K99" s="227" t="str">
        <f>PROPER(Tabla11[[#This Row],[Comercial]])</f>
        <v>Mario Perez 1123</v>
      </c>
      <c r="L99" t="s">
        <v>1510</v>
      </c>
      <c r="M99" t="str">
        <f>RIGHT(Tabla11[[#This Row],[Comercial]],4)</f>
        <v>1123</v>
      </c>
      <c r="N99" t="str">
        <f>LEFT(Tabla11[[#This Row],[Minuscula]],6)</f>
        <v xml:space="preserve">mario </v>
      </c>
    </row>
    <row r="100" spans="1:14">
      <c r="A100" s="226">
        <v>1099</v>
      </c>
      <c r="B100" s="224">
        <v>44285</v>
      </c>
      <c r="C100" s="207" t="s">
        <v>1501</v>
      </c>
      <c r="D100" s="207" t="s">
        <v>1502</v>
      </c>
      <c r="E100" s="207" t="s">
        <v>525</v>
      </c>
      <c r="F100" s="225">
        <v>10</v>
      </c>
      <c r="G100" s="225">
        <v>2.1</v>
      </c>
      <c r="H100" s="225">
        <v>12.1</v>
      </c>
      <c r="I100" s="24" t="str">
        <f>UPPER(Tabla11[[#This Row],[Comercial]])</f>
        <v>MARIO PEREZ 1123</v>
      </c>
      <c r="J100" s="24" t="str">
        <f>LOWER(Tabla11[[#This Row],[Comercial]])</f>
        <v>mario perez 1123</v>
      </c>
      <c r="K100" s="227" t="str">
        <f>PROPER(Tabla11[[#This Row],[Comercial]])</f>
        <v>Mario Perez 1123</v>
      </c>
      <c r="L100" t="s">
        <v>1510</v>
      </c>
      <c r="M100" t="str">
        <f>RIGHT(Tabla11[[#This Row],[Comercial]],4)</f>
        <v>1123</v>
      </c>
      <c r="N100" t="str">
        <f>LEFT(Tabla11[[#This Row],[Minuscula]],6)</f>
        <v xml:space="preserve">mario </v>
      </c>
    </row>
    <row r="101" spans="1:14">
      <c r="A101" s="226">
        <v>1100</v>
      </c>
      <c r="B101" s="224">
        <v>44286</v>
      </c>
      <c r="C101" s="207" t="s">
        <v>1496</v>
      </c>
      <c r="D101" s="207" t="s">
        <v>1499</v>
      </c>
      <c r="E101" s="207" t="s">
        <v>518</v>
      </c>
      <c r="F101" s="225">
        <v>84</v>
      </c>
      <c r="G101" s="225">
        <v>17.64</v>
      </c>
      <c r="H101" s="225">
        <v>101.64</v>
      </c>
      <c r="I101" s="24" t="str">
        <f>UPPER(Tabla11[[#This Row],[Comercial]])</f>
        <v>PABLO LOPEZ 7384</v>
      </c>
      <c r="J101" s="24" t="str">
        <f>LOWER(Tabla11[[#This Row],[Comercial]])</f>
        <v>pablo lopez 7384</v>
      </c>
      <c r="K101" s="227" t="str">
        <f>PROPER(Tabla11[[#This Row],[Comercial]])</f>
        <v>Pablo Lopez 7384</v>
      </c>
      <c r="L101" t="s">
        <v>1508</v>
      </c>
      <c r="M101" t="str">
        <f>RIGHT(Tabla11[[#This Row],[Comercial]],4)</f>
        <v>7384</v>
      </c>
      <c r="N101" t="str">
        <f>LEFT(Tabla11[[#This Row],[Minuscula]],6)</f>
        <v xml:space="preserve">pablo </v>
      </c>
    </row>
    <row r="102" spans="1:14">
      <c r="A102" s="226">
        <v>1101</v>
      </c>
      <c r="B102" s="224">
        <v>44288</v>
      </c>
      <c r="C102" s="207" t="s">
        <v>1500</v>
      </c>
      <c r="D102" s="207" t="s">
        <v>1503</v>
      </c>
      <c r="E102" s="207" t="s">
        <v>530</v>
      </c>
      <c r="F102" s="225">
        <v>39</v>
      </c>
      <c r="G102" s="225">
        <v>8.19</v>
      </c>
      <c r="H102" s="225">
        <v>47.19</v>
      </c>
      <c r="I102" s="24" t="str">
        <f>UPPER(Tabla11[[#This Row],[Comercial]])</f>
        <v>ANA FERNANDEZZ 4321</v>
      </c>
      <c r="J102" s="24" t="str">
        <f>LOWER(Tabla11[[#This Row],[Comercial]])</f>
        <v>ana fernandezz 4321</v>
      </c>
      <c r="K102" s="227" t="str">
        <f>PROPER(Tabla11[[#This Row],[Comercial]])</f>
        <v>Ana Fernandezz 4321</v>
      </c>
      <c r="L102" t="s">
        <v>1509</v>
      </c>
      <c r="M102" t="str">
        <f>RIGHT(Tabla11[[#This Row],[Comercial]],4)</f>
        <v>4321</v>
      </c>
      <c r="N102" t="str">
        <f>LEFT(Tabla11[[#This Row],[Minuscula]],6)</f>
        <v>ana fe</v>
      </c>
    </row>
    <row r="103" spans="1:14">
      <c r="A103" s="226">
        <v>1102</v>
      </c>
      <c r="B103" s="224">
        <v>44288</v>
      </c>
      <c r="C103" s="207" t="s">
        <v>1501</v>
      </c>
      <c r="D103" s="207" t="s">
        <v>1502</v>
      </c>
      <c r="E103" s="207" t="s">
        <v>530</v>
      </c>
      <c r="F103" s="225">
        <v>21</v>
      </c>
      <c r="G103" s="225">
        <v>4.41</v>
      </c>
      <c r="H103" s="225">
        <v>25.41</v>
      </c>
      <c r="I103" s="24" t="str">
        <f>UPPER(Tabla11[[#This Row],[Comercial]])</f>
        <v>MARIO PEREZ 1123</v>
      </c>
      <c r="J103" s="24" t="str">
        <f>LOWER(Tabla11[[#This Row],[Comercial]])</f>
        <v>mario perez 1123</v>
      </c>
      <c r="K103" s="227" t="str">
        <f>PROPER(Tabla11[[#This Row],[Comercial]])</f>
        <v>Mario Perez 1123</v>
      </c>
      <c r="L103" t="s">
        <v>1510</v>
      </c>
      <c r="M103" t="str">
        <f>RIGHT(Tabla11[[#This Row],[Comercial]],4)</f>
        <v>1123</v>
      </c>
      <c r="N103" t="str">
        <f>LEFT(Tabla11[[#This Row],[Minuscula]],6)</f>
        <v xml:space="preserve">mario </v>
      </c>
    </row>
    <row r="104" spans="1:14">
      <c r="A104" s="226">
        <v>1103</v>
      </c>
      <c r="B104" s="224">
        <v>44289</v>
      </c>
      <c r="C104" s="207" t="s">
        <v>1495</v>
      </c>
      <c r="D104" s="207" t="s">
        <v>1502</v>
      </c>
      <c r="E104" s="207" t="s">
        <v>520</v>
      </c>
      <c r="F104" s="225">
        <v>215</v>
      </c>
      <c r="G104" s="225">
        <v>45.15</v>
      </c>
      <c r="H104" s="225">
        <v>260.14999999999998</v>
      </c>
      <c r="I104" s="24" t="str">
        <f>UPPER(Tabla11[[#This Row],[Comercial]])</f>
        <v>LUIS VALLE 5431</v>
      </c>
      <c r="J104" s="24" t="str">
        <f>LOWER(Tabla11[[#This Row],[Comercial]])</f>
        <v>luis valle 5431</v>
      </c>
      <c r="K104" s="227" t="str">
        <f>PROPER(Tabla11[[#This Row],[Comercial]])</f>
        <v>Luis Valle 5431</v>
      </c>
      <c r="L104" t="s">
        <v>1507</v>
      </c>
      <c r="M104" t="str">
        <f>RIGHT(Tabla11[[#This Row],[Comercial]],4)</f>
        <v>5431</v>
      </c>
      <c r="N104" t="str">
        <f>LEFT(Tabla11[[#This Row],[Minuscula]],6)</f>
        <v>luis v</v>
      </c>
    </row>
    <row r="105" spans="1:14">
      <c r="A105" s="226">
        <v>1104</v>
      </c>
      <c r="B105" s="224">
        <v>44290</v>
      </c>
      <c r="C105" s="207" t="s">
        <v>1495</v>
      </c>
      <c r="D105" s="207" t="s">
        <v>1502</v>
      </c>
      <c r="E105" s="207" t="s">
        <v>530</v>
      </c>
      <c r="F105" s="225">
        <v>12</v>
      </c>
      <c r="G105" s="225">
        <v>2.52</v>
      </c>
      <c r="H105" s="225">
        <v>14.52</v>
      </c>
      <c r="I105" s="24" t="str">
        <f>UPPER(Tabla11[[#This Row],[Comercial]])</f>
        <v>LUIS VALLE 5431</v>
      </c>
      <c r="J105" s="24" t="str">
        <f>LOWER(Tabla11[[#This Row],[Comercial]])</f>
        <v>luis valle 5431</v>
      </c>
      <c r="K105" s="227" t="str">
        <f>PROPER(Tabla11[[#This Row],[Comercial]])</f>
        <v>Luis Valle 5431</v>
      </c>
      <c r="L105" t="s">
        <v>1507</v>
      </c>
      <c r="M105" t="str">
        <f>RIGHT(Tabla11[[#This Row],[Comercial]],4)</f>
        <v>5431</v>
      </c>
      <c r="N105" t="str">
        <f>LEFT(Tabla11[[#This Row],[Minuscula]],6)</f>
        <v>luis v</v>
      </c>
    </row>
    <row r="106" spans="1:14">
      <c r="A106" s="226">
        <v>1105</v>
      </c>
      <c r="B106" s="224">
        <v>44292</v>
      </c>
      <c r="C106" s="207" t="s">
        <v>1500</v>
      </c>
      <c r="D106" s="207" t="s">
        <v>1494</v>
      </c>
      <c r="E106" s="207" t="s">
        <v>534</v>
      </c>
      <c r="F106" s="225">
        <v>10</v>
      </c>
      <c r="G106" s="225">
        <v>2.1</v>
      </c>
      <c r="H106" s="225">
        <v>12.1</v>
      </c>
      <c r="I106" s="24" t="str">
        <f>UPPER(Tabla11[[#This Row],[Comercial]])</f>
        <v>ANA FERNANDEZZ 4321</v>
      </c>
      <c r="J106" s="24" t="str">
        <f>LOWER(Tabla11[[#This Row],[Comercial]])</f>
        <v>ana fernandezz 4321</v>
      </c>
      <c r="K106" s="227" t="str">
        <f>PROPER(Tabla11[[#This Row],[Comercial]])</f>
        <v>Ana Fernandezz 4321</v>
      </c>
      <c r="L106" t="s">
        <v>1509</v>
      </c>
      <c r="M106" t="str">
        <f>RIGHT(Tabla11[[#This Row],[Comercial]],4)</f>
        <v>4321</v>
      </c>
      <c r="N106" t="str">
        <f>LEFT(Tabla11[[#This Row],[Minuscula]],6)</f>
        <v>ana fe</v>
      </c>
    </row>
    <row r="107" spans="1:14">
      <c r="A107" s="226">
        <v>1106</v>
      </c>
      <c r="B107" s="224">
        <v>44294</v>
      </c>
      <c r="C107" s="207" t="s">
        <v>1496</v>
      </c>
      <c r="D107" s="207" t="s">
        <v>1497</v>
      </c>
      <c r="E107" s="207" t="s">
        <v>518</v>
      </c>
      <c r="F107" s="225">
        <v>33</v>
      </c>
      <c r="G107" s="225">
        <v>6.93</v>
      </c>
      <c r="H107" s="225">
        <v>39.93</v>
      </c>
      <c r="I107" s="24" t="str">
        <f>UPPER(Tabla11[[#This Row],[Comercial]])</f>
        <v>PABLO LOPEZ 7384</v>
      </c>
      <c r="J107" s="24" t="str">
        <f>LOWER(Tabla11[[#This Row],[Comercial]])</f>
        <v>pablo lopez 7384</v>
      </c>
      <c r="K107" s="227" t="str">
        <f>PROPER(Tabla11[[#This Row],[Comercial]])</f>
        <v>Pablo Lopez 7384</v>
      </c>
      <c r="L107" t="s">
        <v>1508</v>
      </c>
      <c r="M107" t="str">
        <f>RIGHT(Tabla11[[#This Row],[Comercial]],4)</f>
        <v>7384</v>
      </c>
      <c r="N107" t="str">
        <f>LEFT(Tabla11[[#This Row],[Minuscula]],6)</f>
        <v xml:space="preserve">pablo </v>
      </c>
    </row>
    <row r="108" spans="1:14">
      <c r="A108" s="226">
        <v>1107</v>
      </c>
      <c r="B108" s="224">
        <v>44294</v>
      </c>
      <c r="C108" s="207" t="s">
        <v>1504</v>
      </c>
      <c r="D108" s="207" t="s">
        <v>1502</v>
      </c>
      <c r="E108" s="207" t="s">
        <v>530</v>
      </c>
      <c r="F108" s="225">
        <v>15</v>
      </c>
      <c r="G108" s="225">
        <v>3.15</v>
      </c>
      <c r="H108" s="225">
        <v>18.149999999999999</v>
      </c>
      <c r="I108" s="24" t="str">
        <f>UPPER(Tabla11[[#This Row],[Comercial]])</f>
        <v>MARIA GARCIA 1254</v>
      </c>
      <c r="J108" s="24" t="str">
        <f>LOWER(Tabla11[[#This Row],[Comercial]])</f>
        <v>maria garcia 1254</v>
      </c>
      <c r="K108" s="227" t="str">
        <f>PROPER(Tabla11[[#This Row],[Comercial]])</f>
        <v>Maria Garcia 1254</v>
      </c>
      <c r="L108" t="s">
        <v>1506</v>
      </c>
      <c r="M108" t="str">
        <f>RIGHT(Tabla11[[#This Row],[Comercial]],4)</f>
        <v>1254</v>
      </c>
      <c r="N108" t="str">
        <f>LEFT(Tabla11[[#This Row],[Minuscula]],6)</f>
        <v xml:space="preserve">maria </v>
      </c>
    </row>
    <row r="109" spans="1:14">
      <c r="A109" s="226">
        <v>1108</v>
      </c>
      <c r="B109" s="224">
        <v>44298</v>
      </c>
      <c r="C109" s="207" t="s">
        <v>1500</v>
      </c>
      <c r="D109" s="207" t="s">
        <v>1494</v>
      </c>
      <c r="E109" s="207" t="s">
        <v>525</v>
      </c>
      <c r="F109" s="225">
        <v>24</v>
      </c>
      <c r="G109" s="225">
        <v>5.04</v>
      </c>
      <c r="H109" s="225">
        <v>29.04</v>
      </c>
      <c r="I109" s="24" t="str">
        <f>UPPER(Tabla11[[#This Row],[Comercial]])</f>
        <v>ANA FERNANDEZZ 4321</v>
      </c>
      <c r="J109" s="24" t="str">
        <f>LOWER(Tabla11[[#This Row],[Comercial]])</f>
        <v>ana fernandezz 4321</v>
      </c>
      <c r="K109" s="227" t="str">
        <f>PROPER(Tabla11[[#This Row],[Comercial]])</f>
        <v>Ana Fernandezz 4321</v>
      </c>
      <c r="L109" t="s">
        <v>1509</v>
      </c>
      <c r="M109" t="str">
        <f>RIGHT(Tabla11[[#This Row],[Comercial]],4)</f>
        <v>4321</v>
      </c>
      <c r="N109" t="str">
        <f>LEFT(Tabla11[[#This Row],[Minuscula]],6)</f>
        <v>ana fe</v>
      </c>
    </row>
    <row r="110" spans="1:14">
      <c r="A110" s="226">
        <v>1109</v>
      </c>
      <c r="B110" s="224">
        <v>44298</v>
      </c>
      <c r="C110" s="207" t="s">
        <v>1501</v>
      </c>
      <c r="D110" s="207" t="s">
        <v>1494</v>
      </c>
      <c r="E110" s="207" t="s">
        <v>520</v>
      </c>
      <c r="F110" s="225">
        <v>584</v>
      </c>
      <c r="G110" s="225">
        <v>122.64</v>
      </c>
      <c r="H110" s="225">
        <v>706.64</v>
      </c>
      <c r="I110" s="24" t="str">
        <f>UPPER(Tabla11[[#This Row],[Comercial]])</f>
        <v>MARIO PEREZ 1123</v>
      </c>
      <c r="J110" s="24" t="str">
        <f>LOWER(Tabla11[[#This Row],[Comercial]])</f>
        <v>mario perez 1123</v>
      </c>
      <c r="K110" s="227" t="str">
        <f>PROPER(Tabla11[[#This Row],[Comercial]])</f>
        <v>Mario Perez 1123</v>
      </c>
      <c r="L110" t="s">
        <v>1510</v>
      </c>
      <c r="M110" t="str">
        <f>RIGHT(Tabla11[[#This Row],[Comercial]],4)</f>
        <v>1123</v>
      </c>
      <c r="N110" t="str">
        <f>LEFT(Tabla11[[#This Row],[Minuscula]],6)</f>
        <v xml:space="preserve">mario </v>
      </c>
    </row>
    <row r="111" spans="1:14">
      <c r="A111" s="226">
        <v>1110</v>
      </c>
      <c r="B111" s="224">
        <v>44299</v>
      </c>
      <c r="C111" s="207" t="s">
        <v>1504</v>
      </c>
      <c r="D111" s="207" t="s">
        <v>1499</v>
      </c>
      <c r="E111" s="207" t="s">
        <v>518</v>
      </c>
      <c r="F111" s="225">
        <v>90</v>
      </c>
      <c r="G111" s="225">
        <v>18.899999999999999</v>
      </c>
      <c r="H111" s="225">
        <v>108.9</v>
      </c>
      <c r="I111" s="24" t="str">
        <f>UPPER(Tabla11[[#This Row],[Comercial]])</f>
        <v>MARIA GARCIA 1254</v>
      </c>
      <c r="J111" s="24" t="str">
        <f>LOWER(Tabla11[[#This Row],[Comercial]])</f>
        <v>maria garcia 1254</v>
      </c>
      <c r="K111" s="227" t="str">
        <f>PROPER(Tabla11[[#This Row],[Comercial]])</f>
        <v>Maria Garcia 1254</v>
      </c>
      <c r="L111" t="s">
        <v>1506</v>
      </c>
      <c r="M111" t="str">
        <f>RIGHT(Tabla11[[#This Row],[Comercial]],4)</f>
        <v>1254</v>
      </c>
      <c r="N111" t="str">
        <f>LEFT(Tabla11[[#This Row],[Minuscula]],6)</f>
        <v xml:space="preserve">maria </v>
      </c>
    </row>
    <row r="112" spans="1:14">
      <c r="A112" s="226">
        <v>1111</v>
      </c>
      <c r="B112" s="224">
        <v>44299</v>
      </c>
      <c r="C112" s="207" t="s">
        <v>1495</v>
      </c>
      <c r="D112" s="207" t="s">
        <v>1502</v>
      </c>
      <c r="E112" s="207" t="s">
        <v>520</v>
      </c>
      <c r="F112" s="225">
        <v>463</v>
      </c>
      <c r="G112" s="225">
        <v>97.23</v>
      </c>
      <c r="H112" s="225">
        <v>560.23</v>
      </c>
      <c r="I112" s="24" t="str">
        <f>UPPER(Tabla11[[#This Row],[Comercial]])</f>
        <v>LUIS VALLE 5431</v>
      </c>
      <c r="J112" s="24" t="str">
        <f>LOWER(Tabla11[[#This Row],[Comercial]])</f>
        <v>luis valle 5431</v>
      </c>
      <c r="K112" s="227" t="str">
        <f>PROPER(Tabla11[[#This Row],[Comercial]])</f>
        <v>Luis Valle 5431</v>
      </c>
      <c r="L112" t="s">
        <v>1507</v>
      </c>
      <c r="M112" t="str">
        <f>RIGHT(Tabla11[[#This Row],[Comercial]],4)</f>
        <v>5431</v>
      </c>
      <c r="N112" t="str">
        <f>LEFT(Tabla11[[#This Row],[Minuscula]],6)</f>
        <v>luis v</v>
      </c>
    </row>
    <row r="113" spans="1:14">
      <c r="A113" s="226">
        <v>1112</v>
      </c>
      <c r="B113" s="224">
        <v>44300</v>
      </c>
      <c r="C113" s="207" t="s">
        <v>1501</v>
      </c>
      <c r="D113" s="207" t="s">
        <v>1503</v>
      </c>
      <c r="E113" s="207" t="s">
        <v>518</v>
      </c>
      <c r="F113" s="225">
        <v>244</v>
      </c>
      <c r="G113" s="225">
        <v>51.24</v>
      </c>
      <c r="H113" s="225">
        <v>295.24</v>
      </c>
      <c r="I113" s="24" t="str">
        <f>UPPER(Tabla11[[#This Row],[Comercial]])</f>
        <v>MARIO PEREZ 1123</v>
      </c>
      <c r="J113" s="24" t="str">
        <f>LOWER(Tabla11[[#This Row],[Comercial]])</f>
        <v>mario perez 1123</v>
      </c>
      <c r="K113" s="227" t="str">
        <f>PROPER(Tabla11[[#This Row],[Comercial]])</f>
        <v>Mario Perez 1123</v>
      </c>
      <c r="L113" t="s">
        <v>1510</v>
      </c>
      <c r="M113" t="str">
        <f>RIGHT(Tabla11[[#This Row],[Comercial]],4)</f>
        <v>1123</v>
      </c>
      <c r="N113" t="str">
        <f>LEFT(Tabla11[[#This Row],[Minuscula]],6)</f>
        <v xml:space="preserve">mario </v>
      </c>
    </row>
    <row r="114" spans="1:14">
      <c r="A114" s="226">
        <v>1113</v>
      </c>
      <c r="B114" s="224">
        <v>44300</v>
      </c>
      <c r="C114" s="207" t="s">
        <v>1495</v>
      </c>
      <c r="D114" s="207" t="s">
        <v>1499</v>
      </c>
      <c r="E114" s="207" t="s">
        <v>518</v>
      </c>
      <c r="F114" s="225">
        <v>55</v>
      </c>
      <c r="G114" s="225">
        <v>11.55</v>
      </c>
      <c r="H114" s="225">
        <v>66.55</v>
      </c>
      <c r="I114" s="24" t="str">
        <f>UPPER(Tabla11[[#This Row],[Comercial]])</f>
        <v>LUIS VALLE 5431</v>
      </c>
      <c r="J114" s="24" t="str">
        <f>LOWER(Tabla11[[#This Row],[Comercial]])</f>
        <v>luis valle 5431</v>
      </c>
      <c r="K114" s="227" t="str">
        <f>PROPER(Tabla11[[#This Row],[Comercial]])</f>
        <v>Luis Valle 5431</v>
      </c>
      <c r="L114" t="s">
        <v>1507</v>
      </c>
      <c r="M114" t="str">
        <f>RIGHT(Tabla11[[#This Row],[Comercial]],4)</f>
        <v>5431</v>
      </c>
      <c r="N114" t="str">
        <f>LEFT(Tabla11[[#This Row],[Minuscula]],6)</f>
        <v>luis v</v>
      </c>
    </row>
    <row r="115" spans="1:14">
      <c r="A115" s="226">
        <v>1114</v>
      </c>
      <c r="B115" s="224">
        <v>44300</v>
      </c>
      <c r="C115" s="207" t="s">
        <v>1504</v>
      </c>
      <c r="D115" s="207" t="s">
        <v>1502</v>
      </c>
      <c r="E115" s="207" t="s">
        <v>518</v>
      </c>
      <c r="F115" s="225">
        <v>28</v>
      </c>
      <c r="G115" s="225">
        <v>5.88</v>
      </c>
      <c r="H115" s="225">
        <v>33.880000000000003</v>
      </c>
      <c r="I115" s="24" t="str">
        <f>UPPER(Tabla11[[#This Row],[Comercial]])</f>
        <v>MARIA GARCIA 1254</v>
      </c>
      <c r="J115" s="24" t="str">
        <f>LOWER(Tabla11[[#This Row],[Comercial]])</f>
        <v>maria garcia 1254</v>
      </c>
      <c r="K115" s="227" t="str">
        <f>PROPER(Tabla11[[#This Row],[Comercial]])</f>
        <v>Maria Garcia 1254</v>
      </c>
      <c r="L115" t="s">
        <v>1506</v>
      </c>
      <c r="M115" t="str">
        <f>RIGHT(Tabla11[[#This Row],[Comercial]],4)</f>
        <v>1254</v>
      </c>
      <c r="N115" t="str">
        <f>LEFT(Tabla11[[#This Row],[Minuscula]],6)</f>
        <v xml:space="preserve">maria </v>
      </c>
    </row>
    <row r="116" spans="1:14">
      <c r="A116" s="226">
        <v>1115</v>
      </c>
      <c r="B116" s="224">
        <v>44303</v>
      </c>
      <c r="C116" s="207" t="s">
        <v>1500</v>
      </c>
      <c r="D116" s="207" t="s">
        <v>1494</v>
      </c>
      <c r="E116" s="207" t="s">
        <v>518</v>
      </c>
      <c r="F116" s="225">
        <v>100</v>
      </c>
      <c r="G116" s="225">
        <v>21</v>
      </c>
      <c r="H116" s="225">
        <v>121</v>
      </c>
      <c r="I116" s="24" t="str">
        <f>UPPER(Tabla11[[#This Row],[Comercial]])</f>
        <v>ANA FERNANDEZZ 4321</v>
      </c>
      <c r="J116" s="24" t="str">
        <f>LOWER(Tabla11[[#This Row],[Comercial]])</f>
        <v>ana fernandezz 4321</v>
      </c>
      <c r="K116" s="227" t="str">
        <f>PROPER(Tabla11[[#This Row],[Comercial]])</f>
        <v>Ana Fernandezz 4321</v>
      </c>
      <c r="L116" t="s">
        <v>1509</v>
      </c>
      <c r="M116" t="str">
        <f>RIGHT(Tabla11[[#This Row],[Comercial]],4)</f>
        <v>4321</v>
      </c>
      <c r="N116" t="str">
        <f>LEFT(Tabla11[[#This Row],[Minuscula]],6)</f>
        <v>ana fe</v>
      </c>
    </row>
    <row r="117" spans="1:14">
      <c r="A117" s="226">
        <v>1116</v>
      </c>
      <c r="B117" s="224">
        <v>44307</v>
      </c>
      <c r="C117" s="207" t="s">
        <v>1504</v>
      </c>
      <c r="D117" s="207" t="s">
        <v>1502</v>
      </c>
      <c r="E117" s="207" t="s">
        <v>534</v>
      </c>
      <c r="F117" s="225">
        <v>7</v>
      </c>
      <c r="G117" s="225">
        <v>1.47</v>
      </c>
      <c r="H117" s="225">
        <v>8.4700000000000006</v>
      </c>
      <c r="I117" s="24" t="str">
        <f>UPPER(Tabla11[[#This Row],[Comercial]])</f>
        <v>MARIA GARCIA 1254</v>
      </c>
      <c r="J117" s="24" t="str">
        <f>LOWER(Tabla11[[#This Row],[Comercial]])</f>
        <v>maria garcia 1254</v>
      </c>
      <c r="K117" s="227" t="str">
        <f>PROPER(Tabla11[[#This Row],[Comercial]])</f>
        <v>Maria Garcia 1254</v>
      </c>
      <c r="L117" t="s">
        <v>1506</v>
      </c>
      <c r="M117" t="str">
        <f>RIGHT(Tabla11[[#This Row],[Comercial]],4)</f>
        <v>1254</v>
      </c>
      <c r="N117" t="str">
        <f>LEFT(Tabla11[[#This Row],[Minuscula]],6)</f>
        <v xml:space="preserve">maria </v>
      </c>
    </row>
    <row r="118" spans="1:14">
      <c r="A118" s="226">
        <v>1117</v>
      </c>
      <c r="B118" s="224">
        <v>44307</v>
      </c>
      <c r="C118" s="207" t="s">
        <v>1500</v>
      </c>
      <c r="D118" s="207" t="s">
        <v>1502</v>
      </c>
      <c r="E118" s="207" t="s">
        <v>518</v>
      </c>
      <c r="F118" s="225">
        <v>27</v>
      </c>
      <c r="G118" s="225">
        <v>5.67</v>
      </c>
      <c r="H118" s="225">
        <v>32.67</v>
      </c>
      <c r="I118" s="24" t="str">
        <f>UPPER(Tabla11[[#This Row],[Comercial]])</f>
        <v>ANA FERNANDEZZ 4321</v>
      </c>
      <c r="J118" s="24" t="str">
        <f>LOWER(Tabla11[[#This Row],[Comercial]])</f>
        <v>ana fernandezz 4321</v>
      </c>
      <c r="K118" s="227" t="str">
        <f>PROPER(Tabla11[[#This Row],[Comercial]])</f>
        <v>Ana Fernandezz 4321</v>
      </c>
      <c r="L118" t="s">
        <v>1509</v>
      </c>
      <c r="M118" t="str">
        <f>RIGHT(Tabla11[[#This Row],[Comercial]],4)</f>
        <v>4321</v>
      </c>
      <c r="N118" t="str">
        <f>LEFT(Tabla11[[#This Row],[Minuscula]],6)</f>
        <v>ana fe</v>
      </c>
    </row>
    <row r="119" spans="1:14">
      <c r="A119" s="226">
        <v>1118</v>
      </c>
      <c r="B119" s="224">
        <v>44307</v>
      </c>
      <c r="C119" s="207" t="s">
        <v>1495</v>
      </c>
      <c r="D119" s="207" t="s">
        <v>1497</v>
      </c>
      <c r="E119" s="207" t="s">
        <v>534</v>
      </c>
      <c r="F119" s="225">
        <v>6</v>
      </c>
      <c r="G119" s="225">
        <v>1.26</v>
      </c>
      <c r="H119" s="225">
        <v>7.26</v>
      </c>
      <c r="I119" s="24" t="str">
        <f>UPPER(Tabla11[[#This Row],[Comercial]])</f>
        <v>LUIS VALLE 5431</v>
      </c>
      <c r="J119" s="24" t="str">
        <f>LOWER(Tabla11[[#This Row],[Comercial]])</f>
        <v>luis valle 5431</v>
      </c>
      <c r="K119" s="227" t="str">
        <f>PROPER(Tabla11[[#This Row],[Comercial]])</f>
        <v>Luis Valle 5431</v>
      </c>
      <c r="L119" t="s">
        <v>1507</v>
      </c>
      <c r="M119" t="str">
        <f>RIGHT(Tabla11[[#This Row],[Comercial]],4)</f>
        <v>5431</v>
      </c>
      <c r="N119" t="str">
        <f>LEFT(Tabla11[[#This Row],[Minuscula]],6)</f>
        <v>luis v</v>
      </c>
    </row>
    <row r="120" spans="1:14">
      <c r="A120" s="226">
        <v>1119</v>
      </c>
      <c r="B120" s="224">
        <v>44308</v>
      </c>
      <c r="C120" s="207" t="s">
        <v>1495</v>
      </c>
      <c r="D120" s="207" t="s">
        <v>1503</v>
      </c>
      <c r="E120" s="207" t="s">
        <v>530</v>
      </c>
      <c r="F120" s="225">
        <v>28</v>
      </c>
      <c r="G120" s="225">
        <v>5.88</v>
      </c>
      <c r="H120" s="225">
        <v>33.880000000000003</v>
      </c>
      <c r="I120" s="24" t="str">
        <f>UPPER(Tabla11[[#This Row],[Comercial]])</f>
        <v>LUIS VALLE 5431</v>
      </c>
      <c r="J120" s="24" t="str">
        <f>LOWER(Tabla11[[#This Row],[Comercial]])</f>
        <v>luis valle 5431</v>
      </c>
      <c r="K120" s="227" t="str">
        <f>PROPER(Tabla11[[#This Row],[Comercial]])</f>
        <v>Luis Valle 5431</v>
      </c>
      <c r="L120" t="s">
        <v>1507</v>
      </c>
      <c r="M120" t="str">
        <f>RIGHT(Tabla11[[#This Row],[Comercial]],4)</f>
        <v>5431</v>
      </c>
      <c r="N120" t="str">
        <f>LEFT(Tabla11[[#This Row],[Minuscula]],6)</f>
        <v>luis v</v>
      </c>
    </row>
    <row r="121" spans="1:14">
      <c r="A121" s="226">
        <v>1120</v>
      </c>
      <c r="B121" s="224">
        <v>44309</v>
      </c>
      <c r="C121" s="207" t="s">
        <v>1496</v>
      </c>
      <c r="D121" s="207" t="s">
        <v>1497</v>
      </c>
      <c r="E121" s="207" t="s">
        <v>530</v>
      </c>
      <c r="F121" s="225">
        <v>20</v>
      </c>
      <c r="G121" s="225">
        <v>4.2</v>
      </c>
      <c r="H121" s="225">
        <v>24.2</v>
      </c>
      <c r="I121" s="24" t="str">
        <f>UPPER(Tabla11[[#This Row],[Comercial]])</f>
        <v>PABLO LOPEZ 7384</v>
      </c>
      <c r="J121" s="24" t="str">
        <f>LOWER(Tabla11[[#This Row],[Comercial]])</f>
        <v>pablo lopez 7384</v>
      </c>
      <c r="K121" s="227" t="str">
        <f>PROPER(Tabla11[[#This Row],[Comercial]])</f>
        <v>Pablo Lopez 7384</v>
      </c>
      <c r="L121" t="s">
        <v>1508</v>
      </c>
      <c r="M121" t="str">
        <f>RIGHT(Tabla11[[#This Row],[Comercial]],4)</f>
        <v>7384</v>
      </c>
      <c r="N121" t="str">
        <f>LEFT(Tabla11[[#This Row],[Minuscula]],6)</f>
        <v xml:space="preserve">pablo </v>
      </c>
    </row>
    <row r="122" spans="1:14">
      <c r="A122" s="226">
        <v>1121</v>
      </c>
      <c r="B122" s="224">
        <v>44310</v>
      </c>
      <c r="C122" s="207" t="s">
        <v>1504</v>
      </c>
      <c r="D122" s="207" t="s">
        <v>1502</v>
      </c>
      <c r="E122" s="207" t="s">
        <v>525</v>
      </c>
      <c r="F122" s="225">
        <v>5</v>
      </c>
      <c r="G122" s="225">
        <v>1.05</v>
      </c>
      <c r="H122" s="225">
        <v>6.05</v>
      </c>
      <c r="I122" s="24" t="str">
        <f>UPPER(Tabla11[[#This Row],[Comercial]])</f>
        <v>MARIA GARCIA 1254</v>
      </c>
      <c r="J122" s="24" t="str">
        <f>LOWER(Tabla11[[#This Row],[Comercial]])</f>
        <v>maria garcia 1254</v>
      </c>
      <c r="K122" s="227" t="str">
        <f>PROPER(Tabla11[[#This Row],[Comercial]])</f>
        <v>Maria Garcia 1254</v>
      </c>
      <c r="L122" t="s">
        <v>1506</v>
      </c>
      <c r="M122" t="str">
        <f>RIGHT(Tabla11[[#This Row],[Comercial]],4)</f>
        <v>1254</v>
      </c>
      <c r="N122" t="str">
        <f>LEFT(Tabla11[[#This Row],[Minuscula]],6)</f>
        <v xml:space="preserve">maria </v>
      </c>
    </row>
    <row r="123" spans="1:14">
      <c r="A123" s="226">
        <v>1122</v>
      </c>
      <c r="B123" s="224">
        <v>44310</v>
      </c>
      <c r="C123" s="207" t="s">
        <v>1504</v>
      </c>
      <c r="D123" s="207" t="s">
        <v>1503</v>
      </c>
      <c r="E123" s="207" t="s">
        <v>520</v>
      </c>
      <c r="F123" s="225">
        <v>641</v>
      </c>
      <c r="G123" s="225">
        <v>134.61000000000001</v>
      </c>
      <c r="H123" s="225">
        <v>775.61</v>
      </c>
      <c r="I123" s="24" t="str">
        <f>UPPER(Tabla11[[#This Row],[Comercial]])</f>
        <v>MARIA GARCIA 1254</v>
      </c>
      <c r="J123" s="24" t="str">
        <f>LOWER(Tabla11[[#This Row],[Comercial]])</f>
        <v>maria garcia 1254</v>
      </c>
      <c r="K123" s="227" t="str">
        <f>PROPER(Tabla11[[#This Row],[Comercial]])</f>
        <v>Maria Garcia 1254</v>
      </c>
      <c r="L123" t="s">
        <v>1506</v>
      </c>
      <c r="M123" t="str">
        <f>RIGHT(Tabla11[[#This Row],[Comercial]],4)</f>
        <v>1254</v>
      </c>
      <c r="N123" t="str">
        <f>LEFT(Tabla11[[#This Row],[Minuscula]],6)</f>
        <v xml:space="preserve">maria </v>
      </c>
    </row>
    <row r="124" spans="1:14">
      <c r="A124" s="226">
        <v>1123</v>
      </c>
      <c r="B124" s="224">
        <v>44311</v>
      </c>
      <c r="C124" s="207" t="s">
        <v>1495</v>
      </c>
      <c r="D124" s="207" t="s">
        <v>1503</v>
      </c>
      <c r="E124" s="207" t="s">
        <v>525</v>
      </c>
      <c r="F124" s="225">
        <v>19</v>
      </c>
      <c r="G124" s="225">
        <v>3.99</v>
      </c>
      <c r="H124" s="225">
        <v>22.99</v>
      </c>
      <c r="I124" s="24" t="str">
        <f>UPPER(Tabla11[[#This Row],[Comercial]])</f>
        <v>LUIS VALLE 5431</v>
      </c>
      <c r="J124" s="24" t="str">
        <f>LOWER(Tabla11[[#This Row],[Comercial]])</f>
        <v>luis valle 5431</v>
      </c>
      <c r="K124" s="227" t="str">
        <f>PROPER(Tabla11[[#This Row],[Comercial]])</f>
        <v>Luis Valle 5431</v>
      </c>
      <c r="L124" t="s">
        <v>1507</v>
      </c>
      <c r="M124" t="str">
        <f>RIGHT(Tabla11[[#This Row],[Comercial]],4)</f>
        <v>5431</v>
      </c>
      <c r="N124" t="str">
        <f>LEFT(Tabla11[[#This Row],[Minuscula]],6)</f>
        <v>luis v</v>
      </c>
    </row>
    <row r="125" spans="1:14">
      <c r="A125" s="226">
        <v>1124</v>
      </c>
      <c r="B125" s="224">
        <v>44313</v>
      </c>
      <c r="C125" s="207" t="s">
        <v>1496</v>
      </c>
      <c r="D125" s="207" t="s">
        <v>1494</v>
      </c>
      <c r="E125" s="207" t="s">
        <v>518</v>
      </c>
      <c r="F125" s="225">
        <v>170</v>
      </c>
      <c r="G125" s="225">
        <v>35.700000000000003</v>
      </c>
      <c r="H125" s="225">
        <v>205.7</v>
      </c>
      <c r="I125" s="24" t="str">
        <f>UPPER(Tabla11[[#This Row],[Comercial]])</f>
        <v>PABLO LOPEZ 7384</v>
      </c>
      <c r="J125" s="24" t="str">
        <f>LOWER(Tabla11[[#This Row],[Comercial]])</f>
        <v>pablo lopez 7384</v>
      </c>
      <c r="K125" s="227" t="str">
        <f>PROPER(Tabla11[[#This Row],[Comercial]])</f>
        <v>Pablo Lopez 7384</v>
      </c>
      <c r="L125" t="s">
        <v>1508</v>
      </c>
      <c r="M125" t="str">
        <f>RIGHT(Tabla11[[#This Row],[Comercial]],4)</f>
        <v>7384</v>
      </c>
      <c r="N125" t="str">
        <f>LEFT(Tabla11[[#This Row],[Minuscula]],6)</f>
        <v xml:space="preserve">pablo </v>
      </c>
    </row>
    <row r="126" spans="1:14">
      <c r="A126" s="226">
        <v>1125</v>
      </c>
      <c r="B126" s="224">
        <v>44314</v>
      </c>
      <c r="C126" s="207" t="s">
        <v>1495</v>
      </c>
      <c r="D126" s="207" t="s">
        <v>1499</v>
      </c>
      <c r="E126" s="207" t="s">
        <v>530</v>
      </c>
      <c r="F126" s="225">
        <v>18</v>
      </c>
      <c r="G126" s="225">
        <v>3.78</v>
      </c>
      <c r="H126" s="225">
        <v>21.78</v>
      </c>
      <c r="I126" s="24" t="str">
        <f>UPPER(Tabla11[[#This Row],[Comercial]])</f>
        <v>LUIS VALLE 5431</v>
      </c>
      <c r="J126" s="24" t="str">
        <f>LOWER(Tabla11[[#This Row],[Comercial]])</f>
        <v>luis valle 5431</v>
      </c>
      <c r="K126" s="227" t="str">
        <f>PROPER(Tabla11[[#This Row],[Comercial]])</f>
        <v>Luis Valle 5431</v>
      </c>
      <c r="L126" t="s">
        <v>1507</v>
      </c>
      <c r="M126" t="str">
        <f>RIGHT(Tabla11[[#This Row],[Comercial]],4)</f>
        <v>5431</v>
      </c>
      <c r="N126" t="str">
        <f>LEFT(Tabla11[[#This Row],[Minuscula]],6)</f>
        <v>luis v</v>
      </c>
    </row>
    <row r="127" spans="1:14">
      <c r="A127" s="226">
        <v>1126</v>
      </c>
      <c r="B127" s="224">
        <v>44317</v>
      </c>
      <c r="C127" s="207" t="s">
        <v>1496</v>
      </c>
      <c r="D127" s="207" t="s">
        <v>1497</v>
      </c>
      <c r="E127" s="207" t="s">
        <v>534</v>
      </c>
      <c r="F127" s="225">
        <v>7</v>
      </c>
      <c r="G127" s="225">
        <v>1.47</v>
      </c>
      <c r="H127" s="225">
        <v>8.4700000000000006</v>
      </c>
      <c r="I127" s="24" t="str">
        <f>UPPER(Tabla11[[#This Row],[Comercial]])</f>
        <v>PABLO LOPEZ 7384</v>
      </c>
      <c r="J127" s="24" t="str">
        <f>LOWER(Tabla11[[#This Row],[Comercial]])</f>
        <v>pablo lopez 7384</v>
      </c>
      <c r="K127" s="227" t="str">
        <f>PROPER(Tabla11[[#This Row],[Comercial]])</f>
        <v>Pablo Lopez 7384</v>
      </c>
      <c r="L127" t="s">
        <v>1508</v>
      </c>
      <c r="M127" t="str">
        <f>RIGHT(Tabla11[[#This Row],[Comercial]],4)</f>
        <v>7384</v>
      </c>
      <c r="N127" t="str">
        <f>LEFT(Tabla11[[#This Row],[Minuscula]],6)</f>
        <v xml:space="preserve">pablo </v>
      </c>
    </row>
    <row r="128" spans="1:14">
      <c r="A128" s="226">
        <v>1127</v>
      </c>
      <c r="B128" s="224">
        <v>44317</v>
      </c>
      <c r="C128" s="207" t="s">
        <v>1500</v>
      </c>
      <c r="D128" s="207" t="s">
        <v>1503</v>
      </c>
      <c r="E128" s="207" t="s">
        <v>530</v>
      </c>
      <c r="F128" s="225">
        <v>45</v>
      </c>
      <c r="G128" s="225">
        <v>9.4499999999999993</v>
      </c>
      <c r="H128" s="225">
        <v>54.45</v>
      </c>
      <c r="I128" s="24" t="str">
        <f>UPPER(Tabla11[[#This Row],[Comercial]])</f>
        <v>ANA FERNANDEZZ 4321</v>
      </c>
      <c r="J128" s="24" t="str">
        <f>LOWER(Tabla11[[#This Row],[Comercial]])</f>
        <v>ana fernandezz 4321</v>
      </c>
      <c r="K128" s="227" t="str">
        <f>PROPER(Tabla11[[#This Row],[Comercial]])</f>
        <v>Ana Fernandezz 4321</v>
      </c>
      <c r="L128" t="s">
        <v>1509</v>
      </c>
      <c r="M128" t="str">
        <f>RIGHT(Tabla11[[#This Row],[Comercial]],4)</f>
        <v>4321</v>
      </c>
      <c r="N128" t="str">
        <f>LEFT(Tabla11[[#This Row],[Minuscula]],6)</f>
        <v>ana fe</v>
      </c>
    </row>
    <row r="129" spans="1:14">
      <c r="A129" s="226">
        <v>1128</v>
      </c>
      <c r="B129" s="224">
        <v>44318</v>
      </c>
      <c r="C129" s="207" t="s">
        <v>1496</v>
      </c>
      <c r="D129" s="207" t="s">
        <v>1502</v>
      </c>
      <c r="E129" s="207" t="s">
        <v>530</v>
      </c>
      <c r="F129" s="225">
        <v>19</v>
      </c>
      <c r="G129" s="225">
        <v>3.99</v>
      </c>
      <c r="H129" s="225">
        <v>22.99</v>
      </c>
      <c r="I129" s="24" t="str">
        <f>UPPER(Tabla11[[#This Row],[Comercial]])</f>
        <v>PABLO LOPEZ 7384</v>
      </c>
      <c r="J129" s="24" t="str">
        <f>LOWER(Tabla11[[#This Row],[Comercial]])</f>
        <v>pablo lopez 7384</v>
      </c>
      <c r="K129" s="227" t="str">
        <f>PROPER(Tabla11[[#This Row],[Comercial]])</f>
        <v>Pablo Lopez 7384</v>
      </c>
      <c r="L129" t="s">
        <v>1508</v>
      </c>
      <c r="M129" t="str">
        <f>RIGHT(Tabla11[[#This Row],[Comercial]],4)</f>
        <v>7384</v>
      </c>
      <c r="N129" t="str">
        <f>LEFT(Tabla11[[#This Row],[Minuscula]],6)</f>
        <v xml:space="preserve">pablo </v>
      </c>
    </row>
    <row r="130" spans="1:14">
      <c r="A130" s="226">
        <v>1129</v>
      </c>
      <c r="B130" s="224">
        <v>44318</v>
      </c>
      <c r="C130" s="207" t="s">
        <v>1495</v>
      </c>
      <c r="D130" s="207" t="s">
        <v>1502</v>
      </c>
      <c r="E130" s="207" t="s">
        <v>530</v>
      </c>
      <c r="F130" s="225">
        <v>26</v>
      </c>
      <c r="G130" s="225">
        <v>5.46</v>
      </c>
      <c r="H130" s="225">
        <v>31.46</v>
      </c>
      <c r="I130" s="24" t="str">
        <f>UPPER(Tabla11[[#This Row],[Comercial]])</f>
        <v>LUIS VALLE 5431</v>
      </c>
      <c r="J130" s="24" t="str">
        <f>LOWER(Tabla11[[#This Row],[Comercial]])</f>
        <v>luis valle 5431</v>
      </c>
      <c r="K130" s="227" t="str">
        <f>PROPER(Tabla11[[#This Row],[Comercial]])</f>
        <v>Luis Valle 5431</v>
      </c>
      <c r="L130" t="s">
        <v>1507</v>
      </c>
      <c r="M130" t="str">
        <f>RIGHT(Tabla11[[#This Row],[Comercial]],4)</f>
        <v>5431</v>
      </c>
      <c r="N130" t="str">
        <f>LEFT(Tabla11[[#This Row],[Minuscula]],6)</f>
        <v>luis v</v>
      </c>
    </row>
    <row r="131" spans="1:14">
      <c r="A131" s="226">
        <v>1130</v>
      </c>
      <c r="B131" s="224">
        <v>44318</v>
      </c>
      <c r="C131" s="207" t="s">
        <v>1500</v>
      </c>
      <c r="D131" s="207" t="s">
        <v>1497</v>
      </c>
      <c r="E131" s="207" t="s">
        <v>530</v>
      </c>
      <c r="F131" s="225">
        <v>16</v>
      </c>
      <c r="G131" s="225">
        <v>3.36</v>
      </c>
      <c r="H131" s="225">
        <v>19.36</v>
      </c>
      <c r="I131" s="24" t="str">
        <f>UPPER(Tabla11[[#This Row],[Comercial]])</f>
        <v>ANA FERNANDEZZ 4321</v>
      </c>
      <c r="J131" s="24" t="str">
        <f>LOWER(Tabla11[[#This Row],[Comercial]])</f>
        <v>ana fernandezz 4321</v>
      </c>
      <c r="K131" s="227" t="str">
        <f>PROPER(Tabla11[[#This Row],[Comercial]])</f>
        <v>Ana Fernandezz 4321</v>
      </c>
      <c r="L131" t="s">
        <v>1509</v>
      </c>
      <c r="M131" t="str">
        <f>RIGHT(Tabla11[[#This Row],[Comercial]],4)</f>
        <v>4321</v>
      </c>
      <c r="N131" t="str">
        <f>LEFT(Tabla11[[#This Row],[Minuscula]],6)</f>
        <v>ana fe</v>
      </c>
    </row>
    <row r="132" spans="1:14">
      <c r="A132" s="226">
        <v>1131</v>
      </c>
      <c r="B132" s="224">
        <v>44319</v>
      </c>
      <c r="C132" s="207" t="s">
        <v>1501</v>
      </c>
      <c r="D132" s="207" t="s">
        <v>1502</v>
      </c>
      <c r="E132" s="207" t="s">
        <v>530</v>
      </c>
      <c r="F132" s="225">
        <v>28</v>
      </c>
      <c r="G132" s="225">
        <v>5.88</v>
      </c>
      <c r="H132" s="225">
        <v>33.880000000000003</v>
      </c>
      <c r="I132" s="24" t="str">
        <f>UPPER(Tabla11[[#This Row],[Comercial]])</f>
        <v>MARIO PEREZ 1123</v>
      </c>
      <c r="J132" s="24" t="str">
        <f>LOWER(Tabla11[[#This Row],[Comercial]])</f>
        <v>mario perez 1123</v>
      </c>
      <c r="K132" s="227" t="str">
        <f>PROPER(Tabla11[[#This Row],[Comercial]])</f>
        <v>Mario Perez 1123</v>
      </c>
      <c r="L132" t="s">
        <v>1510</v>
      </c>
      <c r="M132" t="str">
        <f>RIGHT(Tabla11[[#This Row],[Comercial]],4)</f>
        <v>1123</v>
      </c>
      <c r="N132" t="str">
        <f>LEFT(Tabla11[[#This Row],[Minuscula]],6)</f>
        <v xml:space="preserve">mario </v>
      </c>
    </row>
    <row r="133" spans="1:14">
      <c r="A133" s="226">
        <v>1132</v>
      </c>
      <c r="B133" s="224">
        <v>44321</v>
      </c>
      <c r="C133" s="207" t="s">
        <v>1504</v>
      </c>
      <c r="D133" s="207" t="s">
        <v>1503</v>
      </c>
      <c r="E133" s="207" t="s">
        <v>534</v>
      </c>
      <c r="F133" s="225">
        <v>10</v>
      </c>
      <c r="G133" s="225">
        <v>2.1</v>
      </c>
      <c r="H133" s="225">
        <v>12.1</v>
      </c>
      <c r="I133" s="24" t="str">
        <f>UPPER(Tabla11[[#This Row],[Comercial]])</f>
        <v>MARIA GARCIA 1254</v>
      </c>
      <c r="J133" s="24" t="str">
        <f>LOWER(Tabla11[[#This Row],[Comercial]])</f>
        <v>maria garcia 1254</v>
      </c>
      <c r="K133" s="227" t="str">
        <f>PROPER(Tabla11[[#This Row],[Comercial]])</f>
        <v>Maria Garcia 1254</v>
      </c>
      <c r="L133" t="s">
        <v>1506</v>
      </c>
      <c r="M133" t="str">
        <f>RIGHT(Tabla11[[#This Row],[Comercial]],4)</f>
        <v>1254</v>
      </c>
      <c r="N133" t="str">
        <f>LEFT(Tabla11[[#This Row],[Minuscula]],6)</f>
        <v xml:space="preserve">maria </v>
      </c>
    </row>
    <row r="134" spans="1:14">
      <c r="A134" s="226">
        <v>1133</v>
      </c>
      <c r="B134" s="224">
        <v>44322</v>
      </c>
      <c r="C134" s="207" t="s">
        <v>1504</v>
      </c>
      <c r="D134" s="207" t="s">
        <v>1494</v>
      </c>
      <c r="E134" s="207" t="s">
        <v>520</v>
      </c>
      <c r="F134" s="225">
        <v>719</v>
      </c>
      <c r="G134" s="225">
        <v>150.99</v>
      </c>
      <c r="H134" s="225">
        <v>869.99</v>
      </c>
      <c r="I134" s="24" t="str">
        <f>UPPER(Tabla11[[#This Row],[Comercial]])</f>
        <v>MARIA GARCIA 1254</v>
      </c>
      <c r="J134" s="24" t="str">
        <f>LOWER(Tabla11[[#This Row],[Comercial]])</f>
        <v>maria garcia 1254</v>
      </c>
      <c r="K134" s="227" t="str">
        <f>PROPER(Tabla11[[#This Row],[Comercial]])</f>
        <v>Maria Garcia 1254</v>
      </c>
      <c r="L134" t="s">
        <v>1506</v>
      </c>
      <c r="M134" t="str">
        <f>RIGHT(Tabla11[[#This Row],[Comercial]],4)</f>
        <v>1254</v>
      </c>
      <c r="N134" t="str">
        <f>LEFT(Tabla11[[#This Row],[Minuscula]],6)</f>
        <v xml:space="preserve">maria </v>
      </c>
    </row>
    <row r="135" spans="1:14">
      <c r="A135" s="226">
        <v>1134</v>
      </c>
      <c r="B135" s="224">
        <v>44323</v>
      </c>
      <c r="C135" s="207" t="s">
        <v>1501</v>
      </c>
      <c r="D135" s="207" t="s">
        <v>1503</v>
      </c>
      <c r="E135" s="207" t="s">
        <v>530</v>
      </c>
      <c r="F135" s="225">
        <v>29</v>
      </c>
      <c r="G135" s="225">
        <v>6.09</v>
      </c>
      <c r="H135" s="225">
        <v>35.090000000000003</v>
      </c>
      <c r="I135" s="24" t="str">
        <f>UPPER(Tabla11[[#This Row],[Comercial]])</f>
        <v>MARIO PEREZ 1123</v>
      </c>
      <c r="J135" s="24" t="str">
        <f>LOWER(Tabla11[[#This Row],[Comercial]])</f>
        <v>mario perez 1123</v>
      </c>
      <c r="K135" s="227" t="str">
        <f>PROPER(Tabla11[[#This Row],[Comercial]])</f>
        <v>Mario Perez 1123</v>
      </c>
      <c r="L135" t="s">
        <v>1510</v>
      </c>
      <c r="M135" t="str">
        <f>RIGHT(Tabla11[[#This Row],[Comercial]],4)</f>
        <v>1123</v>
      </c>
      <c r="N135" t="str">
        <f>LEFT(Tabla11[[#This Row],[Minuscula]],6)</f>
        <v xml:space="preserve">mario </v>
      </c>
    </row>
    <row r="136" spans="1:14">
      <c r="A136" s="226">
        <v>1135</v>
      </c>
      <c r="B136" s="224">
        <v>44323</v>
      </c>
      <c r="C136" s="207" t="s">
        <v>1501</v>
      </c>
      <c r="D136" s="207" t="s">
        <v>1503</v>
      </c>
      <c r="E136" s="207" t="s">
        <v>534</v>
      </c>
      <c r="F136" s="225">
        <v>9</v>
      </c>
      <c r="G136" s="225">
        <v>1.89</v>
      </c>
      <c r="H136" s="225">
        <v>10.89</v>
      </c>
      <c r="I136" s="24" t="str">
        <f>UPPER(Tabla11[[#This Row],[Comercial]])</f>
        <v>MARIO PEREZ 1123</v>
      </c>
      <c r="J136" s="24" t="str">
        <f>LOWER(Tabla11[[#This Row],[Comercial]])</f>
        <v>mario perez 1123</v>
      </c>
      <c r="K136" s="227" t="str">
        <f>PROPER(Tabla11[[#This Row],[Comercial]])</f>
        <v>Mario Perez 1123</v>
      </c>
      <c r="L136" t="s">
        <v>1510</v>
      </c>
      <c r="M136" t="str">
        <f>RIGHT(Tabla11[[#This Row],[Comercial]],4)</f>
        <v>1123</v>
      </c>
      <c r="N136" t="str">
        <f>LEFT(Tabla11[[#This Row],[Minuscula]],6)</f>
        <v xml:space="preserve">mario </v>
      </c>
    </row>
    <row r="137" spans="1:14">
      <c r="A137" s="226">
        <v>1136</v>
      </c>
      <c r="B137" s="224">
        <v>44323</v>
      </c>
      <c r="C137" s="207" t="s">
        <v>1501</v>
      </c>
      <c r="D137" s="207" t="s">
        <v>1502</v>
      </c>
      <c r="E137" s="207" t="s">
        <v>530</v>
      </c>
      <c r="F137" s="225">
        <v>29</v>
      </c>
      <c r="G137" s="225">
        <v>6.09</v>
      </c>
      <c r="H137" s="225">
        <v>35.090000000000003</v>
      </c>
      <c r="I137" s="24" t="str">
        <f>UPPER(Tabla11[[#This Row],[Comercial]])</f>
        <v>MARIO PEREZ 1123</v>
      </c>
      <c r="J137" s="24" t="str">
        <f>LOWER(Tabla11[[#This Row],[Comercial]])</f>
        <v>mario perez 1123</v>
      </c>
      <c r="K137" s="227" t="str">
        <f>PROPER(Tabla11[[#This Row],[Comercial]])</f>
        <v>Mario Perez 1123</v>
      </c>
      <c r="L137" t="s">
        <v>1510</v>
      </c>
      <c r="M137" t="str">
        <f>RIGHT(Tabla11[[#This Row],[Comercial]],4)</f>
        <v>1123</v>
      </c>
      <c r="N137" t="str">
        <f>LEFT(Tabla11[[#This Row],[Minuscula]],6)</f>
        <v xml:space="preserve">mario </v>
      </c>
    </row>
    <row r="138" spans="1:14">
      <c r="A138" s="226">
        <v>1137</v>
      </c>
      <c r="B138" s="224">
        <v>44326</v>
      </c>
      <c r="C138" s="207" t="s">
        <v>1504</v>
      </c>
      <c r="D138" s="207" t="s">
        <v>1497</v>
      </c>
      <c r="E138" s="207" t="s">
        <v>525</v>
      </c>
      <c r="F138" s="225">
        <v>7</v>
      </c>
      <c r="G138" s="225">
        <v>1.47</v>
      </c>
      <c r="H138" s="225">
        <v>8.4700000000000006</v>
      </c>
      <c r="I138" s="24" t="str">
        <f>UPPER(Tabla11[[#This Row],[Comercial]])</f>
        <v>MARIA GARCIA 1254</v>
      </c>
      <c r="J138" s="24" t="str">
        <f>LOWER(Tabla11[[#This Row],[Comercial]])</f>
        <v>maria garcia 1254</v>
      </c>
      <c r="K138" s="227" t="str">
        <f>PROPER(Tabla11[[#This Row],[Comercial]])</f>
        <v>Maria Garcia 1254</v>
      </c>
      <c r="L138" t="s">
        <v>1506</v>
      </c>
      <c r="M138" t="str">
        <f>RIGHT(Tabla11[[#This Row],[Comercial]],4)</f>
        <v>1254</v>
      </c>
      <c r="N138" t="str">
        <f>LEFT(Tabla11[[#This Row],[Minuscula]],6)</f>
        <v xml:space="preserve">maria </v>
      </c>
    </row>
    <row r="139" spans="1:14">
      <c r="A139" s="226">
        <v>1138</v>
      </c>
      <c r="B139" s="224">
        <v>44327</v>
      </c>
      <c r="C139" s="207" t="s">
        <v>1500</v>
      </c>
      <c r="D139" s="207" t="s">
        <v>1503</v>
      </c>
      <c r="E139" s="207" t="s">
        <v>530</v>
      </c>
      <c r="F139" s="225">
        <v>49</v>
      </c>
      <c r="G139" s="225">
        <v>10.29</v>
      </c>
      <c r="H139" s="225">
        <v>59.29</v>
      </c>
      <c r="I139" s="24" t="str">
        <f>UPPER(Tabla11[[#This Row],[Comercial]])</f>
        <v>ANA FERNANDEZZ 4321</v>
      </c>
      <c r="J139" s="24" t="str">
        <f>LOWER(Tabla11[[#This Row],[Comercial]])</f>
        <v>ana fernandezz 4321</v>
      </c>
      <c r="K139" s="227" t="str">
        <f>PROPER(Tabla11[[#This Row],[Comercial]])</f>
        <v>Ana Fernandezz 4321</v>
      </c>
      <c r="L139" t="s">
        <v>1509</v>
      </c>
      <c r="M139" t="str">
        <f>RIGHT(Tabla11[[#This Row],[Comercial]],4)</f>
        <v>4321</v>
      </c>
      <c r="N139" t="str">
        <f>LEFT(Tabla11[[#This Row],[Minuscula]],6)</f>
        <v>ana fe</v>
      </c>
    </row>
    <row r="140" spans="1:14">
      <c r="A140" s="226">
        <v>1139</v>
      </c>
      <c r="B140" s="224">
        <v>44329</v>
      </c>
      <c r="C140" s="207" t="s">
        <v>1495</v>
      </c>
      <c r="D140" s="207" t="s">
        <v>1497</v>
      </c>
      <c r="E140" s="207" t="s">
        <v>520</v>
      </c>
      <c r="F140" s="225">
        <v>354</v>
      </c>
      <c r="G140" s="225">
        <v>74.34</v>
      </c>
      <c r="H140" s="225">
        <v>428.34</v>
      </c>
      <c r="I140" s="24" t="str">
        <f>UPPER(Tabla11[[#This Row],[Comercial]])</f>
        <v>LUIS VALLE 5431</v>
      </c>
      <c r="J140" s="24" t="str">
        <f>LOWER(Tabla11[[#This Row],[Comercial]])</f>
        <v>luis valle 5431</v>
      </c>
      <c r="K140" s="227" t="str">
        <f>PROPER(Tabla11[[#This Row],[Comercial]])</f>
        <v>Luis Valle 5431</v>
      </c>
      <c r="L140" t="s">
        <v>1507</v>
      </c>
      <c r="M140" t="str">
        <f>RIGHT(Tabla11[[#This Row],[Comercial]],4)</f>
        <v>5431</v>
      </c>
      <c r="N140" t="str">
        <f>LEFT(Tabla11[[#This Row],[Minuscula]],6)</f>
        <v>luis v</v>
      </c>
    </row>
    <row r="141" spans="1:14">
      <c r="A141" s="226">
        <v>1140</v>
      </c>
      <c r="B141" s="224">
        <v>44330</v>
      </c>
      <c r="C141" s="207" t="s">
        <v>1500</v>
      </c>
      <c r="D141" s="207" t="s">
        <v>1503</v>
      </c>
      <c r="E141" s="207" t="s">
        <v>525</v>
      </c>
      <c r="F141" s="225">
        <v>45</v>
      </c>
      <c r="G141" s="225">
        <v>9.4499999999999993</v>
      </c>
      <c r="H141" s="225">
        <v>54.45</v>
      </c>
      <c r="I141" s="24" t="str">
        <f>UPPER(Tabla11[[#This Row],[Comercial]])</f>
        <v>ANA FERNANDEZZ 4321</v>
      </c>
      <c r="J141" s="24" t="str">
        <f>LOWER(Tabla11[[#This Row],[Comercial]])</f>
        <v>ana fernandezz 4321</v>
      </c>
      <c r="K141" s="227" t="str">
        <f>PROPER(Tabla11[[#This Row],[Comercial]])</f>
        <v>Ana Fernandezz 4321</v>
      </c>
      <c r="L141" t="s">
        <v>1509</v>
      </c>
      <c r="M141" t="str">
        <f>RIGHT(Tabla11[[#This Row],[Comercial]],4)</f>
        <v>4321</v>
      </c>
      <c r="N141" t="str">
        <f>LEFT(Tabla11[[#This Row],[Minuscula]],6)</f>
        <v>ana fe</v>
      </c>
    </row>
    <row r="142" spans="1:14">
      <c r="A142" s="226">
        <v>1141</v>
      </c>
      <c r="B142" s="224">
        <v>44330</v>
      </c>
      <c r="C142" s="207" t="s">
        <v>1500</v>
      </c>
      <c r="D142" s="207" t="s">
        <v>1503</v>
      </c>
      <c r="E142" s="207" t="s">
        <v>520</v>
      </c>
      <c r="F142" s="225">
        <v>1111</v>
      </c>
      <c r="G142" s="225">
        <v>233.31</v>
      </c>
      <c r="H142" s="225">
        <v>1344.31</v>
      </c>
      <c r="I142" s="24" t="str">
        <f>UPPER(Tabla11[[#This Row],[Comercial]])</f>
        <v>ANA FERNANDEZZ 4321</v>
      </c>
      <c r="J142" s="24" t="str">
        <f>LOWER(Tabla11[[#This Row],[Comercial]])</f>
        <v>ana fernandezz 4321</v>
      </c>
      <c r="K142" s="227" t="str">
        <f>PROPER(Tabla11[[#This Row],[Comercial]])</f>
        <v>Ana Fernandezz 4321</v>
      </c>
      <c r="L142" t="s">
        <v>1509</v>
      </c>
      <c r="M142" t="str">
        <f>RIGHT(Tabla11[[#This Row],[Comercial]],4)</f>
        <v>4321</v>
      </c>
      <c r="N142" t="str">
        <f>LEFT(Tabla11[[#This Row],[Minuscula]],6)</f>
        <v>ana fe</v>
      </c>
    </row>
    <row r="143" spans="1:14">
      <c r="A143" s="226">
        <v>1142</v>
      </c>
      <c r="B143" s="224">
        <v>44330</v>
      </c>
      <c r="C143" s="207" t="s">
        <v>1504</v>
      </c>
      <c r="D143" s="207" t="s">
        <v>1502</v>
      </c>
      <c r="E143" s="207" t="s">
        <v>520</v>
      </c>
      <c r="F143" s="225">
        <v>360</v>
      </c>
      <c r="G143" s="225">
        <v>75.599999999999994</v>
      </c>
      <c r="H143" s="225">
        <v>435.6</v>
      </c>
      <c r="I143" s="24" t="str">
        <f>UPPER(Tabla11[[#This Row],[Comercial]])</f>
        <v>MARIA GARCIA 1254</v>
      </c>
      <c r="J143" s="24" t="str">
        <f>LOWER(Tabla11[[#This Row],[Comercial]])</f>
        <v>maria garcia 1254</v>
      </c>
      <c r="K143" s="227" t="str">
        <f>PROPER(Tabla11[[#This Row],[Comercial]])</f>
        <v>Maria Garcia 1254</v>
      </c>
      <c r="L143" t="s">
        <v>1506</v>
      </c>
      <c r="M143" t="str">
        <f>RIGHT(Tabla11[[#This Row],[Comercial]],4)</f>
        <v>1254</v>
      </c>
      <c r="N143" t="str">
        <f>LEFT(Tabla11[[#This Row],[Minuscula]],6)</f>
        <v xml:space="preserve">maria </v>
      </c>
    </row>
    <row r="144" spans="1:14">
      <c r="A144" s="226">
        <v>1143</v>
      </c>
      <c r="B144" s="224">
        <v>44330</v>
      </c>
      <c r="C144" s="207" t="s">
        <v>1504</v>
      </c>
      <c r="D144" s="207" t="s">
        <v>1499</v>
      </c>
      <c r="E144" s="207" t="s">
        <v>518</v>
      </c>
      <c r="F144" s="225">
        <v>58</v>
      </c>
      <c r="G144" s="225">
        <v>12.18</v>
      </c>
      <c r="H144" s="225">
        <v>70.180000000000007</v>
      </c>
      <c r="I144" s="24" t="str">
        <f>UPPER(Tabla11[[#This Row],[Comercial]])</f>
        <v>MARIA GARCIA 1254</v>
      </c>
      <c r="J144" s="24" t="str">
        <f>LOWER(Tabla11[[#This Row],[Comercial]])</f>
        <v>maria garcia 1254</v>
      </c>
      <c r="K144" s="227" t="str">
        <f>PROPER(Tabla11[[#This Row],[Comercial]])</f>
        <v>Maria Garcia 1254</v>
      </c>
      <c r="L144" t="s">
        <v>1506</v>
      </c>
      <c r="M144" t="str">
        <f>RIGHT(Tabla11[[#This Row],[Comercial]],4)</f>
        <v>1254</v>
      </c>
      <c r="N144" t="str">
        <f>LEFT(Tabla11[[#This Row],[Minuscula]],6)</f>
        <v xml:space="preserve">maria </v>
      </c>
    </row>
    <row r="145" spans="1:14">
      <c r="A145" s="226">
        <v>1144</v>
      </c>
      <c r="B145" s="224">
        <v>44332</v>
      </c>
      <c r="C145" s="207" t="s">
        <v>1496</v>
      </c>
      <c r="D145" s="207" t="s">
        <v>1494</v>
      </c>
      <c r="E145" s="207" t="s">
        <v>534</v>
      </c>
      <c r="F145" s="225">
        <v>8</v>
      </c>
      <c r="G145" s="225">
        <v>1.68</v>
      </c>
      <c r="H145" s="225">
        <v>9.68</v>
      </c>
      <c r="I145" s="24" t="str">
        <f>UPPER(Tabla11[[#This Row],[Comercial]])</f>
        <v>PABLO LOPEZ 7384</v>
      </c>
      <c r="J145" s="24" t="str">
        <f>LOWER(Tabla11[[#This Row],[Comercial]])</f>
        <v>pablo lopez 7384</v>
      </c>
      <c r="K145" s="227" t="str">
        <f>PROPER(Tabla11[[#This Row],[Comercial]])</f>
        <v>Pablo Lopez 7384</v>
      </c>
      <c r="L145" t="s">
        <v>1508</v>
      </c>
      <c r="M145" t="str">
        <f>RIGHT(Tabla11[[#This Row],[Comercial]],4)</f>
        <v>7384</v>
      </c>
      <c r="N145" t="str">
        <f>LEFT(Tabla11[[#This Row],[Minuscula]],6)</f>
        <v xml:space="preserve">pablo </v>
      </c>
    </row>
    <row r="146" spans="1:14">
      <c r="A146" s="226">
        <v>1145</v>
      </c>
      <c r="B146" s="224">
        <v>44332</v>
      </c>
      <c r="C146" s="207" t="s">
        <v>1504</v>
      </c>
      <c r="D146" s="207" t="s">
        <v>1502</v>
      </c>
      <c r="E146" s="207" t="s">
        <v>534</v>
      </c>
      <c r="F146" s="225">
        <v>8</v>
      </c>
      <c r="G146" s="225">
        <v>1.68</v>
      </c>
      <c r="H146" s="225">
        <v>9.68</v>
      </c>
      <c r="I146" s="24" t="str">
        <f>UPPER(Tabla11[[#This Row],[Comercial]])</f>
        <v>MARIA GARCIA 1254</v>
      </c>
      <c r="J146" s="24" t="str">
        <f>LOWER(Tabla11[[#This Row],[Comercial]])</f>
        <v>maria garcia 1254</v>
      </c>
      <c r="K146" s="227" t="str">
        <f>PROPER(Tabla11[[#This Row],[Comercial]])</f>
        <v>Maria Garcia 1254</v>
      </c>
      <c r="L146" t="s">
        <v>1506</v>
      </c>
      <c r="M146" t="str">
        <f>RIGHT(Tabla11[[#This Row],[Comercial]],4)</f>
        <v>1254</v>
      </c>
      <c r="N146" t="str">
        <f>LEFT(Tabla11[[#This Row],[Minuscula]],6)</f>
        <v xml:space="preserve">maria </v>
      </c>
    </row>
    <row r="147" spans="1:14">
      <c r="A147" s="226">
        <v>1146</v>
      </c>
      <c r="B147" s="224">
        <v>44332</v>
      </c>
      <c r="C147" s="207" t="s">
        <v>1501</v>
      </c>
      <c r="D147" s="207" t="s">
        <v>1497</v>
      </c>
      <c r="E147" s="207" t="s">
        <v>530</v>
      </c>
      <c r="F147" s="225">
        <v>20</v>
      </c>
      <c r="G147" s="225">
        <v>4.2</v>
      </c>
      <c r="H147" s="225">
        <v>24.2</v>
      </c>
      <c r="I147" s="24" t="str">
        <f>UPPER(Tabla11[[#This Row],[Comercial]])</f>
        <v>MARIO PEREZ 1123</v>
      </c>
      <c r="J147" s="24" t="str">
        <f>LOWER(Tabla11[[#This Row],[Comercial]])</f>
        <v>mario perez 1123</v>
      </c>
      <c r="K147" s="227" t="str">
        <f>PROPER(Tabla11[[#This Row],[Comercial]])</f>
        <v>Mario Perez 1123</v>
      </c>
      <c r="L147" t="s">
        <v>1510</v>
      </c>
      <c r="M147" t="str">
        <f>RIGHT(Tabla11[[#This Row],[Comercial]],4)</f>
        <v>1123</v>
      </c>
      <c r="N147" t="str">
        <f>LEFT(Tabla11[[#This Row],[Minuscula]],6)</f>
        <v xml:space="preserve">mario </v>
      </c>
    </row>
    <row r="148" spans="1:14">
      <c r="A148" s="226">
        <v>1147</v>
      </c>
      <c r="B148" s="224">
        <v>44333</v>
      </c>
      <c r="C148" s="207" t="s">
        <v>1504</v>
      </c>
      <c r="D148" s="207" t="s">
        <v>1497</v>
      </c>
      <c r="E148" s="207" t="s">
        <v>534</v>
      </c>
      <c r="F148" s="225">
        <v>9</v>
      </c>
      <c r="G148" s="225">
        <v>1.89</v>
      </c>
      <c r="H148" s="225">
        <v>10.89</v>
      </c>
      <c r="I148" s="24" t="str">
        <f>UPPER(Tabla11[[#This Row],[Comercial]])</f>
        <v>MARIA GARCIA 1254</v>
      </c>
      <c r="J148" s="24" t="str">
        <f>LOWER(Tabla11[[#This Row],[Comercial]])</f>
        <v>maria garcia 1254</v>
      </c>
      <c r="K148" s="227" t="str">
        <f>PROPER(Tabla11[[#This Row],[Comercial]])</f>
        <v>Maria Garcia 1254</v>
      </c>
      <c r="L148" t="s">
        <v>1506</v>
      </c>
      <c r="M148" t="str">
        <f>RIGHT(Tabla11[[#This Row],[Comercial]],4)</f>
        <v>1254</v>
      </c>
      <c r="N148" t="str">
        <f>LEFT(Tabla11[[#This Row],[Minuscula]],6)</f>
        <v xml:space="preserve">maria </v>
      </c>
    </row>
    <row r="149" spans="1:14">
      <c r="A149" s="226">
        <v>1148</v>
      </c>
      <c r="B149" s="224">
        <v>44334</v>
      </c>
      <c r="C149" s="207" t="s">
        <v>1504</v>
      </c>
      <c r="D149" s="207" t="s">
        <v>1497</v>
      </c>
      <c r="E149" s="207" t="s">
        <v>530</v>
      </c>
      <c r="F149" s="225">
        <v>11</v>
      </c>
      <c r="G149" s="225">
        <v>2.31</v>
      </c>
      <c r="H149" s="225">
        <v>13.31</v>
      </c>
      <c r="I149" s="24" t="str">
        <f>UPPER(Tabla11[[#This Row],[Comercial]])</f>
        <v>MARIA GARCIA 1254</v>
      </c>
      <c r="J149" s="24" t="str">
        <f>LOWER(Tabla11[[#This Row],[Comercial]])</f>
        <v>maria garcia 1254</v>
      </c>
      <c r="K149" s="227" t="str">
        <f>PROPER(Tabla11[[#This Row],[Comercial]])</f>
        <v>Maria Garcia 1254</v>
      </c>
      <c r="L149" t="s">
        <v>1506</v>
      </c>
      <c r="M149" t="str">
        <f>RIGHT(Tabla11[[#This Row],[Comercial]],4)</f>
        <v>1254</v>
      </c>
      <c r="N149" t="str">
        <f>LEFT(Tabla11[[#This Row],[Minuscula]],6)</f>
        <v xml:space="preserve">maria </v>
      </c>
    </row>
    <row r="150" spans="1:14">
      <c r="A150" s="226">
        <v>1149</v>
      </c>
      <c r="B150" s="224">
        <v>44335</v>
      </c>
      <c r="C150" s="207" t="s">
        <v>1504</v>
      </c>
      <c r="D150" s="207" t="s">
        <v>1497</v>
      </c>
      <c r="E150" s="207" t="s">
        <v>525</v>
      </c>
      <c r="F150" s="225">
        <v>19</v>
      </c>
      <c r="G150" s="225">
        <v>3.99</v>
      </c>
      <c r="H150" s="225">
        <v>22.99</v>
      </c>
      <c r="I150" s="24" t="str">
        <f>UPPER(Tabla11[[#This Row],[Comercial]])</f>
        <v>MARIA GARCIA 1254</v>
      </c>
      <c r="J150" s="24" t="str">
        <f>LOWER(Tabla11[[#This Row],[Comercial]])</f>
        <v>maria garcia 1254</v>
      </c>
      <c r="K150" s="227" t="str">
        <f>PROPER(Tabla11[[#This Row],[Comercial]])</f>
        <v>Maria Garcia 1254</v>
      </c>
      <c r="L150" t="s">
        <v>1506</v>
      </c>
      <c r="M150" t="str">
        <f>RIGHT(Tabla11[[#This Row],[Comercial]],4)</f>
        <v>1254</v>
      </c>
      <c r="N150" t="str">
        <f>LEFT(Tabla11[[#This Row],[Minuscula]],6)</f>
        <v xml:space="preserve">maria </v>
      </c>
    </row>
    <row r="151" spans="1:14">
      <c r="A151" s="226">
        <v>1150</v>
      </c>
      <c r="B151" s="224">
        <v>44335</v>
      </c>
      <c r="C151" s="207" t="s">
        <v>1501</v>
      </c>
      <c r="D151" s="207" t="s">
        <v>1497</v>
      </c>
      <c r="E151" s="207" t="s">
        <v>530</v>
      </c>
      <c r="F151" s="225">
        <v>18</v>
      </c>
      <c r="G151" s="225">
        <v>3.78</v>
      </c>
      <c r="H151" s="225">
        <v>21.78</v>
      </c>
      <c r="I151" s="24" t="str">
        <f>UPPER(Tabla11[[#This Row],[Comercial]])</f>
        <v>MARIO PEREZ 1123</v>
      </c>
      <c r="J151" s="24" t="str">
        <f>LOWER(Tabla11[[#This Row],[Comercial]])</f>
        <v>mario perez 1123</v>
      </c>
      <c r="K151" s="227" t="str">
        <f>PROPER(Tabla11[[#This Row],[Comercial]])</f>
        <v>Mario Perez 1123</v>
      </c>
      <c r="L151" t="s">
        <v>1510</v>
      </c>
      <c r="M151" t="str">
        <f>RIGHT(Tabla11[[#This Row],[Comercial]],4)</f>
        <v>1123</v>
      </c>
      <c r="N151" t="str">
        <f>LEFT(Tabla11[[#This Row],[Minuscula]],6)</f>
        <v xml:space="preserve">mario </v>
      </c>
    </row>
    <row r="152" spans="1:14">
      <c r="A152" s="226">
        <v>1151</v>
      </c>
      <c r="B152" s="224">
        <v>44335</v>
      </c>
      <c r="C152" s="207" t="s">
        <v>1495</v>
      </c>
      <c r="D152" s="207" t="s">
        <v>1494</v>
      </c>
      <c r="E152" s="207" t="s">
        <v>530</v>
      </c>
      <c r="F152" s="225">
        <v>37</v>
      </c>
      <c r="G152" s="225">
        <v>7.77</v>
      </c>
      <c r="H152" s="225">
        <v>44.77</v>
      </c>
      <c r="I152" s="24" t="str">
        <f>UPPER(Tabla11[[#This Row],[Comercial]])</f>
        <v>LUIS VALLE 5431</v>
      </c>
      <c r="J152" s="24" t="str">
        <f>LOWER(Tabla11[[#This Row],[Comercial]])</f>
        <v>luis valle 5431</v>
      </c>
      <c r="K152" s="227" t="str">
        <f>PROPER(Tabla11[[#This Row],[Comercial]])</f>
        <v>Luis Valle 5431</v>
      </c>
      <c r="L152" t="s">
        <v>1507</v>
      </c>
      <c r="M152" t="str">
        <f>RIGHT(Tabla11[[#This Row],[Comercial]],4)</f>
        <v>5431</v>
      </c>
      <c r="N152" t="str">
        <f>LEFT(Tabla11[[#This Row],[Minuscula]],6)</f>
        <v>luis v</v>
      </c>
    </row>
    <row r="153" spans="1:14">
      <c r="A153" s="226">
        <v>1152</v>
      </c>
      <c r="B153" s="224">
        <v>44338</v>
      </c>
      <c r="C153" s="207" t="s">
        <v>1495</v>
      </c>
      <c r="D153" s="207" t="s">
        <v>1497</v>
      </c>
      <c r="E153" s="207" t="s">
        <v>520</v>
      </c>
      <c r="F153" s="225">
        <v>440</v>
      </c>
      <c r="G153" s="225">
        <v>92.4</v>
      </c>
      <c r="H153" s="225">
        <v>532.4</v>
      </c>
      <c r="I153" s="24" t="str">
        <f>UPPER(Tabla11[[#This Row],[Comercial]])</f>
        <v>LUIS VALLE 5431</v>
      </c>
      <c r="J153" s="24" t="str">
        <f>LOWER(Tabla11[[#This Row],[Comercial]])</f>
        <v>luis valle 5431</v>
      </c>
      <c r="K153" s="227" t="str">
        <f>PROPER(Tabla11[[#This Row],[Comercial]])</f>
        <v>Luis Valle 5431</v>
      </c>
      <c r="L153" t="s">
        <v>1507</v>
      </c>
      <c r="M153" t="str">
        <f>RIGHT(Tabla11[[#This Row],[Comercial]],4)</f>
        <v>5431</v>
      </c>
      <c r="N153" t="str">
        <f>LEFT(Tabla11[[#This Row],[Minuscula]],6)</f>
        <v>luis v</v>
      </c>
    </row>
    <row r="154" spans="1:14">
      <c r="A154" s="226">
        <v>1153</v>
      </c>
      <c r="B154" s="224">
        <v>44338</v>
      </c>
      <c r="C154" s="207" t="s">
        <v>1500</v>
      </c>
      <c r="D154" s="207" t="s">
        <v>1503</v>
      </c>
      <c r="E154" s="207" t="s">
        <v>530</v>
      </c>
      <c r="F154" s="225">
        <v>39</v>
      </c>
      <c r="G154" s="225">
        <v>8.19</v>
      </c>
      <c r="H154" s="225">
        <v>47.19</v>
      </c>
      <c r="I154" s="24" t="str">
        <f>UPPER(Tabla11[[#This Row],[Comercial]])</f>
        <v>ANA FERNANDEZZ 4321</v>
      </c>
      <c r="J154" s="24" t="str">
        <f>LOWER(Tabla11[[#This Row],[Comercial]])</f>
        <v>ana fernandezz 4321</v>
      </c>
      <c r="K154" s="227" t="str">
        <f>PROPER(Tabla11[[#This Row],[Comercial]])</f>
        <v>Ana Fernandezz 4321</v>
      </c>
      <c r="L154" t="s">
        <v>1509</v>
      </c>
      <c r="M154" t="str">
        <f>RIGHT(Tabla11[[#This Row],[Comercial]],4)</f>
        <v>4321</v>
      </c>
      <c r="N154" t="str">
        <f>LEFT(Tabla11[[#This Row],[Minuscula]],6)</f>
        <v>ana fe</v>
      </c>
    </row>
    <row r="155" spans="1:14">
      <c r="A155" s="226">
        <v>1154</v>
      </c>
      <c r="B155" s="224">
        <v>44340</v>
      </c>
      <c r="C155" s="207" t="s">
        <v>1504</v>
      </c>
      <c r="D155" s="207" t="s">
        <v>1502</v>
      </c>
      <c r="E155" s="207" t="s">
        <v>534</v>
      </c>
      <c r="F155" s="225">
        <v>10</v>
      </c>
      <c r="G155" s="225">
        <v>2.1</v>
      </c>
      <c r="H155" s="225">
        <v>12.1</v>
      </c>
      <c r="I155" s="24" t="str">
        <f>UPPER(Tabla11[[#This Row],[Comercial]])</f>
        <v>MARIA GARCIA 1254</v>
      </c>
      <c r="J155" s="24" t="str">
        <f>LOWER(Tabla11[[#This Row],[Comercial]])</f>
        <v>maria garcia 1254</v>
      </c>
      <c r="K155" s="227" t="str">
        <f>PROPER(Tabla11[[#This Row],[Comercial]])</f>
        <v>Maria Garcia 1254</v>
      </c>
      <c r="L155" t="s">
        <v>1506</v>
      </c>
      <c r="M155" t="str">
        <f>RIGHT(Tabla11[[#This Row],[Comercial]],4)</f>
        <v>1254</v>
      </c>
      <c r="N155" t="str">
        <f>LEFT(Tabla11[[#This Row],[Minuscula]],6)</f>
        <v xml:space="preserve">maria </v>
      </c>
    </row>
    <row r="156" spans="1:14">
      <c r="A156" s="226">
        <v>1155</v>
      </c>
      <c r="B156" s="224">
        <v>44342</v>
      </c>
      <c r="C156" s="207" t="s">
        <v>1500</v>
      </c>
      <c r="D156" s="207" t="s">
        <v>1502</v>
      </c>
      <c r="E156" s="207" t="s">
        <v>520</v>
      </c>
      <c r="F156" s="225">
        <v>291</v>
      </c>
      <c r="G156" s="225">
        <v>61.11</v>
      </c>
      <c r="H156" s="225">
        <v>352.11</v>
      </c>
      <c r="I156" s="24" t="str">
        <f>UPPER(Tabla11[[#This Row],[Comercial]])</f>
        <v>ANA FERNANDEZZ 4321</v>
      </c>
      <c r="J156" s="24" t="str">
        <f>LOWER(Tabla11[[#This Row],[Comercial]])</f>
        <v>ana fernandezz 4321</v>
      </c>
      <c r="K156" s="227" t="str">
        <f>PROPER(Tabla11[[#This Row],[Comercial]])</f>
        <v>Ana Fernandezz 4321</v>
      </c>
      <c r="L156" t="s">
        <v>1509</v>
      </c>
      <c r="M156" t="str">
        <f>RIGHT(Tabla11[[#This Row],[Comercial]],4)</f>
        <v>4321</v>
      </c>
      <c r="N156" t="str">
        <f>LEFT(Tabla11[[#This Row],[Minuscula]],6)</f>
        <v>ana fe</v>
      </c>
    </row>
    <row r="157" spans="1:14">
      <c r="A157" s="226">
        <v>1156</v>
      </c>
      <c r="B157" s="224">
        <v>44342</v>
      </c>
      <c r="C157" s="207" t="s">
        <v>1501</v>
      </c>
      <c r="D157" s="207" t="s">
        <v>1502</v>
      </c>
      <c r="E157" s="207" t="s">
        <v>520</v>
      </c>
      <c r="F157" s="225">
        <v>164</v>
      </c>
      <c r="G157" s="225">
        <v>34.44</v>
      </c>
      <c r="H157" s="225">
        <v>198.44</v>
      </c>
      <c r="I157" s="24" t="str">
        <f>UPPER(Tabla11[[#This Row],[Comercial]])</f>
        <v>MARIO PEREZ 1123</v>
      </c>
      <c r="J157" s="24" t="str">
        <f>LOWER(Tabla11[[#This Row],[Comercial]])</f>
        <v>mario perez 1123</v>
      </c>
      <c r="K157" s="227" t="str">
        <f>PROPER(Tabla11[[#This Row],[Comercial]])</f>
        <v>Mario Perez 1123</v>
      </c>
      <c r="L157" t="s">
        <v>1510</v>
      </c>
      <c r="M157" t="str">
        <f>RIGHT(Tabla11[[#This Row],[Comercial]],4)</f>
        <v>1123</v>
      </c>
      <c r="N157" t="str">
        <f>LEFT(Tabla11[[#This Row],[Minuscula]],6)</f>
        <v xml:space="preserve">mario </v>
      </c>
    </row>
    <row r="158" spans="1:14">
      <c r="A158" s="226">
        <v>1157</v>
      </c>
      <c r="B158" s="224">
        <v>44343</v>
      </c>
      <c r="C158" s="207" t="s">
        <v>1500</v>
      </c>
      <c r="D158" s="207" t="s">
        <v>1494</v>
      </c>
      <c r="E158" s="207" t="s">
        <v>534</v>
      </c>
      <c r="F158" s="225">
        <v>7</v>
      </c>
      <c r="G158" s="225">
        <v>1.47</v>
      </c>
      <c r="H158" s="225">
        <v>8.4700000000000006</v>
      </c>
      <c r="I158" s="24" t="str">
        <f>UPPER(Tabla11[[#This Row],[Comercial]])</f>
        <v>ANA FERNANDEZZ 4321</v>
      </c>
      <c r="J158" s="24" t="str">
        <f>LOWER(Tabla11[[#This Row],[Comercial]])</f>
        <v>ana fernandezz 4321</v>
      </c>
      <c r="K158" s="227" t="str">
        <f>PROPER(Tabla11[[#This Row],[Comercial]])</f>
        <v>Ana Fernandezz 4321</v>
      </c>
      <c r="L158" t="s">
        <v>1509</v>
      </c>
      <c r="M158" t="str">
        <f>RIGHT(Tabla11[[#This Row],[Comercial]],4)</f>
        <v>4321</v>
      </c>
      <c r="N158" t="str">
        <f>LEFT(Tabla11[[#This Row],[Minuscula]],6)</f>
        <v>ana fe</v>
      </c>
    </row>
    <row r="159" spans="1:14">
      <c r="A159" s="226">
        <v>1158</v>
      </c>
      <c r="B159" s="224">
        <v>44343</v>
      </c>
      <c r="C159" s="207" t="s">
        <v>1495</v>
      </c>
      <c r="D159" s="207" t="s">
        <v>1499</v>
      </c>
      <c r="E159" s="207" t="s">
        <v>518</v>
      </c>
      <c r="F159" s="225">
        <v>85</v>
      </c>
      <c r="G159" s="225">
        <v>17.850000000000001</v>
      </c>
      <c r="H159" s="225">
        <v>102.85</v>
      </c>
      <c r="I159" s="24" t="str">
        <f>UPPER(Tabla11[[#This Row],[Comercial]])</f>
        <v>LUIS VALLE 5431</v>
      </c>
      <c r="J159" s="24" t="str">
        <f>LOWER(Tabla11[[#This Row],[Comercial]])</f>
        <v>luis valle 5431</v>
      </c>
      <c r="K159" s="227" t="str">
        <f>PROPER(Tabla11[[#This Row],[Comercial]])</f>
        <v>Luis Valle 5431</v>
      </c>
      <c r="L159" t="s">
        <v>1507</v>
      </c>
      <c r="M159" t="str">
        <f>RIGHT(Tabla11[[#This Row],[Comercial]],4)</f>
        <v>5431</v>
      </c>
      <c r="N159" t="str">
        <f>LEFT(Tabla11[[#This Row],[Minuscula]],6)</f>
        <v>luis v</v>
      </c>
    </row>
    <row r="160" spans="1:14">
      <c r="A160" s="226">
        <v>1159</v>
      </c>
      <c r="B160" s="224">
        <v>44344</v>
      </c>
      <c r="C160" s="207" t="s">
        <v>1495</v>
      </c>
      <c r="D160" s="207" t="s">
        <v>1499</v>
      </c>
      <c r="E160" s="207" t="s">
        <v>534</v>
      </c>
      <c r="F160" s="225">
        <v>9</v>
      </c>
      <c r="G160" s="225">
        <v>1.89</v>
      </c>
      <c r="H160" s="225">
        <v>10.89</v>
      </c>
      <c r="I160" s="24" t="str">
        <f>UPPER(Tabla11[[#This Row],[Comercial]])</f>
        <v>LUIS VALLE 5431</v>
      </c>
      <c r="J160" s="24" t="str">
        <f>LOWER(Tabla11[[#This Row],[Comercial]])</f>
        <v>luis valle 5431</v>
      </c>
      <c r="K160" s="227" t="str">
        <f>PROPER(Tabla11[[#This Row],[Comercial]])</f>
        <v>Luis Valle 5431</v>
      </c>
      <c r="L160" t="s">
        <v>1507</v>
      </c>
      <c r="M160" t="str">
        <f>RIGHT(Tabla11[[#This Row],[Comercial]],4)</f>
        <v>5431</v>
      </c>
      <c r="N160" t="str">
        <f>LEFT(Tabla11[[#This Row],[Minuscula]],6)</f>
        <v>luis v</v>
      </c>
    </row>
    <row r="161" spans="1:14">
      <c r="A161" s="226">
        <v>1160</v>
      </c>
      <c r="B161" s="224">
        <v>44345</v>
      </c>
      <c r="C161" s="207" t="s">
        <v>1504</v>
      </c>
      <c r="D161" s="207" t="s">
        <v>1499</v>
      </c>
      <c r="E161" s="207" t="s">
        <v>530</v>
      </c>
      <c r="F161" s="225">
        <v>13</v>
      </c>
      <c r="G161" s="225">
        <v>2.73</v>
      </c>
      <c r="H161" s="225">
        <v>15.73</v>
      </c>
      <c r="I161" s="24" t="str">
        <f>UPPER(Tabla11[[#This Row],[Comercial]])</f>
        <v>MARIA GARCIA 1254</v>
      </c>
      <c r="J161" s="24" t="str">
        <f>LOWER(Tabla11[[#This Row],[Comercial]])</f>
        <v>maria garcia 1254</v>
      </c>
      <c r="K161" s="227" t="str">
        <f>PROPER(Tabla11[[#This Row],[Comercial]])</f>
        <v>Maria Garcia 1254</v>
      </c>
      <c r="L161" t="s">
        <v>1506</v>
      </c>
      <c r="M161" t="str">
        <f>RIGHT(Tabla11[[#This Row],[Comercial]],4)</f>
        <v>1254</v>
      </c>
      <c r="N161" t="str">
        <f>LEFT(Tabla11[[#This Row],[Minuscula]],6)</f>
        <v xml:space="preserve">maria </v>
      </c>
    </row>
    <row r="162" spans="1:14">
      <c r="A162" s="226">
        <v>1161</v>
      </c>
      <c r="B162" s="224">
        <v>44345</v>
      </c>
      <c r="C162" s="207" t="s">
        <v>1500</v>
      </c>
      <c r="D162" s="207" t="s">
        <v>1494</v>
      </c>
      <c r="E162" s="207" t="s">
        <v>518</v>
      </c>
      <c r="F162" s="225">
        <v>113</v>
      </c>
      <c r="G162" s="225">
        <v>23.73</v>
      </c>
      <c r="H162" s="225">
        <v>136.72999999999999</v>
      </c>
      <c r="I162" s="24" t="str">
        <f>UPPER(Tabla11[[#This Row],[Comercial]])</f>
        <v>ANA FERNANDEZZ 4321</v>
      </c>
      <c r="J162" s="24" t="str">
        <f>LOWER(Tabla11[[#This Row],[Comercial]])</f>
        <v>ana fernandezz 4321</v>
      </c>
      <c r="K162" s="227" t="str">
        <f>PROPER(Tabla11[[#This Row],[Comercial]])</f>
        <v>Ana Fernandezz 4321</v>
      </c>
      <c r="L162" t="s">
        <v>1509</v>
      </c>
      <c r="M162" t="str">
        <f>RIGHT(Tabla11[[#This Row],[Comercial]],4)</f>
        <v>4321</v>
      </c>
      <c r="N162" t="str">
        <f>LEFT(Tabla11[[#This Row],[Minuscula]],6)</f>
        <v>ana fe</v>
      </c>
    </row>
    <row r="163" spans="1:14">
      <c r="A163" s="226">
        <v>1162</v>
      </c>
      <c r="B163" s="224">
        <v>44345</v>
      </c>
      <c r="C163" s="207" t="s">
        <v>1504</v>
      </c>
      <c r="D163" s="207" t="s">
        <v>1502</v>
      </c>
      <c r="E163" s="207" t="s">
        <v>520</v>
      </c>
      <c r="F163" s="225">
        <v>360</v>
      </c>
      <c r="G163" s="225">
        <v>75.599999999999994</v>
      </c>
      <c r="H163" s="225">
        <v>435.6</v>
      </c>
      <c r="I163" s="24" t="str">
        <f>UPPER(Tabla11[[#This Row],[Comercial]])</f>
        <v>MARIA GARCIA 1254</v>
      </c>
      <c r="J163" s="24" t="str">
        <f>LOWER(Tabla11[[#This Row],[Comercial]])</f>
        <v>maria garcia 1254</v>
      </c>
      <c r="K163" s="227" t="str">
        <f>PROPER(Tabla11[[#This Row],[Comercial]])</f>
        <v>Maria Garcia 1254</v>
      </c>
      <c r="L163" t="s">
        <v>1506</v>
      </c>
      <c r="M163" t="str">
        <f>RIGHT(Tabla11[[#This Row],[Comercial]],4)</f>
        <v>1254</v>
      </c>
      <c r="N163" t="str">
        <f>LEFT(Tabla11[[#This Row],[Minuscula]],6)</f>
        <v xml:space="preserve">maria </v>
      </c>
    </row>
    <row r="164" spans="1:14">
      <c r="A164" s="226">
        <v>1163</v>
      </c>
      <c r="B164" s="224">
        <v>44346</v>
      </c>
      <c r="C164" s="207" t="s">
        <v>1500</v>
      </c>
      <c r="D164" s="207" t="s">
        <v>1497</v>
      </c>
      <c r="E164" s="207" t="s">
        <v>530</v>
      </c>
      <c r="F164" s="225">
        <v>10</v>
      </c>
      <c r="G164" s="225">
        <v>2.1</v>
      </c>
      <c r="H164" s="225">
        <v>12.1</v>
      </c>
      <c r="I164" s="24" t="str">
        <f>UPPER(Tabla11[[#This Row],[Comercial]])</f>
        <v>ANA FERNANDEZZ 4321</v>
      </c>
      <c r="J164" s="24" t="str">
        <f>LOWER(Tabla11[[#This Row],[Comercial]])</f>
        <v>ana fernandezz 4321</v>
      </c>
      <c r="K164" s="227" t="str">
        <f>PROPER(Tabla11[[#This Row],[Comercial]])</f>
        <v>Ana Fernandezz 4321</v>
      </c>
      <c r="L164" t="s">
        <v>1509</v>
      </c>
      <c r="M164" t="str">
        <f>RIGHT(Tabla11[[#This Row],[Comercial]],4)</f>
        <v>4321</v>
      </c>
      <c r="N164" t="str">
        <f>LEFT(Tabla11[[#This Row],[Minuscula]],6)</f>
        <v>ana fe</v>
      </c>
    </row>
    <row r="165" spans="1:14">
      <c r="A165" s="226">
        <v>1164</v>
      </c>
      <c r="B165" s="224">
        <v>44347</v>
      </c>
      <c r="C165" s="207" t="s">
        <v>1504</v>
      </c>
      <c r="D165" s="207" t="s">
        <v>1499</v>
      </c>
      <c r="E165" s="207" t="s">
        <v>520</v>
      </c>
      <c r="F165" s="225">
        <v>377</v>
      </c>
      <c r="G165" s="225">
        <v>79.17</v>
      </c>
      <c r="H165" s="225">
        <v>456.17</v>
      </c>
      <c r="I165" s="24" t="str">
        <f>UPPER(Tabla11[[#This Row],[Comercial]])</f>
        <v>MARIA GARCIA 1254</v>
      </c>
      <c r="J165" s="24" t="str">
        <f>LOWER(Tabla11[[#This Row],[Comercial]])</f>
        <v>maria garcia 1254</v>
      </c>
      <c r="K165" s="227" t="str">
        <f>PROPER(Tabla11[[#This Row],[Comercial]])</f>
        <v>Maria Garcia 1254</v>
      </c>
      <c r="L165" t="s">
        <v>1506</v>
      </c>
      <c r="M165" t="str">
        <f>RIGHT(Tabla11[[#This Row],[Comercial]],4)</f>
        <v>1254</v>
      </c>
      <c r="N165" t="str">
        <f>LEFT(Tabla11[[#This Row],[Minuscula]],6)</f>
        <v xml:space="preserve">maria </v>
      </c>
    </row>
    <row r="166" spans="1:14">
      <c r="A166" s="226">
        <v>1165</v>
      </c>
      <c r="B166" s="224">
        <v>44348</v>
      </c>
      <c r="C166" s="207" t="s">
        <v>1495</v>
      </c>
      <c r="D166" s="207" t="s">
        <v>1503</v>
      </c>
      <c r="E166" s="207" t="s">
        <v>518</v>
      </c>
      <c r="F166" s="225">
        <v>162</v>
      </c>
      <c r="G166" s="225">
        <v>34.020000000000003</v>
      </c>
      <c r="H166" s="225">
        <v>196.02</v>
      </c>
      <c r="I166" s="24" t="str">
        <f>UPPER(Tabla11[[#This Row],[Comercial]])</f>
        <v>LUIS VALLE 5431</v>
      </c>
      <c r="J166" s="24" t="str">
        <f>LOWER(Tabla11[[#This Row],[Comercial]])</f>
        <v>luis valle 5431</v>
      </c>
      <c r="K166" s="227" t="str">
        <f>PROPER(Tabla11[[#This Row],[Comercial]])</f>
        <v>Luis Valle 5431</v>
      </c>
      <c r="L166" t="s">
        <v>1507</v>
      </c>
      <c r="M166" t="str">
        <f>RIGHT(Tabla11[[#This Row],[Comercial]],4)</f>
        <v>5431</v>
      </c>
      <c r="N166" t="str">
        <f>LEFT(Tabla11[[#This Row],[Minuscula]],6)</f>
        <v>luis v</v>
      </c>
    </row>
    <row r="167" spans="1:14">
      <c r="A167" s="226">
        <v>1166</v>
      </c>
      <c r="B167" s="224">
        <v>44348</v>
      </c>
      <c r="C167" s="207" t="s">
        <v>1500</v>
      </c>
      <c r="D167" s="207" t="s">
        <v>1494</v>
      </c>
      <c r="E167" s="207" t="s">
        <v>530</v>
      </c>
      <c r="F167" s="225">
        <v>41</v>
      </c>
      <c r="G167" s="225">
        <v>8.61</v>
      </c>
      <c r="H167" s="225">
        <v>49.61</v>
      </c>
      <c r="I167" s="24" t="str">
        <f>UPPER(Tabla11[[#This Row],[Comercial]])</f>
        <v>ANA FERNANDEZZ 4321</v>
      </c>
      <c r="J167" s="24" t="str">
        <f>LOWER(Tabla11[[#This Row],[Comercial]])</f>
        <v>ana fernandezz 4321</v>
      </c>
      <c r="K167" s="227" t="str">
        <f>PROPER(Tabla11[[#This Row],[Comercial]])</f>
        <v>Ana Fernandezz 4321</v>
      </c>
      <c r="L167" t="s">
        <v>1509</v>
      </c>
      <c r="M167" t="str">
        <f>RIGHT(Tabla11[[#This Row],[Comercial]],4)</f>
        <v>4321</v>
      </c>
      <c r="N167" t="str">
        <f>LEFT(Tabla11[[#This Row],[Minuscula]],6)</f>
        <v>ana fe</v>
      </c>
    </row>
    <row r="168" spans="1:14">
      <c r="A168" s="226">
        <v>1167</v>
      </c>
      <c r="B168" s="224">
        <v>44350</v>
      </c>
      <c r="C168" s="207" t="s">
        <v>1500</v>
      </c>
      <c r="D168" s="207" t="s">
        <v>1499</v>
      </c>
      <c r="E168" s="207" t="s">
        <v>530</v>
      </c>
      <c r="F168" s="225">
        <v>17</v>
      </c>
      <c r="G168" s="225">
        <v>3.57</v>
      </c>
      <c r="H168" s="225">
        <v>20.57</v>
      </c>
      <c r="I168" s="24" t="str">
        <f>UPPER(Tabla11[[#This Row],[Comercial]])</f>
        <v>ANA FERNANDEZZ 4321</v>
      </c>
      <c r="J168" s="24" t="str">
        <f>LOWER(Tabla11[[#This Row],[Comercial]])</f>
        <v>ana fernandezz 4321</v>
      </c>
      <c r="K168" s="227" t="str">
        <f>PROPER(Tabla11[[#This Row],[Comercial]])</f>
        <v>Ana Fernandezz 4321</v>
      </c>
      <c r="L168" t="s">
        <v>1509</v>
      </c>
      <c r="M168" t="str">
        <f>RIGHT(Tabla11[[#This Row],[Comercial]],4)</f>
        <v>4321</v>
      </c>
      <c r="N168" t="str">
        <f>LEFT(Tabla11[[#This Row],[Minuscula]],6)</f>
        <v>ana fe</v>
      </c>
    </row>
    <row r="169" spans="1:14">
      <c r="A169" s="226">
        <v>1168</v>
      </c>
      <c r="B169" s="224">
        <v>44351</v>
      </c>
      <c r="C169" s="207" t="s">
        <v>1504</v>
      </c>
      <c r="D169" s="207" t="s">
        <v>1499</v>
      </c>
      <c r="E169" s="207" t="s">
        <v>530</v>
      </c>
      <c r="F169" s="225">
        <v>19</v>
      </c>
      <c r="G169" s="225">
        <v>3.99</v>
      </c>
      <c r="H169" s="225">
        <v>22.99</v>
      </c>
      <c r="I169" s="24" t="str">
        <f>UPPER(Tabla11[[#This Row],[Comercial]])</f>
        <v>MARIA GARCIA 1254</v>
      </c>
      <c r="J169" s="24" t="str">
        <f>LOWER(Tabla11[[#This Row],[Comercial]])</f>
        <v>maria garcia 1254</v>
      </c>
      <c r="K169" s="227" t="str">
        <f>PROPER(Tabla11[[#This Row],[Comercial]])</f>
        <v>Maria Garcia 1254</v>
      </c>
      <c r="L169" t="s">
        <v>1506</v>
      </c>
      <c r="M169" t="str">
        <f>RIGHT(Tabla11[[#This Row],[Comercial]],4)</f>
        <v>1254</v>
      </c>
      <c r="N169" t="str">
        <f>LEFT(Tabla11[[#This Row],[Minuscula]],6)</f>
        <v xml:space="preserve">maria </v>
      </c>
    </row>
    <row r="170" spans="1:14">
      <c r="A170" s="226">
        <v>1169</v>
      </c>
      <c r="B170" s="224">
        <v>44352</v>
      </c>
      <c r="C170" s="207" t="s">
        <v>1501</v>
      </c>
      <c r="D170" s="207" t="s">
        <v>1502</v>
      </c>
      <c r="E170" s="207" t="s">
        <v>534</v>
      </c>
      <c r="F170" s="225">
        <v>8</v>
      </c>
      <c r="G170" s="225">
        <v>1.68</v>
      </c>
      <c r="H170" s="225">
        <v>9.68</v>
      </c>
      <c r="I170" s="24" t="str">
        <f>UPPER(Tabla11[[#This Row],[Comercial]])</f>
        <v>MARIO PEREZ 1123</v>
      </c>
      <c r="J170" s="24" t="str">
        <f>LOWER(Tabla11[[#This Row],[Comercial]])</f>
        <v>mario perez 1123</v>
      </c>
      <c r="K170" s="227" t="str">
        <f>PROPER(Tabla11[[#This Row],[Comercial]])</f>
        <v>Mario Perez 1123</v>
      </c>
      <c r="L170" t="s">
        <v>1510</v>
      </c>
      <c r="M170" t="str">
        <f>RIGHT(Tabla11[[#This Row],[Comercial]],4)</f>
        <v>1123</v>
      </c>
      <c r="N170" t="str">
        <f>LEFT(Tabla11[[#This Row],[Minuscula]],6)</f>
        <v xml:space="preserve">mario </v>
      </c>
    </row>
    <row r="171" spans="1:14">
      <c r="A171" s="226">
        <v>1170</v>
      </c>
      <c r="B171" s="224">
        <v>44352</v>
      </c>
      <c r="C171" s="207" t="s">
        <v>1496</v>
      </c>
      <c r="D171" s="207" t="s">
        <v>1494</v>
      </c>
      <c r="E171" s="207" t="s">
        <v>534</v>
      </c>
      <c r="F171" s="225">
        <v>8</v>
      </c>
      <c r="G171" s="225">
        <v>1.68</v>
      </c>
      <c r="H171" s="225">
        <v>9.68</v>
      </c>
      <c r="I171" s="24" t="str">
        <f>UPPER(Tabla11[[#This Row],[Comercial]])</f>
        <v>PABLO LOPEZ 7384</v>
      </c>
      <c r="J171" s="24" t="str">
        <f>LOWER(Tabla11[[#This Row],[Comercial]])</f>
        <v>pablo lopez 7384</v>
      </c>
      <c r="K171" s="227" t="str">
        <f>PROPER(Tabla11[[#This Row],[Comercial]])</f>
        <v>Pablo Lopez 7384</v>
      </c>
      <c r="L171" t="s">
        <v>1508</v>
      </c>
      <c r="M171" t="str">
        <f>RIGHT(Tabla11[[#This Row],[Comercial]],4)</f>
        <v>7384</v>
      </c>
      <c r="N171" t="str">
        <f>LEFT(Tabla11[[#This Row],[Minuscula]],6)</f>
        <v xml:space="preserve">pablo </v>
      </c>
    </row>
    <row r="172" spans="1:14">
      <c r="A172" s="226">
        <v>1171</v>
      </c>
      <c r="B172" s="224">
        <v>44354</v>
      </c>
      <c r="C172" s="207" t="s">
        <v>1504</v>
      </c>
      <c r="D172" s="207" t="s">
        <v>1499</v>
      </c>
      <c r="E172" s="207" t="s">
        <v>534</v>
      </c>
      <c r="F172" s="225">
        <v>8</v>
      </c>
      <c r="G172" s="225">
        <v>1.68</v>
      </c>
      <c r="H172" s="225">
        <v>9.68</v>
      </c>
      <c r="I172" s="24" t="str">
        <f>UPPER(Tabla11[[#This Row],[Comercial]])</f>
        <v>MARIA GARCIA 1254</v>
      </c>
      <c r="J172" s="24" t="str">
        <f>LOWER(Tabla11[[#This Row],[Comercial]])</f>
        <v>maria garcia 1254</v>
      </c>
      <c r="K172" s="227" t="str">
        <f>PROPER(Tabla11[[#This Row],[Comercial]])</f>
        <v>Maria Garcia 1254</v>
      </c>
      <c r="L172" t="s">
        <v>1506</v>
      </c>
      <c r="M172" t="str">
        <f>RIGHT(Tabla11[[#This Row],[Comercial]],4)</f>
        <v>1254</v>
      </c>
      <c r="N172" t="str">
        <f>LEFT(Tabla11[[#This Row],[Minuscula]],6)</f>
        <v xml:space="preserve">maria </v>
      </c>
    </row>
    <row r="173" spans="1:14">
      <c r="A173" s="226">
        <v>1172</v>
      </c>
      <c r="B173" s="224">
        <v>44354</v>
      </c>
      <c r="C173" s="207" t="s">
        <v>1501</v>
      </c>
      <c r="D173" s="207" t="s">
        <v>1499</v>
      </c>
      <c r="E173" s="207" t="s">
        <v>534</v>
      </c>
      <c r="F173" s="225">
        <v>7</v>
      </c>
      <c r="G173" s="225">
        <v>1.47</v>
      </c>
      <c r="H173" s="225">
        <v>8.4700000000000006</v>
      </c>
      <c r="I173" s="24" t="str">
        <f>UPPER(Tabla11[[#This Row],[Comercial]])</f>
        <v>MARIO PEREZ 1123</v>
      </c>
      <c r="J173" s="24" t="str">
        <f>LOWER(Tabla11[[#This Row],[Comercial]])</f>
        <v>mario perez 1123</v>
      </c>
      <c r="K173" s="227" t="str">
        <f>PROPER(Tabla11[[#This Row],[Comercial]])</f>
        <v>Mario Perez 1123</v>
      </c>
      <c r="L173" t="s">
        <v>1510</v>
      </c>
      <c r="M173" t="str">
        <f>RIGHT(Tabla11[[#This Row],[Comercial]],4)</f>
        <v>1123</v>
      </c>
      <c r="N173" t="str">
        <f>LEFT(Tabla11[[#This Row],[Minuscula]],6)</f>
        <v xml:space="preserve">mario </v>
      </c>
    </row>
    <row r="174" spans="1:14">
      <c r="A174" s="226">
        <v>1173</v>
      </c>
      <c r="B174" s="224">
        <v>44355</v>
      </c>
      <c r="C174" s="207" t="s">
        <v>1500</v>
      </c>
      <c r="D174" s="207" t="s">
        <v>1499</v>
      </c>
      <c r="E174" s="207" t="s">
        <v>518</v>
      </c>
      <c r="F174" s="225">
        <v>73</v>
      </c>
      <c r="G174" s="225">
        <v>15.33</v>
      </c>
      <c r="H174" s="225">
        <v>88.33</v>
      </c>
      <c r="I174" s="24" t="str">
        <f>UPPER(Tabla11[[#This Row],[Comercial]])</f>
        <v>ANA FERNANDEZZ 4321</v>
      </c>
      <c r="J174" s="24" t="str">
        <f>LOWER(Tabla11[[#This Row],[Comercial]])</f>
        <v>ana fernandezz 4321</v>
      </c>
      <c r="K174" s="227" t="str">
        <f>PROPER(Tabla11[[#This Row],[Comercial]])</f>
        <v>Ana Fernandezz 4321</v>
      </c>
      <c r="L174" t="s">
        <v>1509</v>
      </c>
      <c r="M174" t="str">
        <f>RIGHT(Tabla11[[#This Row],[Comercial]],4)</f>
        <v>4321</v>
      </c>
      <c r="N174" t="str">
        <f>LEFT(Tabla11[[#This Row],[Minuscula]],6)</f>
        <v>ana fe</v>
      </c>
    </row>
    <row r="175" spans="1:14">
      <c r="A175" s="226">
        <v>1174</v>
      </c>
      <c r="B175" s="224">
        <v>44356</v>
      </c>
      <c r="C175" s="207" t="s">
        <v>1504</v>
      </c>
      <c r="D175" s="207" t="s">
        <v>1502</v>
      </c>
      <c r="E175" s="207" t="s">
        <v>525</v>
      </c>
      <c r="F175" s="225">
        <v>7</v>
      </c>
      <c r="G175" s="225">
        <v>1.47</v>
      </c>
      <c r="H175" s="225">
        <v>8.4700000000000006</v>
      </c>
      <c r="I175" s="24" t="str">
        <f>UPPER(Tabla11[[#This Row],[Comercial]])</f>
        <v>MARIA GARCIA 1254</v>
      </c>
      <c r="J175" s="24" t="str">
        <f>LOWER(Tabla11[[#This Row],[Comercial]])</f>
        <v>maria garcia 1254</v>
      </c>
      <c r="K175" s="227" t="str">
        <f>PROPER(Tabla11[[#This Row],[Comercial]])</f>
        <v>Maria Garcia 1254</v>
      </c>
      <c r="L175" t="s">
        <v>1506</v>
      </c>
      <c r="M175" t="str">
        <f>RIGHT(Tabla11[[#This Row],[Comercial]],4)</f>
        <v>1254</v>
      </c>
      <c r="N175" t="str">
        <f>LEFT(Tabla11[[#This Row],[Minuscula]],6)</f>
        <v xml:space="preserve">maria </v>
      </c>
    </row>
    <row r="176" spans="1:14">
      <c r="A176" s="226">
        <v>1175</v>
      </c>
      <c r="B176" s="224">
        <v>44356</v>
      </c>
      <c r="C176" s="207" t="s">
        <v>1496</v>
      </c>
      <c r="D176" s="207" t="s">
        <v>1494</v>
      </c>
      <c r="E176" s="207" t="s">
        <v>530</v>
      </c>
      <c r="F176" s="225">
        <v>35</v>
      </c>
      <c r="G176" s="225">
        <v>7.35</v>
      </c>
      <c r="H176" s="225">
        <v>42.35</v>
      </c>
      <c r="I176" s="24" t="str">
        <f>UPPER(Tabla11[[#This Row],[Comercial]])</f>
        <v>PABLO LOPEZ 7384</v>
      </c>
      <c r="J176" s="24" t="str">
        <f>LOWER(Tabla11[[#This Row],[Comercial]])</f>
        <v>pablo lopez 7384</v>
      </c>
      <c r="K176" s="227" t="str">
        <f>PROPER(Tabla11[[#This Row],[Comercial]])</f>
        <v>Pablo Lopez 7384</v>
      </c>
      <c r="L176" t="s">
        <v>1508</v>
      </c>
      <c r="M176" t="str">
        <f>RIGHT(Tabla11[[#This Row],[Comercial]],4)</f>
        <v>7384</v>
      </c>
      <c r="N176" t="str">
        <f>LEFT(Tabla11[[#This Row],[Minuscula]],6)</f>
        <v xml:space="preserve">pablo </v>
      </c>
    </row>
    <row r="177" spans="1:14">
      <c r="A177" s="226">
        <v>1176</v>
      </c>
      <c r="B177" s="224">
        <v>44356</v>
      </c>
      <c r="C177" s="207" t="s">
        <v>1496</v>
      </c>
      <c r="D177" s="207" t="s">
        <v>1497</v>
      </c>
      <c r="E177" s="207" t="s">
        <v>534</v>
      </c>
      <c r="F177" s="225">
        <v>6</v>
      </c>
      <c r="G177" s="225">
        <v>1.26</v>
      </c>
      <c r="H177" s="225">
        <v>7.26</v>
      </c>
      <c r="I177" s="24" t="str">
        <f>UPPER(Tabla11[[#This Row],[Comercial]])</f>
        <v>PABLO LOPEZ 7384</v>
      </c>
      <c r="J177" s="24" t="str">
        <f>LOWER(Tabla11[[#This Row],[Comercial]])</f>
        <v>pablo lopez 7384</v>
      </c>
      <c r="K177" s="227" t="str">
        <f>PROPER(Tabla11[[#This Row],[Comercial]])</f>
        <v>Pablo Lopez 7384</v>
      </c>
      <c r="L177" t="s">
        <v>1508</v>
      </c>
      <c r="M177" t="str">
        <f>RIGHT(Tabla11[[#This Row],[Comercial]],4)</f>
        <v>7384</v>
      </c>
      <c r="N177" t="str">
        <f>LEFT(Tabla11[[#This Row],[Minuscula]],6)</f>
        <v xml:space="preserve">pablo </v>
      </c>
    </row>
    <row r="178" spans="1:14">
      <c r="A178" s="226">
        <v>1177</v>
      </c>
      <c r="B178" s="224">
        <v>44356</v>
      </c>
      <c r="C178" s="207" t="s">
        <v>1504</v>
      </c>
      <c r="D178" s="207" t="s">
        <v>1503</v>
      </c>
      <c r="E178" s="207" t="s">
        <v>530</v>
      </c>
      <c r="F178" s="225">
        <v>42</v>
      </c>
      <c r="G178" s="225">
        <v>8.82</v>
      </c>
      <c r="H178" s="225">
        <v>50.82</v>
      </c>
      <c r="I178" s="24" t="str">
        <f>UPPER(Tabla11[[#This Row],[Comercial]])</f>
        <v>MARIA GARCIA 1254</v>
      </c>
      <c r="J178" s="24" t="str">
        <f>LOWER(Tabla11[[#This Row],[Comercial]])</f>
        <v>maria garcia 1254</v>
      </c>
      <c r="K178" s="227" t="str">
        <f>PROPER(Tabla11[[#This Row],[Comercial]])</f>
        <v>Maria Garcia 1254</v>
      </c>
      <c r="L178" t="s">
        <v>1506</v>
      </c>
      <c r="M178" t="str">
        <f>RIGHT(Tabla11[[#This Row],[Comercial]],4)</f>
        <v>1254</v>
      </c>
      <c r="N178" t="str">
        <f>LEFT(Tabla11[[#This Row],[Minuscula]],6)</f>
        <v xml:space="preserve">maria </v>
      </c>
    </row>
    <row r="179" spans="1:14">
      <c r="A179" s="226">
        <v>1178</v>
      </c>
      <c r="B179" s="224">
        <v>44357</v>
      </c>
      <c r="C179" s="207" t="s">
        <v>1495</v>
      </c>
      <c r="D179" s="207" t="s">
        <v>1494</v>
      </c>
      <c r="E179" s="207" t="s">
        <v>525</v>
      </c>
      <c r="F179" s="225">
        <v>30</v>
      </c>
      <c r="G179" s="225">
        <v>6.3</v>
      </c>
      <c r="H179" s="225">
        <v>36.299999999999997</v>
      </c>
      <c r="I179" s="24" t="str">
        <f>UPPER(Tabla11[[#This Row],[Comercial]])</f>
        <v>LUIS VALLE 5431</v>
      </c>
      <c r="J179" s="24" t="str">
        <f>LOWER(Tabla11[[#This Row],[Comercial]])</f>
        <v>luis valle 5431</v>
      </c>
      <c r="K179" s="227" t="str">
        <f>PROPER(Tabla11[[#This Row],[Comercial]])</f>
        <v>Luis Valle 5431</v>
      </c>
      <c r="L179" t="s">
        <v>1507</v>
      </c>
      <c r="M179" t="str">
        <f>RIGHT(Tabla11[[#This Row],[Comercial]],4)</f>
        <v>5431</v>
      </c>
      <c r="N179" t="str">
        <f>LEFT(Tabla11[[#This Row],[Minuscula]],6)</f>
        <v>luis v</v>
      </c>
    </row>
    <row r="180" spans="1:14">
      <c r="A180" s="226">
        <v>1179</v>
      </c>
      <c r="B180" s="224">
        <v>44357</v>
      </c>
      <c r="C180" s="207" t="s">
        <v>1496</v>
      </c>
      <c r="D180" s="207" t="s">
        <v>1502</v>
      </c>
      <c r="E180" s="207" t="s">
        <v>525</v>
      </c>
      <c r="F180" s="225">
        <v>6</v>
      </c>
      <c r="G180" s="225">
        <v>1.26</v>
      </c>
      <c r="H180" s="225">
        <v>7.26</v>
      </c>
      <c r="I180" s="24" t="str">
        <f>UPPER(Tabla11[[#This Row],[Comercial]])</f>
        <v>PABLO LOPEZ 7384</v>
      </c>
      <c r="J180" s="24" t="str">
        <f>LOWER(Tabla11[[#This Row],[Comercial]])</f>
        <v>pablo lopez 7384</v>
      </c>
      <c r="K180" s="227" t="str">
        <f>PROPER(Tabla11[[#This Row],[Comercial]])</f>
        <v>Pablo Lopez 7384</v>
      </c>
      <c r="L180" t="s">
        <v>1508</v>
      </c>
      <c r="M180" t="str">
        <f>RIGHT(Tabla11[[#This Row],[Comercial]],4)</f>
        <v>7384</v>
      </c>
      <c r="N180" t="str">
        <f>LEFT(Tabla11[[#This Row],[Minuscula]],6)</f>
        <v xml:space="preserve">pablo </v>
      </c>
    </row>
    <row r="181" spans="1:14">
      <c r="A181" s="226">
        <v>1180</v>
      </c>
      <c r="B181" s="224">
        <v>44358</v>
      </c>
      <c r="C181" s="207" t="s">
        <v>1504</v>
      </c>
      <c r="D181" s="207" t="s">
        <v>1503</v>
      </c>
      <c r="E181" s="207" t="s">
        <v>530</v>
      </c>
      <c r="F181" s="225">
        <v>44</v>
      </c>
      <c r="G181" s="225">
        <v>9.24</v>
      </c>
      <c r="H181" s="225">
        <v>53.24</v>
      </c>
      <c r="I181" s="24" t="str">
        <f>UPPER(Tabla11[[#This Row],[Comercial]])</f>
        <v>MARIA GARCIA 1254</v>
      </c>
      <c r="J181" s="24" t="str">
        <f>LOWER(Tabla11[[#This Row],[Comercial]])</f>
        <v>maria garcia 1254</v>
      </c>
      <c r="K181" s="227" t="str">
        <f>PROPER(Tabla11[[#This Row],[Comercial]])</f>
        <v>Maria Garcia 1254</v>
      </c>
      <c r="L181" t="s">
        <v>1506</v>
      </c>
      <c r="M181" t="str">
        <f>RIGHT(Tabla11[[#This Row],[Comercial]],4)</f>
        <v>1254</v>
      </c>
      <c r="N181" t="str">
        <f>LEFT(Tabla11[[#This Row],[Minuscula]],6)</f>
        <v xml:space="preserve">maria </v>
      </c>
    </row>
    <row r="182" spans="1:14">
      <c r="A182" s="226">
        <v>1181</v>
      </c>
      <c r="B182" s="224">
        <v>44358</v>
      </c>
      <c r="C182" s="207" t="s">
        <v>1495</v>
      </c>
      <c r="D182" s="207" t="s">
        <v>1497</v>
      </c>
      <c r="E182" s="207" t="s">
        <v>518</v>
      </c>
      <c r="F182" s="225">
        <v>44</v>
      </c>
      <c r="G182" s="225">
        <v>9.24</v>
      </c>
      <c r="H182" s="225">
        <v>53.24</v>
      </c>
      <c r="I182" s="24" t="str">
        <f>UPPER(Tabla11[[#This Row],[Comercial]])</f>
        <v>LUIS VALLE 5431</v>
      </c>
      <c r="J182" s="24" t="str">
        <f>LOWER(Tabla11[[#This Row],[Comercial]])</f>
        <v>luis valle 5431</v>
      </c>
      <c r="K182" s="227" t="str">
        <f>PROPER(Tabla11[[#This Row],[Comercial]])</f>
        <v>Luis Valle 5431</v>
      </c>
      <c r="L182" t="s">
        <v>1507</v>
      </c>
      <c r="M182" t="str">
        <f>RIGHT(Tabla11[[#This Row],[Comercial]],4)</f>
        <v>5431</v>
      </c>
      <c r="N182" t="str">
        <f>LEFT(Tabla11[[#This Row],[Minuscula]],6)</f>
        <v>luis v</v>
      </c>
    </row>
    <row r="183" spans="1:14">
      <c r="A183" s="226">
        <v>1182</v>
      </c>
      <c r="B183" s="224">
        <v>44364</v>
      </c>
      <c r="C183" s="207" t="s">
        <v>1496</v>
      </c>
      <c r="D183" s="207" t="s">
        <v>1499</v>
      </c>
      <c r="E183" s="207" t="s">
        <v>520</v>
      </c>
      <c r="F183" s="225">
        <v>391</v>
      </c>
      <c r="G183" s="225">
        <v>82.11</v>
      </c>
      <c r="H183" s="225">
        <v>473.11</v>
      </c>
      <c r="I183" s="24" t="str">
        <f>UPPER(Tabla11[[#This Row],[Comercial]])</f>
        <v>PABLO LOPEZ 7384</v>
      </c>
      <c r="J183" s="24" t="str">
        <f>LOWER(Tabla11[[#This Row],[Comercial]])</f>
        <v>pablo lopez 7384</v>
      </c>
      <c r="K183" s="227" t="str">
        <f>PROPER(Tabla11[[#This Row],[Comercial]])</f>
        <v>Pablo Lopez 7384</v>
      </c>
      <c r="L183" t="s">
        <v>1508</v>
      </c>
      <c r="M183" t="str">
        <f>RIGHT(Tabla11[[#This Row],[Comercial]],4)</f>
        <v>7384</v>
      </c>
      <c r="N183" t="str">
        <f>LEFT(Tabla11[[#This Row],[Minuscula]],6)</f>
        <v xml:space="preserve">pablo </v>
      </c>
    </row>
    <row r="184" spans="1:14">
      <c r="A184" s="226">
        <v>1183</v>
      </c>
      <c r="B184" s="224">
        <v>44364</v>
      </c>
      <c r="C184" s="207" t="s">
        <v>1504</v>
      </c>
      <c r="D184" s="207" t="s">
        <v>1497</v>
      </c>
      <c r="E184" s="207" t="s">
        <v>525</v>
      </c>
      <c r="F184" s="225">
        <v>20</v>
      </c>
      <c r="G184" s="225">
        <v>4.2</v>
      </c>
      <c r="H184" s="225">
        <v>24.2</v>
      </c>
      <c r="I184" s="24" t="str">
        <f>UPPER(Tabla11[[#This Row],[Comercial]])</f>
        <v>MARIA GARCIA 1254</v>
      </c>
      <c r="J184" s="24" t="str">
        <f>LOWER(Tabla11[[#This Row],[Comercial]])</f>
        <v>maria garcia 1254</v>
      </c>
      <c r="K184" s="227" t="str">
        <f>PROPER(Tabla11[[#This Row],[Comercial]])</f>
        <v>Maria Garcia 1254</v>
      </c>
      <c r="L184" t="s">
        <v>1506</v>
      </c>
      <c r="M184" t="str">
        <f>RIGHT(Tabla11[[#This Row],[Comercial]],4)</f>
        <v>1254</v>
      </c>
      <c r="N184" t="str">
        <f>LEFT(Tabla11[[#This Row],[Minuscula]],6)</f>
        <v xml:space="preserve">maria </v>
      </c>
    </row>
    <row r="185" spans="1:14">
      <c r="A185" s="226">
        <v>1184</v>
      </c>
      <c r="B185" s="224">
        <v>44366</v>
      </c>
      <c r="C185" s="207" t="s">
        <v>1495</v>
      </c>
      <c r="D185" s="207" t="s">
        <v>1497</v>
      </c>
      <c r="E185" s="207" t="s">
        <v>534</v>
      </c>
      <c r="F185" s="225">
        <v>10</v>
      </c>
      <c r="G185" s="225">
        <v>2.1</v>
      </c>
      <c r="H185" s="225">
        <v>12.1</v>
      </c>
      <c r="I185" s="24" t="str">
        <f>UPPER(Tabla11[[#This Row],[Comercial]])</f>
        <v>LUIS VALLE 5431</v>
      </c>
      <c r="J185" s="24" t="str">
        <f>LOWER(Tabla11[[#This Row],[Comercial]])</f>
        <v>luis valle 5431</v>
      </c>
      <c r="K185" s="227" t="str">
        <f>PROPER(Tabla11[[#This Row],[Comercial]])</f>
        <v>Luis Valle 5431</v>
      </c>
      <c r="L185" t="s">
        <v>1507</v>
      </c>
      <c r="M185" t="str">
        <f>RIGHT(Tabla11[[#This Row],[Comercial]],4)</f>
        <v>5431</v>
      </c>
      <c r="N185" t="str">
        <f>LEFT(Tabla11[[#This Row],[Minuscula]],6)</f>
        <v>luis v</v>
      </c>
    </row>
    <row r="186" spans="1:14">
      <c r="A186" s="226">
        <v>1185</v>
      </c>
      <c r="B186" s="224">
        <v>44366</v>
      </c>
      <c r="C186" s="207" t="s">
        <v>1500</v>
      </c>
      <c r="D186" s="207" t="s">
        <v>1502</v>
      </c>
      <c r="E186" s="207" t="s">
        <v>525</v>
      </c>
      <c r="F186" s="225">
        <v>5</v>
      </c>
      <c r="G186" s="225">
        <v>1.05</v>
      </c>
      <c r="H186" s="225">
        <v>6.05</v>
      </c>
      <c r="I186" s="24" t="str">
        <f>UPPER(Tabla11[[#This Row],[Comercial]])</f>
        <v>ANA FERNANDEZZ 4321</v>
      </c>
      <c r="J186" s="24" t="str">
        <f>LOWER(Tabla11[[#This Row],[Comercial]])</f>
        <v>ana fernandezz 4321</v>
      </c>
      <c r="K186" s="227" t="str">
        <f>PROPER(Tabla11[[#This Row],[Comercial]])</f>
        <v>Ana Fernandezz 4321</v>
      </c>
      <c r="L186" t="s">
        <v>1509</v>
      </c>
      <c r="M186" t="str">
        <f>RIGHT(Tabla11[[#This Row],[Comercial]],4)</f>
        <v>4321</v>
      </c>
      <c r="N186" t="str">
        <f>LEFT(Tabla11[[#This Row],[Minuscula]],6)</f>
        <v>ana fe</v>
      </c>
    </row>
    <row r="187" spans="1:14">
      <c r="A187" s="226">
        <v>1186</v>
      </c>
      <c r="B187" s="224">
        <v>44367</v>
      </c>
      <c r="C187" s="207" t="s">
        <v>1496</v>
      </c>
      <c r="D187" s="207" t="s">
        <v>1497</v>
      </c>
      <c r="E187" s="207" t="s">
        <v>520</v>
      </c>
      <c r="F187" s="225">
        <v>474</v>
      </c>
      <c r="G187" s="225">
        <v>99.54</v>
      </c>
      <c r="H187" s="225">
        <v>573.54</v>
      </c>
      <c r="I187" s="24" t="str">
        <f>UPPER(Tabla11[[#This Row],[Comercial]])</f>
        <v>PABLO LOPEZ 7384</v>
      </c>
      <c r="J187" s="24" t="str">
        <f>LOWER(Tabla11[[#This Row],[Comercial]])</f>
        <v>pablo lopez 7384</v>
      </c>
      <c r="K187" s="227" t="str">
        <f>PROPER(Tabla11[[#This Row],[Comercial]])</f>
        <v>Pablo Lopez 7384</v>
      </c>
      <c r="L187" t="s">
        <v>1508</v>
      </c>
      <c r="M187" t="str">
        <f>RIGHT(Tabla11[[#This Row],[Comercial]],4)</f>
        <v>7384</v>
      </c>
      <c r="N187" t="str">
        <f>LEFT(Tabla11[[#This Row],[Minuscula]],6)</f>
        <v xml:space="preserve">pablo </v>
      </c>
    </row>
    <row r="188" spans="1:14">
      <c r="A188" s="226">
        <v>1187</v>
      </c>
      <c r="B188" s="224">
        <v>44369</v>
      </c>
      <c r="C188" s="207" t="s">
        <v>1495</v>
      </c>
      <c r="D188" s="207" t="s">
        <v>1499</v>
      </c>
      <c r="E188" s="207" t="s">
        <v>525</v>
      </c>
      <c r="F188" s="225">
        <v>11</v>
      </c>
      <c r="G188" s="225">
        <v>2.31</v>
      </c>
      <c r="H188" s="225">
        <v>13.31</v>
      </c>
      <c r="I188" s="24" t="str">
        <f>UPPER(Tabla11[[#This Row],[Comercial]])</f>
        <v>LUIS VALLE 5431</v>
      </c>
      <c r="J188" s="24" t="str">
        <f>LOWER(Tabla11[[#This Row],[Comercial]])</f>
        <v>luis valle 5431</v>
      </c>
      <c r="K188" s="227" t="str">
        <f>PROPER(Tabla11[[#This Row],[Comercial]])</f>
        <v>Luis Valle 5431</v>
      </c>
      <c r="L188" t="s">
        <v>1507</v>
      </c>
      <c r="M188" t="str">
        <f>RIGHT(Tabla11[[#This Row],[Comercial]],4)</f>
        <v>5431</v>
      </c>
      <c r="N188" t="str">
        <f>LEFT(Tabla11[[#This Row],[Minuscula]],6)</f>
        <v>luis v</v>
      </c>
    </row>
    <row r="189" spans="1:14">
      <c r="A189" s="226">
        <v>1188</v>
      </c>
      <c r="B189" s="224">
        <v>44371</v>
      </c>
      <c r="C189" s="207" t="s">
        <v>1504</v>
      </c>
      <c r="D189" s="207" t="s">
        <v>1497</v>
      </c>
      <c r="E189" s="207" t="s">
        <v>525</v>
      </c>
      <c r="F189" s="225">
        <v>11</v>
      </c>
      <c r="G189" s="225">
        <v>2.31</v>
      </c>
      <c r="H189" s="225">
        <v>13.31</v>
      </c>
      <c r="I189" s="24" t="str">
        <f>UPPER(Tabla11[[#This Row],[Comercial]])</f>
        <v>MARIA GARCIA 1254</v>
      </c>
      <c r="J189" s="24" t="str">
        <f>LOWER(Tabla11[[#This Row],[Comercial]])</f>
        <v>maria garcia 1254</v>
      </c>
      <c r="K189" s="227" t="str">
        <f>PROPER(Tabla11[[#This Row],[Comercial]])</f>
        <v>Maria Garcia 1254</v>
      </c>
      <c r="L189" t="s">
        <v>1506</v>
      </c>
      <c r="M189" t="str">
        <f>RIGHT(Tabla11[[#This Row],[Comercial]],4)</f>
        <v>1254</v>
      </c>
      <c r="N189" t="str">
        <f>LEFT(Tabla11[[#This Row],[Minuscula]],6)</f>
        <v xml:space="preserve">maria </v>
      </c>
    </row>
    <row r="190" spans="1:14">
      <c r="A190" s="226">
        <v>1189</v>
      </c>
      <c r="B190" s="224">
        <v>44373</v>
      </c>
      <c r="C190" s="207" t="s">
        <v>1495</v>
      </c>
      <c r="D190" s="207" t="s">
        <v>1503</v>
      </c>
      <c r="E190" s="207" t="s">
        <v>530</v>
      </c>
      <c r="F190" s="225">
        <v>40</v>
      </c>
      <c r="G190" s="225">
        <v>8.4</v>
      </c>
      <c r="H190" s="225">
        <v>48.4</v>
      </c>
      <c r="I190" s="24" t="str">
        <f>UPPER(Tabla11[[#This Row],[Comercial]])</f>
        <v>LUIS VALLE 5431</v>
      </c>
      <c r="J190" s="24" t="str">
        <f>LOWER(Tabla11[[#This Row],[Comercial]])</f>
        <v>luis valle 5431</v>
      </c>
      <c r="K190" s="227" t="str">
        <f>PROPER(Tabla11[[#This Row],[Comercial]])</f>
        <v>Luis Valle 5431</v>
      </c>
      <c r="L190" t="s">
        <v>1507</v>
      </c>
      <c r="M190" t="str">
        <f>RIGHT(Tabla11[[#This Row],[Comercial]],4)</f>
        <v>5431</v>
      </c>
      <c r="N190" t="str">
        <f>LEFT(Tabla11[[#This Row],[Minuscula]],6)</f>
        <v>luis v</v>
      </c>
    </row>
    <row r="191" spans="1:14">
      <c r="A191" s="226">
        <v>1190</v>
      </c>
      <c r="B191" s="224">
        <v>44374</v>
      </c>
      <c r="C191" s="207" t="s">
        <v>1500</v>
      </c>
      <c r="D191" s="207" t="s">
        <v>1502</v>
      </c>
      <c r="E191" s="207" t="s">
        <v>518</v>
      </c>
      <c r="F191" s="225">
        <v>12</v>
      </c>
      <c r="G191" s="225">
        <v>2.52</v>
      </c>
      <c r="H191" s="225">
        <v>14.52</v>
      </c>
      <c r="I191" s="24" t="str">
        <f>UPPER(Tabla11[[#This Row],[Comercial]])</f>
        <v>ANA FERNANDEZZ 4321</v>
      </c>
      <c r="J191" s="24" t="str">
        <f>LOWER(Tabla11[[#This Row],[Comercial]])</f>
        <v>ana fernandezz 4321</v>
      </c>
      <c r="K191" s="227" t="str">
        <f>PROPER(Tabla11[[#This Row],[Comercial]])</f>
        <v>Ana Fernandezz 4321</v>
      </c>
      <c r="L191" t="s">
        <v>1509</v>
      </c>
      <c r="M191" t="str">
        <f>RIGHT(Tabla11[[#This Row],[Comercial]],4)</f>
        <v>4321</v>
      </c>
      <c r="N191" t="str">
        <f>LEFT(Tabla11[[#This Row],[Minuscula]],6)</f>
        <v>ana fe</v>
      </c>
    </row>
    <row r="192" spans="1:14">
      <c r="A192" s="226">
        <v>1191</v>
      </c>
      <c r="B192" s="224">
        <v>44374</v>
      </c>
      <c r="C192" s="207" t="s">
        <v>1504</v>
      </c>
      <c r="D192" s="207" t="s">
        <v>1494</v>
      </c>
      <c r="E192" s="207" t="s">
        <v>518</v>
      </c>
      <c r="F192" s="225">
        <v>132</v>
      </c>
      <c r="G192" s="225">
        <v>27.72</v>
      </c>
      <c r="H192" s="225">
        <v>159.72</v>
      </c>
      <c r="I192" s="24" t="str">
        <f>UPPER(Tabla11[[#This Row],[Comercial]])</f>
        <v>MARIA GARCIA 1254</v>
      </c>
      <c r="J192" s="24" t="str">
        <f>LOWER(Tabla11[[#This Row],[Comercial]])</f>
        <v>maria garcia 1254</v>
      </c>
      <c r="K192" s="227" t="str">
        <f>PROPER(Tabla11[[#This Row],[Comercial]])</f>
        <v>Maria Garcia 1254</v>
      </c>
      <c r="L192" t="s">
        <v>1506</v>
      </c>
      <c r="M192" t="str">
        <f>RIGHT(Tabla11[[#This Row],[Comercial]],4)</f>
        <v>1254</v>
      </c>
      <c r="N192" t="str">
        <f>LEFT(Tabla11[[#This Row],[Minuscula]],6)</f>
        <v xml:space="preserve">maria </v>
      </c>
    </row>
    <row r="193" spans="1:14">
      <c r="A193" s="226">
        <v>1192</v>
      </c>
      <c r="B193" s="224">
        <v>44375</v>
      </c>
      <c r="C193" s="207" t="s">
        <v>1504</v>
      </c>
      <c r="D193" s="207" t="s">
        <v>1502</v>
      </c>
      <c r="E193" s="207" t="s">
        <v>534</v>
      </c>
      <c r="F193" s="225">
        <v>5</v>
      </c>
      <c r="G193" s="225">
        <v>1.05</v>
      </c>
      <c r="H193" s="225">
        <v>6.05</v>
      </c>
      <c r="I193" s="24" t="str">
        <f>UPPER(Tabla11[[#This Row],[Comercial]])</f>
        <v>MARIA GARCIA 1254</v>
      </c>
      <c r="J193" s="24" t="str">
        <f>LOWER(Tabla11[[#This Row],[Comercial]])</f>
        <v>maria garcia 1254</v>
      </c>
      <c r="K193" s="227" t="str">
        <f>PROPER(Tabla11[[#This Row],[Comercial]])</f>
        <v>Maria Garcia 1254</v>
      </c>
      <c r="L193" t="s">
        <v>1506</v>
      </c>
      <c r="M193" t="str">
        <f>RIGHT(Tabla11[[#This Row],[Comercial]],4)</f>
        <v>1254</v>
      </c>
      <c r="N193" t="str">
        <f>LEFT(Tabla11[[#This Row],[Minuscula]],6)</f>
        <v xml:space="preserve">maria </v>
      </c>
    </row>
    <row r="194" spans="1:14">
      <c r="A194" s="226">
        <v>1193</v>
      </c>
      <c r="B194" s="224">
        <v>44376</v>
      </c>
      <c r="C194" s="207" t="s">
        <v>1501</v>
      </c>
      <c r="D194" s="207" t="s">
        <v>1502</v>
      </c>
      <c r="E194" s="207" t="s">
        <v>518</v>
      </c>
      <c r="F194" s="225">
        <v>19</v>
      </c>
      <c r="G194" s="225">
        <v>3.99</v>
      </c>
      <c r="H194" s="225">
        <v>22.99</v>
      </c>
      <c r="I194" s="24" t="str">
        <f>UPPER(Tabla11[[#This Row],[Comercial]])</f>
        <v>MARIO PEREZ 1123</v>
      </c>
      <c r="J194" s="24" t="str">
        <f>LOWER(Tabla11[[#This Row],[Comercial]])</f>
        <v>mario perez 1123</v>
      </c>
      <c r="K194" s="227" t="str">
        <f>PROPER(Tabla11[[#This Row],[Comercial]])</f>
        <v>Mario Perez 1123</v>
      </c>
      <c r="L194" t="s">
        <v>1510</v>
      </c>
      <c r="M194" t="str">
        <f>RIGHT(Tabla11[[#This Row],[Comercial]],4)</f>
        <v>1123</v>
      </c>
      <c r="N194" t="str">
        <f>LEFT(Tabla11[[#This Row],[Minuscula]],6)</f>
        <v xml:space="preserve">mario </v>
      </c>
    </row>
    <row r="195" spans="1:14">
      <c r="A195" s="226">
        <v>1194</v>
      </c>
      <c r="B195" s="224">
        <v>44377</v>
      </c>
      <c r="C195" s="207" t="s">
        <v>1500</v>
      </c>
      <c r="D195" s="207" t="s">
        <v>1497</v>
      </c>
      <c r="E195" s="207" t="s">
        <v>534</v>
      </c>
      <c r="F195" s="225">
        <v>8</v>
      </c>
      <c r="G195" s="225">
        <v>1.68</v>
      </c>
      <c r="H195" s="225">
        <v>9.68</v>
      </c>
      <c r="I195" s="24" t="str">
        <f>UPPER(Tabla11[[#This Row],[Comercial]])</f>
        <v>ANA FERNANDEZZ 4321</v>
      </c>
      <c r="J195" s="24" t="str">
        <f>LOWER(Tabla11[[#This Row],[Comercial]])</f>
        <v>ana fernandezz 4321</v>
      </c>
      <c r="K195" s="227" t="str">
        <f>PROPER(Tabla11[[#This Row],[Comercial]])</f>
        <v>Ana Fernandezz 4321</v>
      </c>
      <c r="L195" t="s">
        <v>1509</v>
      </c>
      <c r="M195" t="str">
        <f>RIGHT(Tabla11[[#This Row],[Comercial]],4)</f>
        <v>4321</v>
      </c>
      <c r="N195" t="str">
        <f>LEFT(Tabla11[[#This Row],[Minuscula]],6)</f>
        <v>ana fe</v>
      </c>
    </row>
    <row r="196" spans="1:14">
      <c r="A196" s="226">
        <v>1195</v>
      </c>
      <c r="B196" s="224">
        <v>44377</v>
      </c>
      <c r="C196" s="207" t="s">
        <v>1501</v>
      </c>
      <c r="D196" s="207" t="s">
        <v>1499</v>
      </c>
      <c r="E196" s="207" t="s">
        <v>530</v>
      </c>
      <c r="F196" s="225">
        <v>10</v>
      </c>
      <c r="G196" s="225">
        <v>2.1</v>
      </c>
      <c r="H196" s="225">
        <v>12.1</v>
      </c>
      <c r="I196" s="24" t="str">
        <f>UPPER(Tabla11[[#This Row],[Comercial]])</f>
        <v>MARIO PEREZ 1123</v>
      </c>
      <c r="J196" s="24" t="str">
        <f>LOWER(Tabla11[[#This Row],[Comercial]])</f>
        <v>mario perez 1123</v>
      </c>
      <c r="K196" s="227" t="str">
        <f>PROPER(Tabla11[[#This Row],[Comercial]])</f>
        <v>Mario Perez 1123</v>
      </c>
      <c r="L196" t="s">
        <v>1510</v>
      </c>
      <c r="M196" t="str">
        <f>RIGHT(Tabla11[[#This Row],[Comercial]],4)</f>
        <v>1123</v>
      </c>
      <c r="N196" t="str">
        <f>LEFT(Tabla11[[#This Row],[Minuscula]],6)</f>
        <v xml:space="preserve">mario </v>
      </c>
    </row>
    <row r="197" spans="1:14">
      <c r="A197" s="226">
        <v>1196</v>
      </c>
      <c r="B197" s="224">
        <v>44378</v>
      </c>
      <c r="C197" s="207" t="s">
        <v>1500</v>
      </c>
      <c r="D197" s="207" t="s">
        <v>1499</v>
      </c>
      <c r="E197" s="207" t="s">
        <v>534</v>
      </c>
      <c r="F197" s="225">
        <v>9</v>
      </c>
      <c r="G197" s="225">
        <v>1.89</v>
      </c>
      <c r="H197" s="225">
        <v>10.89</v>
      </c>
      <c r="I197" s="24" t="str">
        <f>UPPER(Tabla11[[#This Row],[Comercial]])</f>
        <v>ANA FERNANDEZZ 4321</v>
      </c>
      <c r="J197" s="24" t="str">
        <f>LOWER(Tabla11[[#This Row],[Comercial]])</f>
        <v>ana fernandezz 4321</v>
      </c>
      <c r="K197" s="227" t="str">
        <f>PROPER(Tabla11[[#This Row],[Comercial]])</f>
        <v>Ana Fernandezz 4321</v>
      </c>
      <c r="L197" t="s">
        <v>1509</v>
      </c>
      <c r="M197" t="str">
        <f>RIGHT(Tabla11[[#This Row],[Comercial]],4)</f>
        <v>4321</v>
      </c>
      <c r="N197" t="str">
        <f>LEFT(Tabla11[[#This Row],[Minuscula]],6)</f>
        <v>ana fe</v>
      </c>
    </row>
    <row r="198" spans="1:14">
      <c r="A198" s="226">
        <v>1197</v>
      </c>
      <c r="B198" s="224">
        <v>44378</v>
      </c>
      <c r="C198" s="207" t="s">
        <v>1504</v>
      </c>
      <c r="D198" s="207" t="s">
        <v>1502</v>
      </c>
      <c r="E198" s="207" t="s">
        <v>534</v>
      </c>
      <c r="F198" s="225">
        <v>9</v>
      </c>
      <c r="G198" s="225">
        <v>1.89</v>
      </c>
      <c r="H198" s="225">
        <v>10.89</v>
      </c>
      <c r="I198" s="24" t="str">
        <f>UPPER(Tabla11[[#This Row],[Comercial]])</f>
        <v>MARIA GARCIA 1254</v>
      </c>
      <c r="J198" s="24" t="str">
        <f>LOWER(Tabla11[[#This Row],[Comercial]])</f>
        <v>maria garcia 1254</v>
      </c>
      <c r="K198" s="227" t="str">
        <f>PROPER(Tabla11[[#This Row],[Comercial]])</f>
        <v>Maria Garcia 1254</v>
      </c>
      <c r="L198" t="s">
        <v>1506</v>
      </c>
      <c r="M198" t="str">
        <f>RIGHT(Tabla11[[#This Row],[Comercial]],4)</f>
        <v>1254</v>
      </c>
      <c r="N198" t="str">
        <f>LEFT(Tabla11[[#This Row],[Minuscula]],6)</f>
        <v xml:space="preserve">maria </v>
      </c>
    </row>
    <row r="199" spans="1:14">
      <c r="A199" s="226">
        <v>1198</v>
      </c>
      <c r="B199" s="224">
        <v>44379</v>
      </c>
      <c r="C199" s="207" t="s">
        <v>1495</v>
      </c>
      <c r="D199" s="207" t="s">
        <v>1497</v>
      </c>
      <c r="E199" s="207" t="s">
        <v>525</v>
      </c>
      <c r="F199" s="225">
        <v>25</v>
      </c>
      <c r="G199" s="225">
        <v>5.25</v>
      </c>
      <c r="H199" s="225">
        <v>30.25</v>
      </c>
      <c r="I199" s="24" t="str">
        <f>UPPER(Tabla11[[#This Row],[Comercial]])</f>
        <v>LUIS VALLE 5431</v>
      </c>
      <c r="J199" s="24" t="str">
        <f>LOWER(Tabla11[[#This Row],[Comercial]])</f>
        <v>luis valle 5431</v>
      </c>
      <c r="K199" s="227" t="str">
        <f>PROPER(Tabla11[[#This Row],[Comercial]])</f>
        <v>Luis Valle 5431</v>
      </c>
      <c r="L199" t="s">
        <v>1507</v>
      </c>
      <c r="M199" t="str">
        <f>RIGHT(Tabla11[[#This Row],[Comercial]],4)</f>
        <v>5431</v>
      </c>
      <c r="N199" t="str">
        <f>LEFT(Tabla11[[#This Row],[Minuscula]],6)</f>
        <v>luis v</v>
      </c>
    </row>
    <row r="200" spans="1:14">
      <c r="A200" s="226">
        <v>1199</v>
      </c>
      <c r="B200" s="224">
        <v>44379</v>
      </c>
      <c r="C200" s="207" t="s">
        <v>1504</v>
      </c>
      <c r="D200" s="207" t="s">
        <v>1497</v>
      </c>
      <c r="E200" s="207" t="s">
        <v>520</v>
      </c>
      <c r="F200" s="225">
        <v>608</v>
      </c>
      <c r="G200" s="225">
        <v>127.68</v>
      </c>
      <c r="H200" s="225">
        <v>735.68</v>
      </c>
      <c r="I200" s="24" t="str">
        <f>UPPER(Tabla11[[#This Row],[Comercial]])</f>
        <v>MARIA GARCIA 1254</v>
      </c>
      <c r="J200" s="24" t="str">
        <f>LOWER(Tabla11[[#This Row],[Comercial]])</f>
        <v>maria garcia 1254</v>
      </c>
      <c r="K200" s="227" t="str">
        <f>PROPER(Tabla11[[#This Row],[Comercial]])</f>
        <v>Maria Garcia 1254</v>
      </c>
      <c r="L200" t="s">
        <v>1506</v>
      </c>
      <c r="M200" t="str">
        <f>RIGHT(Tabla11[[#This Row],[Comercial]],4)</f>
        <v>1254</v>
      </c>
      <c r="N200" t="str">
        <f>LEFT(Tabla11[[#This Row],[Minuscula]],6)</f>
        <v xml:space="preserve">maria </v>
      </c>
    </row>
    <row r="201" spans="1:14">
      <c r="A201" s="226">
        <v>1200</v>
      </c>
      <c r="B201" s="224">
        <v>44379</v>
      </c>
      <c r="C201" s="207" t="s">
        <v>1500</v>
      </c>
      <c r="D201" s="207" t="s">
        <v>1502</v>
      </c>
      <c r="E201" s="207" t="s">
        <v>518</v>
      </c>
      <c r="F201" s="225">
        <v>25</v>
      </c>
      <c r="G201" s="225">
        <v>5.25</v>
      </c>
      <c r="H201" s="225">
        <v>30.25</v>
      </c>
      <c r="I201" s="24" t="str">
        <f>UPPER(Tabla11[[#This Row],[Comercial]])</f>
        <v>ANA FERNANDEZZ 4321</v>
      </c>
      <c r="J201" s="24" t="str">
        <f>LOWER(Tabla11[[#This Row],[Comercial]])</f>
        <v>ana fernandezz 4321</v>
      </c>
      <c r="K201" s="227" t="str">
        <f>PROPER(Tabla11[[#This Row],[Comercial]])</f>
        <v>Ana Fernandezz 4321</v>
      </c>
      <c r="L201" t="s">
        <v>1509</v>
      </c>
      <c r="M201" t="str">
        <f>RIGHT(Tabla11[[#This Row],[Comercial]],4)</f>
        <v>4321</v>
      </c>
      <c r="N201" t="str">
        <f>LEFT(Tabla11[[#This Row],[Minuscula]],6)</f>
        <v>ana fe</v>
      </c>
    </row>
    <row r="202" spans="1:14">
      <c r="A202" s="226">
        <v>1201</v>
      </c>
      <c r="B202" s="224">
        <v>44380</v>
      </c>
      <c r="C202" s="207" t="s">
        <v>1495</v>
      </c>
      <c r="D202" s="207" t="s">
        <v>1497</v>
      </c>
      <c r="E202" s="207" t="s">
        <v>525</v>
      </c>
      <c r="F202" s="225">
        <v>10</v>
      </c>
      <c r="G202" s="225">
        <v>2.1</v>
      </c>
      <c r="H202" s="225">
        <v>12.1</v>
      </c>
      <c r="I202" s="24" t="str">
        <f>UPPER(Tabla11[[#This Row],[Comercial]])</f>
        <v>LUIS VALLE 5431</v>
      </c>
      <c r="J202" s="24" t="str">
        <f>LOWER(Tabla11[[#This Row],[Comercial]])</f>
        <v>luis valle 5431</v>
      </c>
      <c r="K202" s="227" t="str">
        <f>PROPER(Tabla11[[#This Row],[Comercial]])</f>
        <v>Luis Valle 5431</v>
      </c>
      <c r="L202" t="s">
        <v>1507</v>
      </c>
      <c r="M202" t="str">
        <f>RIGHT(Tabla11[[#This Row],[Comercial]],4)</f>
        <v>5431</v>
      </c>
      <c r="N202" t="str">
        <f>LEFT(Tabla11[[#This Row],[Minuscula]],6)</f>
        <v>luis v</v>
      </c>
    </row>
    <row r="203" spans="1:14">
      <c r="A203" s="226">
        <v>1202</v>
      </c>
      <c r="B203" s="224">
        <v>44380</v>
      </c>
      <c r="C203" s="207" t="s">
        <v>1504</v>
      </c>
      <c r="D203" s="207" t="s">
        <v>1494</v>
      </c>
      <c r="E203" s="207" t="s">
        <v>525</v>
      </c>
      <c r="F203" s="225">
        <v>36</v>
      </c>
      <c r="G203" s="225">
        <v>7.56</v>
      </c>
      <c r="H203" s="225">
        <v>43.56</v>
      </c>
      <c r="I203" s="24" t="str">
        <f>UPPER(Tabla11[[#This Row],[Comercial]])</f>
        <v>MARIA GARCIA 1254</v>
      </c>
      <c r="J203" s="24" t="str">
        <f>LOWER(Tabla11[[#This Row],[Comercial]])</f>
        <v>maria garcia 1254</v>
      </c>
      <c r="K203" s="227" t="str">
        <f>PROPER(Tabla11[[#This Row],[Comercial]])</f>
        <v>Maria Garcia 1254</v>
      </c>
      <c r="L203" t="s">
        <v>1506</v>
      </c>
      <c r="M203" t="str">
        <f>RIGHT(Tabla11[[#This Row],[Comercial]],4)</f>
        <v>1254</v>
      </c>
      <c r="N203" t="str">
        <f>LEFT(Tabla11[[#This Row],[Minuscula]],6)</f>
        <v xml:space="preserve">maria </v>
      </c>
    </row>
    <row r="204" spans="1:14">
      <c r="A204" s="226">
        <v>1203</v>
      </c>
      <c r="B204" s="224">
        <v>44381</v>
      </c>
      <c r="C204" s="207" t="s">
        <v>1504</v>
      </c>
      <c r="D204" s="207" t="s">
        <v>1499</v>
      </c>
      <c r="E204" s="207" t="s">
        <v>520</v>
      </c>
      <c r="F204" s="225">
        <v>223</v>
      </c>
      <c r="G204" s="225">
        <v>46.83</v>
      </c>
      <c r="H204" s="225">
        <v>269.83</v>
      </c>
      <c r="I204" s="24" t="str">
        <f>UPPER(Tabla11[[#This Row],[Comercial]])</f>
        <v>MARIA GARCIA 1254</v>
      </c>
      <c r="J204" s="24" t="str">
        <f>LOWER(Tabla11[[#This Row],[Comercial]])</f>
        <v>maria garcia 1254</v>
      </c>
      <c r="K204" s="227" t="str">
        <f>PROPER(Tabla11[[#This Row],[Comercial]])</f>
        <v>Maria Garcia 1254</v>
      </c>
      <c r="L204" t="s">
        <v>1506</v>
      </c>
      <c r="M204" t="str">
        <f>RIGHT(Tabla11[[#This Row],[Comercial]],4)</f>
        <v>1254</v>
      </c>
      <c r="N204" t="str">
        <f>LEFT(Tabla11[[#This Row],[Minuscula]],6)</f>
        <v xml:space="preserve">maria </v>
      </c>
    </row>
    <row r="205" spans="1:14">
      <c r="A205" s="226">
        <v>1204</v>
      </c>
      <c r="B205" s="224">
        <v>44381</v>
      </c>
      <c r="C205" s="207" t="s">
        <v>1504</v>
      </c>
      <c r="D205" s="207" t="s">
        <v>1503</v>
      </c>
      <c r="E205" s="207" t="s">
        <v>530</v>
      </c>
      <c r="F205" s="225">
        <v>31</v>
      </c>
      <c r="G205" s="225">
        <v>6.51</v>
      </c>
      <c r="H205" s="225">
        <v>37.51</v>
      </c>
      <c r="I205" s="24" t="str">
        <f>UPPER(Tabla11[[#This Row],[Comercial]])</f>
        <v>MARIA GARCIA 1254</v>
      </c>
      <c r="J205" s="24" t="str">
        <f>LOWER(Tabla11[[#This Row],[Comercial]])</f>
        <v>maria garcia 1254</v>
      </c>
      <c r="K205" s="227" t="str">
        <f>PROPER(Tabla11[[#This Row],[Comercial]])</f>
        <v>Maria Garcia 1254</v>
      </c>
      <c r="L205" t="s">
        <v>1506</v>
      </c>
      <c r="M205" t="str">
        <f>RIGHT(Tabla11[[#This Row],[Comercial]],4)</f>
        <v>1254</v>
      </c>
      <c r="N205" t="str">
        <f>LEFT(Tabla11[[#This Row],[Minuscula]],6)</f>
        <v xml:space="preserve">maria </v>
      </c>
    </row>
    <row r="206" spans="1:14">
      <c r="A206" s="226">
        <v>1205</v>
      </c>
      <c r="B206" s="224">
        <v>44382</v>
      </c>
      <c r="C206" s="207" t="s">
        <v>1496</v>
      </c>
      <c r="D206" s="207" t="s">
        <v>1497</v>
      </c>
      <c r="E206" s="207" t="s">
        <v>520</v>
      </c>
      <c r="F206" s="225">
        <v>636</v>
      </c>
      <c r="G206" s="225">
        <v>133.56</v>
      </c>
      <c r="H206" s="225">
        <v>769.56</v>
      </c>
      <c r="I206" s="24" t="str">
        <f>UPPER(Tabla11[[#This Row],[Comercial]])</f>
        <v>PABLO LOPEZ 7384</v>
      </c>
      <c r="J206" s="24" t="str">
        <f>LOWER(Tabla11[[#This Row],[Comercial]])</f>
        <v>pablo lopez 7384</v>
      </c>
      <c r="K206" s="227" t="str">
        <f>PROPER(Tabla11[[#This Row],[Comercial]])</f>
        <v>Pablo Lopez 7384</v>
      </c>
      <c r="L206" t="s">
        <v>1508</v>
      </c>
      <c r="M206" t="str">
        <f>RIGHT(Tabla11[[#This Row],[Comercial]],4)</f>
        <v>7384</v>
      </c>
      <c r="N206" t="str">
        <f>LEFT(Tabla11[[#This Row],[Minuscula]],6)</f>
        <v xml:space="preserve">pablo </v>
      </c>
    </row>
    <row r="207" spans="1:14">
      <c r="A207" s="226">
        <v>1206</v>
      </c>
      <c r="B207" s="224">
        <v>44382</v>
      </c>
      <c r="C207" s="207" t="s">
        <v>1504</v>
      </c>
      <c r="D207" s="207" t="s">
        <v>1502</v>
      </c>
      <c r="E207" s="207" t="s">
        <v>530</v>
      </c>
      <c r="F207" s="225">
        <v>29</v>
      </c>
      <c r="G207" s="225">
        <v>6.09</v>
      </c>
      <c r="H207" s="225">
        <v>35.090000000000003</v>
      </c>
      <c r="I207" s="24" t="str">
        <f>UPPER(Tabla11[[#This Row],[Comercial]])</f>
        <v>MARIA GARCIA 1254</v>
      </c>
      <c r="J207" s="24" t="str">
        <f>LOWER(Tabla11[[#This Row],[Comercial]])</f>
        <v>maria garcia 1254</v>
      </c>
      <c r="K207" s="227" t="str">
        <f>PROPER(Tabla11[[#This Row],[Comercial]])</f>
        <v>Maria Garcia 1254</v>
      </c>
      <c r="L207" t="s">
        <v>1506</v>
      </c>
      <c r="M207" t="str">
        <f>RIGHT(Tabla11[[#This Row],[Comercial]],4)</f>
        <v>1254</v>
      </c>
      <c r="N207" t="str">
        <f>LEFT(Tabla11[[#This Row],[Minuscula]],6)</f>
        <v xml:space="preserve">maria </v>
      </c>
    </row>
    <row r="208" spans="1:14">
      <c r="A208" s="226">
        <v>1207</v>
      </c>
      <c r="B208" s="224">
        <v>44384</v>
      </c>
      <c r="C208" s="207" t="s">
        <v>1501</v>
      </c>
      <c r="D208" s="207" t="s">
        <v>1497</v>
      </c>
      <c r="E208" s="207" t="s">
        <v>518</v>
      </c>
      <c r="F208" s="225">
        <v>41</v>
      </c>
      <c r="G208" s="225">
        <v>8.61</v>
      </c>
      <c r="H208" s="225">
        <v>49.61</v>
      </c>
      <c r="I208" s="24" t="str">
        <f>UPPER(Tabla11[[#This Row],[Comercial]])</f>
        <v>MARIO PEREZ 1123</v>
      </c>
      <c r="J208" s="24" t="str">
        <f>LOWER(Tabla11[[#This Row],[Comercial]])</f>
        <v>mario perez 1123</v>
      </c>
      <c r="K208" s="227" t="str">
        <f>PROPER(Tabla11[[#This Row],[Comercial]])</f>
        <v>Mario Perez 1123</v>
      </c>
      <c r="L208" t="s">
        <v>1510</v>
      </c>
      <c r="M208" t="str">
        <f>RIGHT(Tabla11[[#This Row],[Comercial]],4)</f>
        <v>1123</v>
      </c>
      <c r="N208" t="str">
        <f>LEFT(Tabla11[[#This Row],[Minuscula]],6)</f>
        <v xml:space="preserve">mario </v>
      </c>
    </row>
    <row r="209" spans="1:14">
      <c r="A209" s="226">
        <v>1208</v>
      </c>
      <c r="B209" s="224">
        <v>44384</v>
      </c>
      <c r="C209" s="207" t="s">
        <v>1500</v>
      </c>
      <c r="D209" s="207" t="s">
        <v>1499</v>
      </c>
      <c r="E209" s="207" t="s">
        <v>525</v>
      </c>
      <c r="F209" s="225">
        <v>14</v>
      </c>
      <c r="G209" s="225">
        <v>2.94</v>
      </c>
      <c r="H209" s="225">
        <v>16.940000000000001</v>
      </c>
      <c r="I209" s="24" t="str">
        <f>UPPER(Tabla11[[#This Row],[Comercial]])</f>
        <v>ANA FERNANDEZZ 4321</v>
      </c>
      <c r="J209" s="24" t="str">
        <f>LOWER(Tabla11[[#This Row],[Comercial]])</f>
        <v>ana fernandezz 4321</v>
      </c>
      <c r="K209" s="227" t="str">
        <f>PROPER(Tabla11[[#This Row],[Comercial]])</f>
        <v>Ana Fernandezz 4321</v>
      </c>
      <c r="L209" t="s">
        <v>1509</v>
      </c>
      <c r="M209" t="str">
        <f>RIGHT(Tabla11[[#This Row],[Comercial]],4)</f>
        <v>4321</v>
      </c>
      <c r="N209" t="str">
        <f>LEFT(Tabla11[[#This Row],[Minuscula]],6)</f>
        <v>ana fe</v>
      </c>
    </row>
    <row r="210" spans="1:14">
      <c r="A210" s="226">
        <v>1209</v>
      </c>
      <c r="B210" s="224">
        <v>44385</v>
      </c>
      <c r="C210" s="207" t="s">
        <v>1504</v>
      </c>
      <c r="D210" s="207" t="s">
        <v>1502</v>
      </c>
      <c r="E210" s="207" t="s">
        <v>520</v>
      </c>
      <c r="F210" s="225">
        <v>389</v>
      </c>
      <c r="G210" s="225">
        <v>81.69</v>
      </c>
      <c r="H210" s="225">
        <v>470.69</v>
      </c>
      <c r="I210" s="24" t="str">
        <f>UPPER(Tabla11[[#This Row],[Comercial]])</f>
        <v>MARIA GARCIA 1254</v>
      </c>
      <c r="J210" s="24" t="str">
        <f>LOWER(Tabla11[[#This Row],[Comercial]])</f>
        <v>maria garcia 1254</v>
      </c>
      <c r="K210" s="227" t="str">
        <f>PROPER(Tabla11[[#This Row],[Comercial]])</f>
        <v>Maria Garcia 1254</v>
      </c>
      <c r="L210" t="s">
        <v>1506</v>
      </c>
      <c r="M210" t="str">
        <f>RIGHT(Tabla11[[#This Row],[Comercial]],4)</f>
        <v>1254</v>
      </c>
      <c r="N210" t="str">
        <f>LEFT(Tabla11[[#This Row],[Minuscula]],6)</f>
        <v xml:space="preserve">maria </v>
      </c>
    </row>
    <row r="211" spans="1:14">
      <c r="A211" s="226">
        <v>1210</v>
      </c>
      <c r="B211" s="224">
        <v>44385</v>
      </c>
      <c r="C211" s="207" t="s">
        <v>1504</v>
      </c>
      <c r="D211" s="207" t="s">
        <v>1494</v>
      </c>
      <c r="E211" s="207" t="s">
        <v>534</v>
      </c>
      <c r="F211" s="225">
        <v>7</v>
      </c>
      <c r="G211" s="225">
        <v>1.47</v>
      </c>
      <c r="H211" s="225">
        <v>8.4700000000000006</v>
      </c>
      <c r="I211" s="24" t="str">
        <f>UPPER(Tabla11[[#This Row],[Comercial]])</f>
        <v>MARIA GARCIA 1254</v>
      </c>
      <c r="J211" s="24" t="str">
        <f>LOWER(Tabla11[[#This Row],[Comercial]])</f>
        <v>maria garcia 1254</v>
      </c>
      <c r="K211" s="227" t="str">
        <f>PROPER(Tabla11[[#This Row],[Comercial]])</f>
        <v>Maria Garcia 1254</v>
      </c>
      <c r="L211" t="s">
        <v>1506</v>
      </c>
      <c r="M211" t="str">
        <f>RIGHT(Tabla11[[#This Row],[Comercial]],4)</f>
        <v>1254</v>
      </c>
      <c r="N211" t="str">
        <f>LEFT(Tabla11[[#This Row],[Minuscula]],6)</f>
        <v xml:space="preserve">maria </v>
      </c>
    </row>
    <row r="212" spans="1:14">
      <c r="A212" s="226">
        <v>1211</v>
      </c>
      <c r="B212" s="224">
        <v>44385</v>
      </c>
      <c r="C212" s="207" t="s">
        <v>1496</v>
      </c>
      <c r="D212" s="207" t="s">
        <v>1494</v>
      </c>
      <c r="E212" s="207" t="s">
        <v>525</v>
      </c>
      <c r="F212" s="225">
        <v>28</v>
      </c>
      <c r="G212" s="225">
        <v>5.88</v>
      </c>
      <c r="H212" s="225">
        <v>33.880000000000003</v>
      </c>
      <c r="I212" s="24" t="str">
        <f>UPPER(Tabla11[[#This Row],[Comercial]])</f>
        <v>PABLO LOPEZ 7384</v>
      </c>
      <c r="J212" s="24" t="str">
        <f>LOWER(Tabla11[[#This Row],[Comercial]])</f>
        <v>pablo lopez 7384</v>
      </c>
      <c r="K212" s="227" t="str">
        <f>PROPER(Tabla11[[#This Row],[Comercial]])</f>
        <v>Pablo Lopez 7384</v>
      </c>
      <c r="L212" t="s">
        <v>1508</v>
      </c>
      <c r="M212" t="str">
        <f>RIGHT(Tabla11[[#This Row],[Comercial]],4)</f>
        <v>7384</v>
      </c>
      <c r="N212" t="str">
        <f>LEFT(Tabla11[[#This Row],[Minuscula]],6)</f>
        <v xml:space="preserve">pablo </v>
      </c>
    </row>
    <row r="213" spans="1:14">
      <c r="A213" s="226">
        <v>1212</v>
      </c>
      <c r="B213" s="224">
        <v>44386</v>
      </c>
      <c r="C213" s="207" t="s">
        <v>1500</v>
      </c>
      <c r="D213" s="207" t="s">
        <v>1499</v>
      </c>
      <c r="E213" s="207" t="s">
        <v>525</v>
      </c>
      <c r="F213" s="225">
        <v>11</v>
      </c>
      <c r="G213" s="225">
        <v>2.31</v>
      </c>
      <c r="H213" s="225">
        <v>13.31</v>
      </c>
      <c r="I213" s="24" t="str">
        <f>UPPER(Tabla11[[#This Row],[Comercial]])</f>
        <v>ANA FERNANDEZZ 4321</v>
      </c>
      <c r="J213" s="24" t="str">
        <f>LOWER(Tabla11[[#This Row],[Comercial]])</f>
        <v>ana fernandezz 4321</v>
      </c>
      <c r="K213" s="227" t="str">
        <f>PROPER(Tabla11[[#This Row],[Comercial]])</f>
        <v>Ana Fernandezz 4321</v>
      </c>
      <c r="L213" t="s">
        <v>1509</v>
      </c>
      <c r="M213" t="str">
        <f>RIGHT(Tabla11[[#This Row],[Comercial]],4)</f>
        <v>4321</v>
      </c>
      <c r="N213" t="str">
        <f>LEFT(Tabla11[[#This Row],[Minuscula]],6)</f>
        <v>ana fe</v>
      </c>
    </row>
    <row r="214" spans="1:14">
      <c r="A214" s="226">
        <v>1213</v>
      </c>
      <c r="B214" s="224">
        <v>44386</v>
      </c>
      <c r="C214" s="207" t="s">
        <v>1504</v>
      </c>
      <c r="D214" s="207" t="s">
        <v>1497</v>
      </c>
      <c r="E214" s="207" t="s">
        <v>518</v>
      </c>
      <c r="F214" s="225">
        <v>26</v>
      </c>
      <c r="G214" s="225">
        <v>5.46</v>
      </c>
      <c r="H214" s="225">
        <v>31.46</v>
      </c>
      <c r="I214" s="24" t="str">
        <f>UPPER(Tabla11[[#This Row],[Comercial]])</f>
        <v>MARIA GARCIA 1254</v>
      </c>
      <c r="J214" s="24" t="str">
        <f>LOWER(Tabla11[[#This Row],[Comercial]])</f>
        <v>maria garcia 1254</v>
      </c>
      <c r="K214" s="227" t="str">
        <f>PROPER(Tabla11[[#This Row],[Comercial]])</f>
        <v>Maria Garcia 1254</v>
      </c>
      <c r="L214" t="s">
        <v>1506</v>
      </c>
      <c r="M214" t="str">
        <f>RIGHT(Tabla11[[#This Row],[Comercial]],4)</f>
        <v>1254</v>
      </c>
      <c r="N214" t="str">
        <f>LEFT(Tabla11[[#This Row],[Minuscula]],6)</f>
        <v xml:space="preserve">maria </v>
      </c>
    </row>
    <row r="215" spans="1:14">
      <c r="A215" s="226">
        <v>1214</v>
      </c>
      <c r="B215" s="224">
        <v>44387</v>
      </c>
      <c r="C215" s="207" t="s">
        <v>1496</v>
      </c>
      <c r="D215" s="207" t="s">
        <v>1503</v>
      </c>
      <c r="E215" s="207" t="s">
        <v>530</v>
      </c>
      <c r="F215" s="225">
        <v>47</v>
      </c>
      <c r="G215" s="225">
        <v>9.8699999999999992</v>
      </c>
      <c r="H215" s="225">
        <v>56.87</v>
      </c>
      <c r="I215" s="24" t="str">
        <f>UPPER(Tabla11[[#This Row],[Comercial]])</f>
        <v>PABLO LOPEZ 7384</v>
      </c>
      <c r="J215" s="24" t="str">
        <f>LOWER(Tabla11[[#This Row],[Comercial]])</f>
        <v>pablo lopez 7384</v>
      </c>
      <c r="K215" s="227" t="str">
        <f>PROPER(Tabla11[[#This Row],[Comercial]])</f>
        <v>Pablo Lopez 7384</v>
      </c>
      <c r="L215" t="s">
        <v>1508</v>
      </c>
      <c r="M215" t="str">
        <f>RIGHT(Tabla11[[#This Row],[Comercial]],4)</f>
        <v>7384</v>
      </c>
      <c r="N215" t="str">
        <f>LEFT(Tabla11[[#This Row],[Minuscula]],6)</f>
        <v xml:space="preserve">pablo </v>
      </c>
    </row>
    <row r="216" spans="1:14">
      <c r="A216" s="226">
        <v>1215</v>
      </c>
      <c r="B216" s="224">
        <v>44388</v>
      </c>
      <c r="C216" s="207" t="s">
        <v>1495</v>
      </c>
      <c r="D216" s="207" t="s">
        <v>1499</v>
      </c>
      <c r="E216" s="207" t="s">
        <v>520</v>
      </c>
      <c r="F216" s="225">
        <v>331</v>
      </c>
      <c r="G216" s="225">
        <v>69.510000000000005</v>
      </c>
      <c r="H216" s="225">
        <v>400.51</v>
      </c>
      <c r="I216" s="24" t="str">
        <f>UPPER(Tabla11[[#This Row],[Comercial]])</f>
        <v>LUIS VALLE 5431</v>
      </c>
      <c r="J216" s="24" t="str">
        <f>LOWER(Tabla11[[#This Row],[Comercial]])</f>
        <v>luis valle 5431</v>
      </c>
      <c r="K216" s="227" t="str">
        <f>PROPER(Tabla11[[#This Row],[Comercial]])</f>
        <v>Luis Valle 5431</v>
      </c>
      <c r="L216" t="s">
        <v>1507</v>
      </c>
      <c r="M216" t="str">
        <f>RIGHT(Tabla11[[#This Row],[Comercial]],4)</f>
        <v>5431</v>
      </c>
      <c r="N216" t="str">
        <f>LEFT(Tabla11[[#This Row],[Minuscula]],6)</f>
        <v>luis v</v>
      </c>
    </row>
    <row r="217" spans="1:14">
      <c r="A217" s="226">
        <v>1216</v>
      </c>
      <c r="B217" s="224">
        <v>44389</v>
      </c>
      <c r="C217" s="207" t="s">
        <v>1496</v>
      </c>
      <c r="D217" s="207" t="s">
        <v>1502</v>
      </c>
      <c r="E217" s="207" t="s">
        <v>518</v>
      </c>
      <c r="F217" s="225">
        <v>28</v>
      </c>
      <c r="G217" s="225">
        <v>5.88</v>
      </c>
      <c r="H217" s="225">
        <v>33.880000000000003</v>
      </c>
      <c r="I217" s="24" t="str">
        <f>UPPER(Tabla11[[#This Row],[Comercial]])</f>
        <v>PABLO LOPEZ 7384</v>
      </c>
      <c r="J217" s="24" t="str">
        <f>LOWER(Tabla11[[#This Row],[Comercial]])</f>
        <v>pablo lopez 7384</v>
      </c>
      <c r="K217" s="227" t="str">
        <f>PROPER(Tabla11[[#This Row],[Comercial]])</f>
        <v>Pablo Lopez 7384</v>
      </c>
      <c r="L217" t="s">
        <v>1508</v>
      </c>
      <c r="M217" t="str">
        <f>RIGHT(Tabla11[[#This Row],[Comercial]],4)</f>
        <v>7384</v>
      </c>
      <c r="N217" t="str">
        <f>LEFT(Tabla11[[#This Row],[Minuscula]],6)</f>
        <v xml:space="preserve">pablo </v>
      </c>
    </row>
    <row r="218" spans="1:14">
      <c r="A218" s="226">
        <v>1217</v>
      </c>
      <c r="B218" s="224">
        <v>44389</v>
      </c>
      <c r="C218" s="207" t="s">
        <v>1495</v>
      </c>
      <c r="D218" s="207" t="s">
        <v>1497</v>
      </c>
      <c r="E218" s="207" t="s">
        <v>518</v>
      </c>
      <c r="F218" s="225">
        <v>27</v>
      </c>
      <c r="G218" s="225">
        <v>5.67</v>
      </c>
      <c r="H218" s="225">
        <v>32.67</v>
      </c>
      <c r="I218" s="24" t="str">
        <f>UPPER(Tabla11[[#This Row],[Comercial]])</f>
        <v>LUIS VALLE 5431</v>
      </c>
      <c r="J218" s="24" t="str">
        <f>LOWER(Tabla11[[#This Row],[Comercial]])</f>
        <v>luis valle 5431</v>
      </c>
      <c r="K218" s="227" t="str">
        <f>PROPER(Tabla11[[#This Row],[Comercial]])</f>
        <v>Luis Valle 5431</v>
      </c>
      <c r="L218" t="s">
        <v>1507</v>
      </c>
      <c r="M218" t="str">
        <f>RIGHT(Tabla11[[#This Row],[Comercial]],4)</f>
        <v>5431</v>
      </c>
      <c r="N218" t="str">
        <f>LEFT(Tabla11[[#This Row],[Minuscula]],6)</f>
        <v>luis v</v>
      </c>
    </row>
    <row r="219" spans="1:14">
      <c r="A219" s="226">
        <v>1218</v>
      </c>
      <c r="B219" s="224">
        <v>44393</v>
      </c>
      <c r="C219" s="207" t="s">
        <v>1504</v>
      </c>
      <c r="D219" s="207" t="s">
        <v>1499</v>
      </c>
      <c r="E219" s="207" t="s">
        <v>530</v>
      </c>
      <c r="F219" s="225">
        <v>19</v>
      </c>
      <c r="G219" s="225">
        <v>3.99</v>
      </c>
      <c r="H219" s="225">
        <v>22.99</v>
      </c>
      <c r="I219" s="24" t="str">
        <f>UPPER(Tabla11[[#This Row],[Comercial]])</f>
        <v>MARIA GARCIA 1254</v>
      </c>
      <c r="J219" s="24" t="str">
        <f>LOWER(Tabla11[[#This Row],[Comercial]])</f>
        <v>maria garcia 1254</v>
      </c>
      <c r="K219" s="227" t="str">
        <f>PROPER(Tabla11[[#This Row],[Comercial]])</f>
        <v>Maria Garcia 1254</v>
      </c>
      <c r="L219" t="s">
        <v>1506</v>
      </c>
      <c r="M219" t="str">
        <f>RIGHT(Tabla11[[#This Row],[Comercial]],4)</f>
        <v>1254</v>
      </c>
      <c r="N219" t="str">
        <f>LEFT(Tabla11[[#This Row],[Minuscula]],6)</f>
        <v xml:space="preserve">maria </v>
      </c>
    </row>
    <row r="220" spans="1:14">
      <c r="A220" s="226">
        <v>1219</v>
      </c>
      <c r="B220" s="224">
        <v>44393</v>
      </c>
      <c r="C220" s="207" t="s">
        <v>1496</v>
      </c>
      <c r="D220" s="207" t="s">
        <v>1497</v>
      </c>
      <c r="E220" s="207" t="s">
        <v>530</v>
      </c>
      <c r="F220" s="225">
        <v>13</v>
      </c>
      <c r="G220" s="225">
        <v>2.73</v>
      </c>
      <c r="H220" s="225">
        <v>15.73</v>
      </c>
      <c r="I220" s="24" t="str">
        <f>UPPER(Tabla11[[#This Row],[Comercial]])</f>
        <v>PABLO LOPEZ 7384</v>
      </c>
      <c r="J220" s="24" t="str">
        <f>LOWER(Tabla11[[#This Row],[Comercial]])</f>
        <v>pablo lopez 7384</v>
      </c>
      <c r="K220" s="227" t="str">
        <f>PROPER(Tabla11[[#This Row],[Comercial]])</f>
        <v>Pablo Lopez 7384</v>
      </c>
      <c r="L220" t="s">
        <v>1508</v>
      </c>
      <c r="M220" t="str">
        <f>RIGHT(Tabla11[[#This Row],[Comercial]],4)</f>
        <v>7384</v>
      </c>
      <c r="N220" t="str">
        <f>LEFT(Tabla11[[#This Row],[Minuscula]],6)</f>
        <v xml:space="preserve">pablo </v>
      </c>
    </row>
    <row r="221" spans="1:14">
      <c r="A221" s="226">
        <v>1220</v>
      </c>
      <c r="B221" s="224">
        <v>44393</v>
      </c>
      <c r="C221" s="207" t="s">
        <v>1496</v>
      </c>
      <c r="D221" s="207" t="s">
        <v>1503</v>
      </c>
      <c r="E221" s="207" t="s">
        <v>525</v>
      </c>
      <c r="F221" s="225">
        <v>42</v>
      </c>
      <c r="G221" s="225">
        <v>8.82</v>
      </c>
      <c r="H221" s="225">
        <v>50.82</v>
      </c>
      <c r="I221" s="24" t="str">
        <f>UPPER(Tabla11[[#This Row],[Comercial]])</f>
        <v>PABLO LOPEZ 7384</v>
      </c>
      <c r="J221" s="24" t="str">
        <f>LOWER(Tabla11[[#This Row],[Comercial]])</f>
        <v>pablo lopez 7384</v>
      </c>
      <c r="K221" s="227" t="str">
        <f>PROPER(Tabla11[[#This Row],[Comercial]])</f>
        <v>Pablo Lopez 7384</v>
      </c>
      <c r="L221" t="s">
        <v>1508</v>
      </c>
      <c r="M221" t="str">
        <f>RIGHT(Tabla11[[#This Row],[Comercial]],4)</f>
        <v>7384</v>
      </c>
      <c r="N221" t="str">
        <f>LEFT(Tabla11[[#This Row],[Minuscula]],6)</f>
        <v xml:space="preserve">pablo </v>
      </c>
    </row>
    <row r="222" spans="1:14">
      <c r="A222" s="226">
        <v>1221</v>
      </c>
      <c r="B222" s="224">
        <v>44394</v>
      </c>
      <c r="C222" s="207" t="s">
        <v>1495</v>
      </c>
      <c r="D222" s="207" t="s">
        <v>1503</v>
      </c>
      <c r="E222" s="207" t="s">
        <v>525</v>
      </c>
      <c r="F222" s="225">
        <v>20</v>
      </c>
      <c r="G222" s="225">
        <v>4.2</v>
      </c>
      <c r="H222" s="225">
        <v>24.2</v>
      </c>
      <c r="I222" s="24" t="str">
        <f>UPPER(Tabla11[[#This Row],[Comercial]])</f>
        <v>LUIS VALLE 5431</v>
      </c>
      <c r="J222" s="24" t="str">
        <f>LOWER(Tabla11[[#This Row],[Comercial]])</f>
        <v>luis valle 5431</v>
      </c>
      <c r="K222" s="227" t="str">
        <f>PROPER(Tabla11[[#This Row],[Comercial]])</f>
        <v>Luis Valle 5431</v>
      </c>
      <c r="L222" t="s">
        <v>1507</v>
      </c>
      <c r="M222" t="str">
        <f>RIGHT(Tabla11[[#This Row],[Comercial]],4)</f>
        <v>5431</v>
      </c>
      <c r="N222" t="str">
        <f>LEFT(Tabla11[[#This Row],[Minuscula]],6)</f>
        <v>luis v</v>
      </c>
    </row>
    <row r="223" spans="1:14">
      <c r="A223" s="226">
        <v>1222</v>
      </c>
      <c r="B223" s="224">
        <v>44394</v>
      </c>
      <c r="C223" s="207" t="s">
        <v>1504</v>
      </c>
      <c r="D223" s="207" t="s">
        <v>1494</v>
      </c>
      <c r="E223" s="207" t="s">
        <v>534</v>
      </c>
      <c r="F223" s="225">
        <v>7</v>
      </c>
      <c r="G223" s="225">
        <v>1.47</v>
      </c>
      <c r="H223" s="225">
        <v>8.4700000000000006</v>
      </c>
      <c r="I223" s="24" t="str">
        <f>UPPER(Tabla11[[#This Row],[Comercial]])</f>
        <v>MARIA GARCIA 1254</v>
      </c>
      <c r="J223" s="24" t="str">
        <f>LOWER(Tabla11[[#This Row],[Comercial]])</f>
        <v>maria garcia 1254</v>
      </c>
      <c r="K223" s="227" t="str">
        <f>PROPER(Tabla11[[#This Row],[Comercial]])</f>
        <v>Maria Garcia 1254</v>
      </c>
      <c r="L223" t="s">
        <v>1506</v>
      </c>
      <c r="M223" t="str">
        <f>RIGHT(Tabla11[[#This Row],[Comercial]],4)</f>
        <v>1254</v>
      </c>
      <c r="N223" t="str">
        <f>LEFT(Tabla11[[#This Row],[Minuscula]],6)</f>
        <v xml:space="preserve">maria </v>
      </c>
    </row>
    <row r="224" spans="1:14">
      <c r="A224" s="226">
        <v>1223</v>
      </c>
      <c r="B224" s="224">
        <v>44395</v>
      </c>
      <c r="C224" s="207" t="s">
        <v>1504</v>
      </c>
      <c r="D224" s="207" t="s">
        <v>1494</v>
      </c>
      <c r="E224" s="207" t="s">
        <v>530</v>
      </c>
      <c r="F224" s="225">
        <v>46</v>
      </c>
      <c r="G224" s="225">
        <v>9.66</v>
      </c>
      <c r="H224" s="225">
        <v>55.66</v>
      </c>
      <c r="I224" s="24" t="str">
        <f>UPPER(Tabla11[[#This Row],[Comercial]])</f>
        <v>MARIA GARCIA 1254</v>
      </c>
      <c r="J224" s="24" t="str">
        <f>LOWER(Tabla11[[#This Row],[Comercial]])</f>
        <v>maria garcia 1254</v>
      </c>
      <c r="K224" s="227" t="str">
        <f>PROPER(Tabla11[[#This Row],[Comercial]])</f>
        <v>Maria Garcia 1254</v>
      </c>
      <c r="L224" t="s">
        <v>1506</v>
      </c>
      <c r="M224" t="str">
        <f>RIGHT(Tabla11[[#This Row],[Comercial]],4)</f>
        <v>1254</v>
      </c>
      <c r="N224" t="str">
        <f>LEFT(Tabla11[[#This Row],[Minuscula]],6)</f>
        <v xml:space="preserve">maria </v>
      </c>
    </row>
    <row r="225" spans="1:14">
      <c r="A225" s="226">
        <v>1224</v>
      </c>
      <c r="B225" s="224">
        <v>44396</v>
      </c>
      <c r="C225" s="207" t="s">
        <v>1504</v>
      </c>
      <c r="D225" s="207" t="s">
        <v>1494</v>
      </c>
      <c r="E225" s="207" t="s">
        <v>530</v>
      </c>
      <c r="F225" s="225">
        <v>23</v>
      </c>
      <c r="G225" s="225">
        <v>4.83</v>
      </c>
      <c r="H225" s="225">
        <v>27.83</v>
      </c>
      <c r="I225" s="24" t="str">
        <f>UPPER(Tabla11[[#This Row],[Comercial]])</f>
        <v>MARIA GARCIA 1254</v>
      </c>
      <c r="J225" s="24" t="str">
        <f>LOWER(Tabla11[[#This Row],[Comercial]])</f>
        <v>maria garcia 1254</v>
      </c>
      <c r="K225" s="227" t="str">
        <f>PROPER(Tabla11[[#This Row],[Comercial]])</f>
        <v>Maria Garcia 1254</v>
      </c>
      <c r="L225" t="s">
        <v>1506</v>
      </c>
      <c r="M225" t="str">
        <f>RIGHT(Tabla11[[#This Row],[Comercial]],4)</f>
        <v>1254</v>
      </c>
      <c r="N225" t="str">
        <f>LEFT(Tabla11[[#This Row],[Minuscula]],6)</f>
        <v xml:space="preserve">maria </v>
      </c>
    </row>
    <row r="226" spans="1:14">
      <c r="A226" s="226">
        <v>1225</v>
      </c>
      <c r="B226" s="224">
        <v>44396</v>
      </c>
      <c r="C226" s="207" t="s">
        <v>1495</v>
      </c>
      <c r="D226" s="207" t="s">
        <v>1503</v>
      </c>
      <c r="E226" s="207" t="s">
        <v>520</v>
      </c>
      <c r="F226" s="225">
        <v>730</v>
      </c>
      <c r="G226" s="225">
        <v>153.30000000000001</v>
      </c>
      <c r="H226" s="225">
        <v>883.3</v>
      </c>
      <c r="I226" s="24" t="str">
        <f>UPPER(Tabla11[[#This Row],[Comercial]])</f>
        <v>LUIS VALLE 5431</v>
      </c>
      <c r="J226" s="24" t="str">
        <f>LOWER(Tabla11[[#This Row],[Comercial]])</f>
        <v>luis valle 5431</v>
      </c>
      <c r="K226" s="227" t="str">
        <f>PROPER(Tabla11[[#This Row],[Comercial]])</f>
        <v>Luis Valle 5431</v>
      </c>
      <c r="L226" t="s">
        <v>1507</v>
      </c>
      <c r="M226" t="str">
        <f>RIGHT(Tabla11[[#This Row],[Comercial]],4)</f>
        <v>5431</v>
      </c>
      <c r="N226" t="str">
        <f>LEFT(Tabla11[[#This Row],[Minuscula]],6)</f>
        <v>luis v</v>
      </c>
    </row>
    <row r="227" spans="1:14">
      <c r="A227" s="226">
        <v>1226</v>
      </c>
      <c r="B227" s="224">
        <v>44396</v>
      </c>
      <c r="C227" s="207" t="s">
        <v>1500</v>
      </c>
      <c r="D227" s="207" t="s">
        <v>1503</v>
      </c>
      <c r="E227" s="207" t="s">
        <v>518</v>
      </c>
      <c r="F227" s="225">
        <v>151</v>
      </c>
      <c r="G227" s="225">
        <v>31.71</v>
      </c>
      <c r="H227" s="225">
        <v>182.71</v>
      </c>
      <c r="I227" s="24" t="str">
        <f>UPPER(Tabla11[[#This Row],[Comercial]])</f>
        <v>ANA FERNANDEZZ 4321</v>
      </c>
      <c r="J227" s="24" t="str">
        <f>LOWER(Tabla11[[#This Row],[Comercial]])</f>
        <v>ana fernandezz 4321</v>
      </c>
      <c r="K227" s="227" t="str">
        <f>PROPER(Tabla11[[#This Row],[Comercial]])</f>
        <v>Ana Fernandezz 4321</v>
      </c>
      <c r="L227" t="s">
        <v>1509</v>
      </c>
      <c r="M227" t="str">
        <f>RIGHT(Tabla11[[#This Row],[Comercial]],4)</f>
        <v>4321</v>
      </c>
      <c r="N227" t="str">
        <f>LEFT(Tabla11[[#This Row],[Minuscula]],6)</f>
        <v>ana fe</v>
      </c>
    </row>
    <row r="228" spans="1:14">
      <c r="A228" s="226">
        <v>1227</v>
      </c>
      <c r="B228" s="224">
        <v>44397</v>
      </c>
      <c r="C228" s="207" t="s">
        <v>1496</v>
      </c>
      <c r="D228" s="207" t="s">
        <v>1499</v>
      </c>
      <c r="E228" s="207" t="s">
        <v>520</v>
      </c>
      <c r="F228" s="225">
        <v>236</v>
      </c>
      <c r="G228" s="225">
        <v>49.56</v>
      </c>
      <c r="H228" s="225">
        <v>285.56</v>
      </c>
      <c r="I228" s="24" t="str">
        <f>UPPER(Tabla11[[#This Row],[Comercial]])</f>
        <v>PABLO LOPEZ 7384</v>
      </c>
      <c r="J228" s="24" t="str">
        <f>LOWER(Tabla11[[#This Row],[Comercial]])</f>
        <v>pablo lopez 7384</v>
      </c>
      <c r="K228" s="227" t="str">
        <f>PROPER(Tabla11[[#This Row],[Comercial]])</f>
        <v>Pablo Lopez 7384</v>
      </c>
      <c r="L228" t="s">
        <v>1508</v>
      </c>
      <c r="M228" t="str">
        <f>RIGHT(Tabla11[[#This Row],[Comercial]],4)</f>
        <v>7384</v>
      </c>
      <c r="N228" t="str">
        <f>LEFT(Tabla11[[#This Row],[Minuscula]],6)</f>
        <v xml:space="preserve">pablo </v>
      </c>
    </row>
    <row r="229" spans="1:14">
      <c r="A229" s="226">
        <v>1228</v>
      </c>
      <c r="B229" s="224">
        <v>44397</v>
      </c>
      <c r="C229" s="207" t="s">
        <v>1504</v>
      </c>
      <c r="D229" s="207" t="s">
        <v>1502</v>
      </c>
      <c r="E229" s="207" t="s">
        <v>530</v>
      </c>
      <c r="F229" s="225">
        <v>20</v>
      </c>
      <c r="G229" s="225">
        <v>4.2</v>
      </c>
      <c r="H229" s="225">
        <v>24.2</v>
      </c>
      <c r="I229" s="24" t="str">
        <f>UPPER(Tabla11[[#This Row],[Comercial]])</f>
        <v>MARIA GARCIA 1254</v>
      </c>
      <c r="J229" s="24" t="str">
        <f>LOWER(Tabla11[[#This Row],[Comercial]])</f>
        <v>maria garcia 1254</v>
      </c>
      <c r="K229" s="227" t="str">
        <f>PROPER(Tabla11[[#This Row],[Comercial]])</f>
        <v>Maria Garcia 1254</v>
      </c>
      <c r="L229" t="s">
        <v>1506</v>
      </c>
      <c r="M229" t="str">
        <f>RIGHT(Tabla11[[#This Row],[Comercial]],4)</f>
        <v>1254</v>
      </c>
      <c r="N229" t="str">
        <f>LEFT(Tabla11[[#This Row],[Minuscula]],6)</f>
        <v xml:space="preserve">maria </v>
      </c>
    </row>
    <row r="230" spans="1:14">
      <c r="A230" s="226">
        <v>1229</v>
      </c>
      <c r="B230" s="224">
        <v>44398</v>
      </c>
      <c r="C230" s="207" t="s">
        <v>1496</v>
      </c>
      <c r="D230" s="207" t="s">
        <v>1494</v>
      </c>
      <c r="E230" s="207" t="s">
        <v>534</v>
      </c>
      <c r="F230" s="225">
        <v>8</v>
      </c>
      <c r="G230" s="225">
        <v>1.68</v>
      </c>
      <c r="H230" s="225">
        <v>9.68</v>
      </c>
      <c r="I230" s="24" t="str">
        <f>UPPER(Tabla11[[#This Row],[Comercial]])</f>
        <v>PABLO LOPEZ 7384</v>
      </c>
      <c r="J230" s="24" t="str">
        <f>LOWER(Tabla11[[#This Row],[Comercial]])</f>
        <v>pablo lopez 7384</v>
      </c>
      <c r="K230" s="227" t="str">
        <f>PROPER(Tabla11[[#This Row],[Comercial]])</f>
        <v>Pablo Lopez 7384</v>
      </c>
      <c r="L230" t="s">
        <v>1508</v>
      </c>
      <c r="M230" t="str">
        <f>RIGHT(Tabla11[[#This Row],[Comercial]],4)</f>
        <v>7384</v>
      </c>
      <c r="N230" t="str">
        <f>LEFT(Tabla11[[#This Row],[Minuscula]],6)</f>
        <v xml:space="preserve">pablo </v>
      </c>
    </row>
    <row r="231" spans="1:14">
      <c r="A231" s="226">
        <v>1230</v>
      </c>
      <c r="B231" s="224">
        <v>44399</v>
      </c>
      <c r="C231" s="207" t="s">
        <v>1500</v>
      </c>
      <c r="D231" s="207" t="s">
        <v>1502</v>
      </c>
      <c r="E231" s="207" t="s">
        <v>525</v>
      </c>
      <c r="F231" s="225">
        <v>8</v>
      </c>
      <c r="G231" s="225">
        <v>1.68</v>
      </c>
      <c r="H231" s="225">
        <v>9.68</v>
      </c>
      <c r="I231" s="24" t="str">
        <f>UPPER(Tabla11[[#This Row],[Comercial]])</f>
        <v>ANA FERNANDEZZ 4321</v>
      </c>
      <c r="J231" s="24" t="str">
        <f>LOWER(Tabla11[[#This Row],[Comercial]])</f>
        <v>ana fernandezz 4321</v>
      </c>
      <c r="K231" s="227" t="str">
        <f>PROPER(Tabla11[[#This Row],[Comercial]])</f>
        <v>Ana Fernandezz 4321</v>
      </c>
      <c r="L231" t="s">
        <v>1509</v>
      </c>
      <c r="M231" t="str">
        <f>RIGHT(Tabla11[[#This Row],[Comercial]],4)</f>
        <v>4321</v>
      </c>
      <c r="N231" t="str">
        <f>LEFT(Tabla11[[#This Row],[Minuscula]],6)</f>
        <v>ana fe</v>
      </c>
    </row>
    <row r="232" spans="1:14">
      <c r="A232" s="226">
        <v>1231</v>
      </c>
      <c r="B232" s="224">
        <v>44400</v>
      </c>
      <c r="C232" s="207" t="s">
        <v>1496</v>
      </c>
      <c r="D232" s="207" t="s">
        <v>1499</v>
      </c>
      <c r="E232" s="207" t="s">
        <v>520</v>
      </c>
      <c r="F232" s="225">
        <v>347</v>
      </c>
      <c r="G232" s="225">
        <v>72.87</v>
      </c>
      <c r="H232" s="225">
        <v>419.87</v>
      </c>
      <c r="I232" s="24" t="str">
        <f>UPPER(Tabla11[[#This Row],[Comercial]])</f>
        <v>PABLO LOPEZ 7384</v>
      </c>
      <c r="J232" s="24" t="str">
        <f>LOWER(Tabla11[[#This Row],[Comercial]])</f>
        <v>pablo lopez 7384</v>
      </c>
      <c r="K232" s="227" t="str">
        <f>PROPER(Tabla11[[#This Row],[Comercial]])</f>
        <v>Pablo Lopez 7384</v>
      </c>
      <c r="L232" t="s">
        <v>1508</v>
      </c>
      <c r="M232" t="str">
        <f>RIGHT(Tabla11[[#This Row],[Comercial]],4)</f>
        <v>7384</v>
      </c>
      <c r="N232" t="str">
        <f>LEFT(Tabla11[[#This Row],[Minuscula]],6)</f>
        <v xml:space="preserve">pablo </v>
      </c>
    </row>
    <row r="233" spans="1:14">
      <c r="A233" s="226">
        <v>1232</v>
      </c>
      <c r="B233" s="224">
        <v>44400</v>
      </c>
      <c r="C233" s="207" t="s">
        <v>1495</v>
      </c>
      <c r="D233" s="207" t="s">
        <v>1499</v>
      </c>
      <c r="E233" s="207" t="s">
        <v>530</v>
      </c>
      <c r="F233" s="225">
        <v>15</v>
      </c>
      <c r="G233" s="225">
        <v>3.15</v>
      </c>
      <c r="H233" s="225">
        <v>18.149999999999999</v>
      </c>
      <c r="I233" s="24" t="str">
        <f>UPPER(Tabla11[[#This Row],[Comercial]])</f>
        <v>LUIS VALLE 5431</v>
      </c>
      <c r="J233" s="24" t="str">
        <f>LOWER(Tabla11[[#This Row],[Comercial]])</f>
        <v>luis valle 5431</v>
      </c>
      <c r="K233" s="227" t="str">
        <f>PROPER(Tabla11[[#This Row],[Comercial]])</f>
        <v>Luis Valle 5431</v>
      </c>
      <c r="L233" t="s">
        <v>1507</v>
      </c>
      <c r="M233" t="str">
        <f>RIGHT(Tabla11[[#This Row],[Comercial]],4)</f>
        <v>5431</v>
      </c>
      <c r="N233" t="str">
        <f>LEFT(Tabla11[[#This Row],[Minuscula]],6)</f>
        <v>luis v</v>
      </c>
    </row>
    <row r="234" spans="1:14">
      <c r="A234" s="226">
        <v>1233</v>
      </c>
      <c r="B234" s="224">
        <v>44401</v>
      </c>
      <c r="C234" s="207" t="s">
        <v>1500</v>
      </c>
      <c r="D234" s="207" t="s">
        <v>1502</v>
      </c>
      <c r="E234" s="207" t="s">
        <v>520</v>
      </c>
      <c r="F234" s="225">
        <v>447</v>
      </c>
      <c r="G234" s="225">
        <v>93.87</v>
      </c>
      <c r="H234" s="225">
        <v>540.87</v>
      </c>
      <c r="I234" s="24" t="str">
        <f>UPPER(Tabla11[[#This Row],[Comercial]])</f>
        <v>ANA FERNANDEZZ 4321</v>
      </c>
      <c r="J234" s="24" t="str">
        <f>LOWER(Tabla11[[#This Row],[Comercial]])</f>
        <v>ana fernandezz 4321</v>
      </c>
      <c r="K234" s="227" t="str">
        <f>PROPER(Tabla11[[#This Row],[Comercial]])</f>
        <v>Ana Fernandezz 4321</v>
      </c>
      <c r="L234" t="s">
        <v>1509</v>
      </c>
      <c r="M234" t="str">
        <f>RIGHT(Tabla11[[#This Row],[Comercial]],4)</f>
        <v>4321</v>
      </c>
      <c r="N234" t="str">
        <f>LEFT(Tabla11[[#This Row],[Minuscula]],6)</f>
        <v>ana fe</v>
      </c>
    </row>
    <row r="235" spans="1:14">
      <c r="A235" s="226">
        <v>1234</v>
      </c>
      <c r="B235" s="224">
        <v>44401</v>
      </c>
      <c r="C235" s="207" t="s">
        <v>1501</v>
      </c>
      <c r="D235" s="207" t="s">
        <v>1503</v>
      </c>
      <c r="E235" s="207" t="s">
        <v>530</v>
      </c>
      <c r="F235" s="225">
        <v>26</v>
      </c>
      <c r="G235" s="225">
        <v>5.46</v>
      </c>
      <c r="H235" s="225">
        <v>31.46</v>
      </c>
      <c r="I235" s="24" t="str">
        <f>UPPER(Tabla11[[#This Row],[Comercial]])</f>
        <v>MARIO PEREZ 1123</v>
      </c>
      <c r="J235" s="24" t="str">
        <f>LOWER(Tabla11[[#This Row],[Comercial]])</f>
        <v>mario perez 1123</v>
      </c>
      <c r="K235" s="227" t="str">
        <f>PROPER(Tabla11[[#This Row],[Comercial]])</f>
        <v>Mario Perez 1123</v>
      </c>
      <c r="L235" t="s">
        <v>1510</v>
      </c>
      <c r="M235" t="str">
        <f>RIGHT(Tabla11[[#This Row],[Comercial]],4)</f>
        <v>1123</v>
      </c>
      <c r="N235" t="str">
        <f>LEFT(Tabla11[[#This Row],[Minuscula]],6)</f>
        <v xml:space="preserve">mario </v>
      </c>
    </row>
    <row r="236" spans="1:14">
      <c r="A236" s="226">
        <v>1235</v>
      </c>
      <c r="B236" s="224">
        <v>44401</v>
      </c>
      <c r="C236" s="207" t="s">
        <v>1495</v>
      </c>
      <c r="D236" s="207" t="s">
        <v>1503</v>
      </c>
      <c r="E236" s="207" t="s">
        <v>530</v>
      </c>
      <c r="F236" s="225">
        <v>37</v>
      </c>
      <c r="G236" s="225">
        <v>7.77</v>
      </c>
      <c r="H236" s="225">
        <v>44.77</v>
      </c>
      <c r="I236" s="24" t="str">
        <f>UPPER(Tabla11[[#This Row],[Comercial]])</f>
        <v>LUIS VALLE 5431</v>
      </c>
      <c r="J236" s="24" t="str">
        <f>LOWER(Tabla11[[#This Row],[Comercial]])</f>
        <v>luis valle 5431</v>
      </c>
      <c r="K236" s="227" t="str">
        <f>PROPER(Tabla11[[#This Row],[Comercial]])</f>
        <v>Luis Valle 5431</v>
      </c>
      <c r="L236" t="s">
        <v>1507</v>
      </c>
      <c r="M236" t="str">
        <f>RIGHT(Tabla11[[#This Row],[Comercial]],4)</f>
        <v>5431</v>
      </c>
      <c r="N236" t="str">
        <f>LEFT(Tabla11[[#This Row],[Minuscula]],6)</f>
        <v>luis v</v>
      </c>
    </row>
    <row r="237" spans="1:14">
      <c r="A237" s="226">
        <v>1236</v>
      </c>
      <c r="B237" s="224">
        <v>44401</v>
      </c>
      <c r="C237" s="207" t="s">
        <v>1504</v>
      </c>
      <c r="D237" s="207" t="s">
        <v>1494</v>
      </c>
      <c r="E237" s="207" t="s">
        <v>530</v>
      </c>
      <c r="F237" s="225">
        <v>31</v>
      </c>
      <c r="G237" s="225">
        <v>6.51</v>
      </c>
      <c r="H237" s="225">
        <v>37.51</v>
      </c>
      <c r="I237" s="24" t="str">
        <f>UPPER(Tabla11[[#This Row],[Comercial]])</f>
        <v>MARIA GARCIA 1254</v>
      </c>
      <c r="J237" s="24" t="str">
        <f>LOWER(Tabla11[[#This Row],[Comercial]])</f>
        <v>maria garcia 1254</v>
      </c>
      <c r="K237" s="227" t="str">
        <f>PROPER(Tabla11[[#This Row],[Comercial]])</f>
        <v>Maria Garcia 1254</v>
      </c>
      <c r="L237" t="s">
        <v>1506</v>
      </c>
      <c r="M237" t="str">
        <f>RIGHT(Tabla11[[#This Row],[Comercial]],4)</f>
        <v>1254</v>
      </c>
      <c r="N237" t="str">
        <f>LEFT(Tabla11[[#This Row],[Minuscula]],6)</f>
        <v xml:space="preserve">maria </v>
      </c>
    </row>
    <row r="238" spans="1:14">
      <c r="A238" s="226">
        <v>1237</v>
      </c>
      <c r="B238" s="224">
        <v>44402</v>
      </c>
      <c r="C238" s="207" t="s">
        <v>1495</v>
      </c>
      <c r="D238" s="207" t="s">
        <v>1499</v>
      </c>
      <c r="E238" s="207" t="s">
        <v>520</v>
      </c>
      <c r="F238" s="225">
        <v>333</v>
      </c>
      <c r="G238" s="225">
        <v>69.930000000000007</v>
      </c>
      <c r="H238" s="225">
        <v>402.93</v>
      </c>
      <c r="I238" s="24" t="str">
        <f>UPPER(Tabla11[[#This Row],[Comercial]])</f>
        <v>LUIS VALLE 5431</v>
      </c>
      <c r="J238" s="24" t="str">
        <f>LOWER(Tabla11[[#This Row],[Comercial]])</f>
        <v>luis valle 5431</v>
      </c>
      <c r="K238" s="227" t="str">
        <f>PROPER(Tabla11[[#This Row],[Comercial]])</f>
        <v>Luis Valle 5431</v>
      </c>
      <c r="L238" t="s">
        <v>1507</v>
      </c>
      <c r="M238" t="str">
        <f>RIGHT(Tabla11[[#This Row],[Comercial]],4)</f>
        <v>5431</v>
      </c>
      <c r="N238" t="str">
        <f>LEFT(Tabla11[[#This Row],[Minuscula]],6)</f>
        <v>luis v</v>
      </c>
    </row>
    <row r="239" spans="1:14">
      <c r="A239" s="226">
        <v>1238</v>
      </c>
      <c r="B239" s="224">
        <v>44403</v>
      </c>
      <c r="C239" s="207" t="s">
        <v>1501</v>
      </c>
      <c r="D239" s="207" t="s">
        <v>1502</v>
      </c>
      <c r="E239" s="207" t="s">
        <v>530</v>
      </c>
      <c r="F239" s="225">
        <v>15</v>
      </c>
      <c r="G239" s="225">
        <v>3.15</v>
      </c>
      <c r="H239" s="225">
        <v>18.149999999999999</v>
      </c>
      <c r="I239" s="24" t="str">
        <f>UPPER(Tabla11[[#This Row],[Comercial]])</f>
        <v>MARIO PEREZ 1123</v>
      </c>
      <c r="J239" s="24" t="str">
        <f>LOWER(Tabla11[[#This Row],[Comercial]])</f>
        <v>mario perez 1123</v>
      </c>
      <c r="K239" s="227" t="str">
        <f>PROPER(Tabla11[[#This Row],[Comercial]])</f>
        <v>Mario Perez 1123</v>
      </c>
      <c r="L239" t="s">
        <v>1510</v>
      </c>
      <c r="M239" t="str">
        <f>RIGHT(Tabla11[[#This Row],[Comercial]],4)</f>
        <v>1123</v>
      </c>
      <c r="N239" t="str">
        <f>LEFT(Tabla11[[#This Row],[Minuscula]],6)</f>
        <v xml:space="preserve">mario </v>
      </c>
    </row>
    <row r="240" spans="1:14">
      <c r="A240" s="226">
        <v>1239</v>
      </c>
      <c r="B240" s="224">
        <v>44404</v>
      </c>
      <c r="C240" s="207" t="s">
        <v>1495</v>
      </c>
      <c r="D240" s="207" t="s">
        <v>1502</v>
      </c>
      <c r="E240" s="207" t="s">
        <v>525</v>
      </c>
      <c r="F240" s="225">
        <v>5</v>
      </c>
      <c r="G240" s="225">
        <v>1.05</v>
      </c>
      <c r="H240" s="225">
        <v>6.05</v>
      </c>
      <c r="I240" s="24" t="str">
        <f>UPPER(Tabla11[[#This Row],[Comercial]])</f>
        <v>LUIS VALLE 5431</v>
      </c>
      <c r="J240" s="24" t="str">
        <f>LOWER(Tabla11[[#This Row],[Comercial]])</f>
        <v>luis valle 5431</v>
      </c>
      <c r="K240" s="227" t="str">
        <f>PROPER(Tabla11[[#This Row],[Comercial]])</f>
        <v>Luis Valle 5431</v>
      </c>
      <c r="L240" t="s">
        <v>1507</v>
      </c>
      <c r="M240" t="str">
        <f>RIGHT(Tabla11[[#This Row],[Comercial]],4)</f>
        <v>5431</v>
      </c>
      <c r="N240" t="str">
        <f>LEFT(Tabla11[[#This Row],[Minuscula]],6)</f>
        <v>luis v</v>
      </c>
    </row>
    <row r="241" spans="1:14">
      <c r="A241" s="226">
        <v>1240</v>
      </c>
      <c r="B241" s="224">
        <v>44405</v>
      </c>
      <c r="C241" s="207" t="s">
        <v>1501</v>
      </c>
      <c r="D241" s="207" t="s">
        <v>1499</v>
      </c>
      <c r="E241" s="207" t="s">
        <v>534</v>
      </c>
      <c r="F241" s="225">
        <v>7</v>
      </c>
      <c r="G241" s="225">
        <v>1.47</v>
      </c>
      <c r="H241" s="225">
        <v>8.4700000000000006</v>
      </c>
      <c r="I241" s="24" t="str">
        <f>UPPER(Tabla11[[#This Row],[Comercial]])</f>
        <v>MARIO PEREZ 1123</v>
      </c>
      <c r="J241" s="24" t="str">
        <f>LOWER(Tabla11[[#This Row],[Comercial]])</f>
        <v>mario perez 1123</v>
      </c>
      <c r="K241" s="227" t="str">
        <f>PROPER(Tabla11[[#This Row],[Comercial]])</f>
        <v>Mario Perez 1123</v>
      </c>
      <c r="L241" t="s">
        <v>1510</v>
      </c>
      <c r="M241" t="str">
        <f>RIGHT(Tabla11[[#This Row],[Comercial]],4)</f>
        <v>1123</v>
      </c>
      <c r="N241" t="str">
        <f>LEFT(Tabla11[[#This Row],[Minuscula]],6)</f>
        <v xml:space="preserve">mario </v>
      </c>
    </row>
    <row r="242" spans="1:14">
      <c r="A242" s="226">
        <v>1241</v>
      </c>
      <c r="B242" s="224">
        <v>44406</v>
      </c>
      <c r="C242" s="207" t="s">
        <v>1501</v>
      </c>
      <c r="D242" s="207" t="s">
        <v>1499</v>
      </c>
      <c r="E242" s="207" t="s">
        <v>518</v>
      </c>
      <c r="F242" s="225">
        <v>60</v>
      </c>
      <c r="G242" s="225">
        <v>12.6</v>
      </c>
      <c r="H242" s="225">
        <v>72.599999999999994</v>
      </c>
      <c r="I242" s="24" t="str">
        <f>UPPER(Tabla11[[#This Row],[Comercial]])</f>
        <v>MARIO PEREZ 1123</v>
      </c>
      <c r="J242" s="24" t="str">
        <f>LOWER(Tabla11[[#This Row],[Comercial]])</f>
        <v>mario perez 1123</v>
      </c>
      <c r="K242" s="227" t="str">
        <f>PROPER(Tabla11[[#This Row],[Comercial]])</f>
        <v>Mario Perez 1123</v>
      </c>
      <c r="L242" t="s">
        <v>1510</v>
      </c>
      <c r="M242" t="str">
        <f>RIGHT(Tabla11[[#This Row],[Comercial]],4)</f>
        <v>1123</v>
      </c>
      <c r="N242" t="str">
        <f>LEFT(Tabla11[[#This Row],[Minuscula]],6)</f>
        <v xml:space="preserve">mario </v>
      </c>
    </row>
    <row r="243" spans="1:14">
      <c r="A243" s="226">
        <v>1242</v>
      </c>
      <c r="B243" s="224">
        <v>44406</v>
      </c>
      <c r="C243" s="207" t="s">
        <v>1504</v>
      </c>
      <c r="D243" s="207" t="s">
        <v>1503</v>
      </c>
      <c r="E243" s="207" t="s">
        <v>525</v>
      </c>
      <c r="F243" s="225">
        <v>43</v>
      </c>
      <c r="G243" s="225">
        <v>9.0299999999999994</v>
      </c>
      <c r="H243" s="225">
        <v>52.03</v>
      </c>
      <c r="I243" s="24" t="str">
        <f>UPPER(Tabla11[[#This Row],[Comercial]])</f>
        <v>MARIA GARCIA 1254</v>
      </c>
      <c r="J243" s="24" t="str">
        <f>LOWER(Tabla11[[#This Row],[Comercial]])</f>
        <v>maria garcia 1254</v>
      </c>
      <c r="K243" s="227" t="str">
        <f>PROPER(Tabla11[[#This Row],[Comercial]])</f>
        <v>Maria Garcia 1254</v>
      </c>
      <c r="L243" t="s">
        <v>1506</v>
      </c>
      <c r="M243" t="str">
        <f>RIGHT(Tabla11[[#This Row],[Comercial]],4)</f>
        <v>1254</v>
      </c>
      <c r="N243" t="str">
        <f>LEFT(Tabla11[[#This Row],[Minuscula]],6)</f>
        <v xml:space="preserve">maria </v>
      </c>
    </row>
    <row r="244" spans="1:14">
      <c r="A244" s="226">
        <v>1243</v>
      </c>
      <c r="B244" s="224">
        <v>44406</v>
      </c>
      <c r="C244" s="207" t="s">
        <v>1504</v>
      </c>
      <c r="D244" s="207" t="s">
        <v>1497</v>
      </c>
      <c r="E244" s="207" t="s">
        <v>525</v>
      </c>
      <c r="F244" s="225">
        <v>12</v>
      </c>
      <c r="G244" s="225">
        <v>2.52</v>
      </c>
      <c r="H244" s="225">
        <v>14.52</v>
      </c>
      <c r="I244" s="24" t="str">
        <f>UPPER(Tabla11[[#This Row],[Comercial]])</f>
        <v>MARIA GARCIA 1254</v>
      </c>
      <c r="J244" s="24" t="str">
        <f>LOWER(Tabla11[[#This Row],[Comercial]])</f>
        <v>maria garcia 1254</v>
      </c>
      <c r="K244" s="227" t="str">
        <f>PROPER(Tabla11[[#This Row],[Comercial]])</f>
        <v>Maria Garcia 1254</v>
      </c>
      <c r="L244" t="s">
        <v>1506</v>
      </c>
      <c r="M244" t="str">
        <f>RIGHT(Tabla11[[#This Row],[Comercial]],4)</f>
        <v>1254</v>
      </c>
      <c r="N244" t="str">
        <f>LEFT(Tabla11[[#This Row],[Minuscula]],6)</f>
        <v xml:space="preserve">maria </v>
      </c>
    </row>
    <row r="245" spans="1:14">
      <c r="A245" s="226">
        <v>1244</v>
      </c>
      <c r="B245" s="224">
        <v>44406</v>
      </c>
      <c r="C245" s="207" t="s">
        <v>1500</v>
      </c>
      <c r="D245" s="207" t="s">
        <v>1497</v>
      </c>
      <c r="E245" s="207" t="s">
        <v>534</v>
      </c>
      <c r="F245" s="225">
        <v>10</v>
      </c>
      <c r="G245" s="225">
        <v>2.1</v>
      </c>
      <c r="H245" s="225">
        <v>12.1</v>
      </c>
      <c r="I245" s="24" t="str">
        <f>UPPER(Tabla11[[#This Row],[Comercial]])</f>
        <v>ANA FERNANDEZZ 4321</v>
      </c>
      <c r="J245" s="24" t="str">
        <f>LOWER(Tabla11[[#This Row],[Comercial]])</f>
        <v>ana fernandezz 4321</v>
      </c>
      <c r="K245" s="227" t="str">
        <f>PROPER(Tabla11[[#This Row],[Comercial]])</f>
        <v>Ana Fernandezz 4321</v>
      </c>
      <c r="L245" t="s">
        <v>1509</v>
      </c>
      <c r="M245" t="str">
        <f>RIGHT(Tabla11[[#This Row],[Comercial]],4)</f>
        <v>4321</v>
      </c>
      <c r="N245" t="str">
        <f>LEFT(Tabla11[[#This Row],[Minuscula]],6)</f>
        <v>ana fe</v>
      </c>
    </row>
    <row r="246" spans="1:14">
      <c r="A246" s="226">
        <v>1245</v>
      </c>
      <c r="B246" s="224">
        <v>44407</v>
      </c>
      <c r="C246" s="207" t="s">
        <v>1495</v>
      </c>
      <c r="D246" s="207" t="s">
        <v>1497</v>
      </c>
      <c r="E246" s="207" t="s">
        <v>518</v>
      </c>
      <c r="F246" s="225">
        <v>36</v>
      </c>
      <c r="G246" s="225">
        <v>7.56</v>
      </c>
      <c r="H246" s="225">
        <v>43.56</v>
      </c>
      <c r="I246" s="24" t="str">
        <f>UPPER(Tabla11[[#This Row],[Comercial]])</f>
        <v>LUIS VALLE 5431</v>
      </c>
      <c r="J246" s="24" t="str">
        <f>LOWER(Tabla11[[#This Row],[Comercial]])</f>
        <v>luis valle 5431</v>
      </c>
      <c r="K246" s="227" t="str">
        <f>PROPER(Tabla11[[#This Row],[Comercial]])</f>
        <v>Luis Valle 5431</v>
      </c>
      <c r="L246" t="s">
        <v>1507</v>
      </c>
      <c r="M246" t="str">
        <f>RIGHT(Tabla11[[#This Row],[Comercial]],4)</f>
        <v>5431</v>
      </c>
      <c r="N246" t="str">
        <f>LEFT(Tabla11[[#This Row],[Minuscula]],6)</f>
        <v>luis v</v>
      </c>
    </row>
    <row r="247" spans="1:14">
      <c r="A247" s="226">
        <v>1246</v>
      </c>
      <c r="B247" s="224">
        <v>44408</v>
      </c>
      <c r="C247" s="207" t="s">
        <v>1504</v>
      </c>
      <c r="D247" s="207" t="s">
        <v>1503</v>
      </c>
      <c r="E247" s="207" t="s">
        <v>530</v>
      </c>
      <c r="F247" s="225">
        <v>38</v>
      </c>
      <c r="G247" s="225">
        <v>7.98</v>
      </c>
      <c r="H247" s="225">
        <v>45.98</v>
      </c>
      <c r="I247" s="24" t="str">
        <f>UPPER(Tabla11[[#This Row],[Comercial]])</f>
        <v>MARIA GARCIA 1254</v>
      </c>
      <c r="J247" s="24" t="str">
        <f>LOWER(Tabla11[[#This Row],[Comercial]])</f>
        <v>maria garcia 1254</v>
      </c>
      <c r="K247" s="227" t="str">
        <f>PROPER(Tabla11[[#This Row],[Comercial]])</f>
        <v>Maria Garcia 1254</v>
      </c>
      <c r="L247" t="s">
        <v>1506</v>
      </c>
      <c r="M247" t="str">
        <f>RIGHT(Tabla11[[#This Row],[Comercial]],4)</f>
        <v>1254</v>
      </c>
      <c r="N247" t="str">
        <f>LEFT(Tabla11[[#This Row],[Minuscula]],6)</f>
        <v xml:space="preserve">maria </v>
      </c>
    </row>
    <row r="248" spans="1:14">
      <c r="A248" s="226">
        <v>1247</v>
      </c>
      <c r="B248" s="224">
        <v>44409</v>
      </c>
      <c r="C248" s="207" t="s">
        <v>1501</v>
      </c>
      <c r="D248" s="207" t="s">
        <v>1503</v>
      </c>
      <c r="E248" s="207" t="s">
        <v>534</v>
      </c>
      <c r="F248" s="225">
        <v>6</v>
      </c>
      <c r="G248" s="225">
        <v>1.26</v>
      </c>
      <c r="H248" s="225">
        <v>7.26</v>
      </c>
      <c r="I248" s="24" t="str">
        <f>UPPER(Tabla11[[#This Row],[Comercial]])</f>
        <v>MARIO PEREZ 1123</v>
      </c>
      <c r="J248" s="24" t="str">
        <f>LOWER(Tabla11[[#This Row],[Comercial]])</f>
        <v>mario perez 1123</v>
      </c>
      <c r="K248" s="227" t="str">
        <f>PROPER(Tabla11[[#This Row],[Comercial]])</f>
        <v>Mario Perez 1123</v>
      </c>
      <c r="L248" t="s">
        <v>1510</v>
      </c>
      <c r="M248" t="str">
        <f>RIGHT(Tabla11[[#This Row],[Comercial]],4)</f>
        <v>1123</v>
      </c>
      <c r="N248" t="str">
        <f>LEFT(Tabla11[[#This Row],[Minuscula]],6)</f>
        <v xml:space="preserve">mario </v>
      </c>
    </row>
    <row r="249" spans="1:14">
      <c r="A249" s="226">
        <v>1248</v>
      </c>
      <c r="B249" s="224">
        <v>44410</v>
      </c>
      <c r="C249" s="207" t="s">
        <v>1500</v>
      </c>
      <c r="D249" s="207" t="s">
        <v>1494</v>
      </c>
      <c r="E249" s="207" t="s">
        <v>525</v>
      </c>
      <c r="F249" s="225">
        <v>31</v>
      </c>
      <c r="G249" s="225">
        <v>6.51</v>
      </c>
      <c r="H249" s="225">
        <v>37.51</v>
      </c>
      <c r="I249" s="24" t="str">
        <f>UPPER(Tabla11[[#This Row],[Comercial]])</f>
        <v>ANA FERNANDEZZ 4321</v>
      </c>
      <c r="J249" s="24" t="str">
        <f>LOWER(Tabla11[[#This Row],[Comercial]])</f>
        <v>ana fernandezz 4321</v>
      </c>
      <c r="K249" s="227" t="str">
        <f>PROPER(Tabla11[[#This Row],[Comercial]])</f>
        <v>Ana Fernandezz 4321</v>
      </c>
      <c r="L249" t="s">
        <v>1509</v>
      </c>
      <c r="M249" t="str">
        <f>RIGHT(Tabla11[[#This Row],[Comercial]],4)</f>
        <v>4321</v>
      </c>
      <c r="N249" t="str">
        <f>LEFT(Tabla11[[#This Row],[Minuscula]],6)</f>
        <v>ana fe</v>
      </c>
    </row>
    <row r="250" spans="1:14">
      <c r="A250" s="226">
        <v>1249</v>
      </c>
      <c r="B250" s="224">
        <v>44411</v>
      </c>
      <c r="C250" s="207" t="s">
        <v>1500</v>
      </c>
      <c r="D250" s="207" t="s">
        <v>1494</v>
      </c>
      <c r="E250" s="207" t="s">
        <v>534</v>
      </c>
      <c r="F250" s="225">
        <v>10</v>
      </c>
      <c r="G250" s="225">
        <v>2.1</v>
      </c>
      <c r="H250" s="225">
        <v>12.1</v>
      </c>
      <c r="I250" s="24" t="str">
        <f>UPPER(Tabla11[[#This Row],[Comercial]])</f>
        <v>ANA FERNANDEZZ 4321</v>
      </c>
      <c r="J250" s="24" t="str">
        <f>LOWER(Tabla11[[#This Row],[Comercial]])</f>
        <v>ana fernandezz 4321</v>
      </c>
      <c r="K250" s="227" t="str">
        <f>PROPER(Tabla11[[#This Row],[Comercial]])</f>
        <v>Ana Fernandezz 4321</v>
      </c>
      <c r="L250" t="s">
        <v>1509</v>
      </c>
      <c r="M250" t="str">
        <f>RIGHT(Tabla11[[#This Row],[Comercial]],4)</f>
        <v>4321</v>
      </c>
      <c r="N250" t="str">
        <f>LEFT(Tabla11[[#This Row],[Minuscula]],6)</f>
        <v>ana fe</v>
      </c>
    </row>
    <row r="251" spans="1:14">
      <c r="A251" s="226">
        <v>1250</v>
      </c>
      <c r="B251" s="224">
        <v>44411</v>
      </c>
      <c r="C251" s="207" t="s">
        <v>1501</v>
      </c>
      <c r="D251" s="207" t="s">
        <v>1502</v>
      </c>
      <c r="E251" s="207" t="s">
        <v>530</v>
      </c>
      <c r="F251" s="225">
        <v>30</v>
      </c>
      <c r="G251" s="225">
        <v>6.3</v>
      </c>
      <c r="H251" s="225">
        <v>36.299999999999997</v>
      </c>
      <c r="I251" s="24" t="str">
        <f>UPPER(Tabla11[[#This Row],[Comercial]])</f>
        <v>MARIO PEREZ 1123</v>
      </c>
      <c r="J251" s="24" t="str">
        <f>LOWER(Tabla11[[#This Row],[Comercial]])</f>
        <v>mario perez 1123</v>
      </c>
      <c r="K251" s="227" t="str">
        <f>PROPER(Tabla11[[#This Row],[Comercial]])</f>
        <v>Mario Perez 1123</v>
      </c>
      <c r="L251" t="s">
        <v>1510</v>
      </c>
      <c r="M251" t="str">
        <f>RIGHT(Tabla11[[#This Row],[Comercial]],4)</f>
        <v>1123</v>
      </c>
      <c r="N251" t="str">
        <f>LEFT(Tabla11[[#This Row],[Minuscula]],6)</f>
        <v xml:space="preserve">mario </v>
      </c>
    </row>
    <row r="252" spans="1:14">
      <c r="A252" s="226">
        <v>1251</v>
      </c>
      <c r="B252" s="224">
        <v>44411</v>
      </c>
      <c r="C252" s="207" t="s">
        <v>1496</v>
      </c>
      <c r="D252" s="207" t="s">
        <v>1494</v>
      </c>
      <c r="E252" s="207" t="s">
        <v>520</v>
      </c>
      <c r="F252" s="225">
        <v>601</v>
      </c>
      <c r="G252" s="225">
        <v>126.21</v>
      </c>
      <c r="H252" s="225">
        <v>727.21</v>
      </c>
      <c r="I252" s="24" t="str">
        <f>UPPER(Tabla11[[#This Row],[Comercial]])</f>
        <v>PABLO LOPEZ 7384</v>
      </c>
      <c r="J252" s="24" t="str">
        <f>LOWER(Tabla11[[#This Row],[Comercial]])</f>
        <v>pablo lopez 7384</v>
      </c>
      <c r="K252" s="227" t="str">
        <f>PROPER(Tabla11[[#This Row],[Comercial]])</f>
        <v>Pablo Lopez 7384</v>
      </c>
      <c r="L252" t="s">
        <v>1508</v>
      </c>
      <c r="M252" t="str">
        <f>RIGHT(Tabla11[[#This Row],[Comercial]],4)</f>
        <v>7384</v>
      </c>
      <c r="N252" t="str">
        <f>LEFT(Tabla11[[#This Row],[Minuscula]],6)</f>
        <v xml:space="preserve">pablo </v>
      </c>
    </row>
    <row r="253" spans="1:14">
      <c r="A253" s="226">
        <v>1252</v>
      </c>
      <c r="B253" s="224">
        <v>44413</v>
      </c>
      <c r="C253" s="207" t="s">
        <v>1496</v>
      </c>
      <c r="D253" s="207" t="s">
        <v>1494</v>
      </c>
      <c r="E253" s="207" t="s">
        <v>534</v>
      </c>
      <c r="F253" s="225">
        <v>5</v>
      </c>
      <c r="G253" s="225">
        <v>1.05</v>
      </c>
      <c r="H253" s="225">
        <v>6.05</v>
      </c>
      <c r="I253" s="24" t="str">
        <f>UPPER(Tabla11[[#This Row],[Comercial]])</f>
        <v>PABLO LOPEZ 7384</v>
      </c>
      <c r="J253" s="24" t="str">
        <f>LOWER(Tabla11[[#This Row],[Comercial]])</f>
        <v>pablo lopez 7384</v>
      </c>
      <c r="K253" s="227" t="str">
        <f>PROPER(Tabla11[[#This Row],[Comercial]])</f>
        <v>Pablo Lopez 7384</v>
      </c>
      <c r="L253" t="s">
        <v>1508</v>
      </c>
      <c r="M253" t="str">
        <f>RIGHT(Tabla11[[#This Row],[Comercial]],4)</f>
        <v>7384</v>
      </c>
      <c r="N253" t="str">
        <f>LEFT(Tabla11[[#This Row],[Minuscula]],6)</f>
        <v xml:space="preserve">pablo </v>
      </c>
    </row>
    <row r="254" spans="1:14">
      <c r="A254" s="226">
        <v>1253</v>
      </c>
      <c r="B254" s="224">
        <v>44413</v>
      </c>
      <c r="C254" s="207" t="s">
        <v>1504</v>
      </c>
      <c r="D254" s="207" t="s">
        <v>1502</v>
      </c>
      <c r="E254" s="207" t="s">
        <v>520</v>
      </c>
      <c r="F254" s="225">
        <v>411</v>
      </c>
      <c r="G254" s="225">
        <v>86.31</v>
      </c>
      <c r="H254" s="225">
        <v>497.31</v>
      </c>
      <c r="I254" s="24" t="str">
        <f>UPPER(Tabla11[[#This Row],[Comercial]])</f>
        <v>MARIA GARCIA 1254</v>
      </c>
      <c r="J254" s="24" t="str">
        <f>LOWER(Tabla11[[#This Row],[Comercial]])</f>
        <v>maria garcia 1254</v>
      </c>
      <c r="K254" s="227" t="str">
        <f>PROPER(Tabla11[[#This Row],[Comercial]])</f>
        <v>Maria Garcia 1254</v>
      </c>
      <c r="L254" t="s">
        <v>1506</v>
      </c>
      <c r="M254" t="str">
        <f>RIGHT(Tabla11[[#This Row],[Comercial]],4)</f>
        <v>1254</v>
      </c>
      <c r="N254" t="str">
        <f>LEFT(Tabla11[[#This Row],[Minuscula]],6)</f>
        <v xml:space="preserve">maria </v>
      </c>
    </row>
    <row r="255" spans="1:14">
      <c r="A255" s="226">
        <v>1254</v>
      </c>
      <c r="B255" s="224">
        <v>44414</v>
      </c>
      <c r="C255" s="207" t="s">
        <v>1504</v>
      </c>
      <c r="D255" s="207" t="s">
        <v>1503</v>
      </c>
      <c r="E255" s="207" t="s">
        <v>530</v>
      </c>
      <c r="F255" s="225">
        <v>35</v>
      </c>
      <c r="G255" s="225">
        <v>7.35</v>
      </c>
      <c r="H255" s="225">
        <v>42.35</v>
      </c>
      <c r="I255" s="24" t="str">
        <f>UPPER(Tabla11[[#This Row],[Comercial]])</f>
        <v>MARIA GARCIA 1254</v>
      </c>
      <c r="J255" s="24" t="str">
        <f>LOWER(Tabla11[[#This Row],[Comercial]])</f>
        <v>maria garcia 1254</v>
      </c>
      <c r="K255" s="227" t="str">
        <f>PROPER(Tabla11[[#This Row],[Comercial]])</f>
        <v>Maria Garcia 1254</v>
      </c>
      <c r="L255" t="s">
        <v>1506</v>
      </c>
      <c r="M255" t="str">
        <f>RIGHT(Tabla11[[#This Row],[Comercial]],4)</f>
        <v>1254</v>
      </c>
      <c r="N255" t="str">
        <f>LEFT(Tabla11[[#This Row],[Minuscula]],6)</f>
        <v xml:space="preserve">maria </v>
      </c>
    </row>
    <row r="256" spans="1:14">
      <c r="A256" s="226">
        <v>1255</v>
      </c>
      <c r="B256" s="224">
        <v>44414</v>
      </c>
      <c r="C256" s="207" t="s">
        <v>1500</v>
      </c>
      <c r="D256" s="207" t="s">
        <v>1497</v>
      </c>
      <c r="E256" s="207" t="s">
        <v>534</v>
      </c>
      <c r="F256" s="225">
        <v>6</v>
      </c>
      <c r="G256" s="225">
        <v>1.26</v>
      </c>
      <c r="H256" s="225">
        <v>7.26</v>
      </c>
      <c r="I256" s="24" t="str">
        <f>UPPER(Tabla11[[#This Row],[Comercial]])</f>
        <v>ANA FERNANDEZZ 4321</v>
      </c>
      <c r="J256" s="24" t="str">
        <f>LOWER(Tabla11[[#This Row],[Comercial]])</f>
        <v>ana fernandezz 4321</v>
      </c>
      <c r="K256" s="227" t="str">
        <f>PROPER(Tabla11[[#This Row],[Comercial]])</f>
        <v>Ana Fernandezz 4321</v>
      </c>
      <c r="L256" t="s">
        <v>1509</v>
      </c>
      <c r="M256" t="str">
        <f>RIGHT(Tabla11[[#This Row],[Comercial]],4)</f>
        <v>4321</v>
      </c>
      <c r="N256" t="str">
        <f>LEFT(Tabla11[[#This Row],[Minuscula]],6)</f>
        <v>ana fe</v>
      </c>
    </row>
    <row r="257" spans="1:14">
      <c r="A257" s="226">
        <v>1256</v>
      </c>
      <c r="B257" s="224">
        <v>44414</v>
      </c>
      <c r="C257" s="207" t="s">
        <v>1504</v>
      </c>
      <c r="D257" s="207" t="s">
        <v>1502</v>
      </c>
      <c r="E257" s="207" t="s">
        <v>518</v>
      </c>
      <c r="F257" s="225">
        <v>25</v>
      </c>
      <c r="G257" s="225">
        <v>5.25</v>
      </c>
      <c r="H257" s="225">
        <v>30.25</v>
      </c>
      <c r="I257" s="24" t="str">
        <f>UPPER(Tabla11[[#This Row],[Comercial]])</f>
        <v>MARIA GARCIA 1254</v>
      </c>
      <c r="J257" s="24" t="str">
        <f>LOWER(Tabla11[[#This Row],[Comercial]])</f>
        <v>maria garcia 1254</v>
      </c>
      <c r="K257" s="227" t="str">
        <f>PROPER(Tabla11[[#This Row],[Comercial]])</f>
        <v>Maria Garcia 1254</v>
      </c>
      <c r="L257" t="s">
        <v>1506</v>
      </c>
      <c r="M257" t="str">
        <f>RIGHT(Tabla11[[#This Row],[Comercial]],4)</f>
        <v>1254</v>
      </c>
      <c r="N257" t="str">
        <f>LEFT(Tabla11[[#This Row],[Minuscula]],6)</f>
        <v xml:space="preserve">maria </v>
      </c>
    </row>
    <row r="258" spans="1:14">
      <c r="A258" s="226">
        <v>1257</v>
      </c>
      <c r="B258" s="224">
        <v>44416</v>
      </c>
      <c r="C258" s="207" t="s">
        <v>1500</v>
      </c>
      <c r="D258" s="207" t="s">
        <v>1502</v>
      </c>
      <c r="E258" s="207" t="s">
        <v>530</v>
      </c>
      <c r="F258" s="225">
        <v>30</v>
      </c>
      <c r="G258" s="225">
        <v>6.3</v>
      </c>
      <c r="H258" s="225">
        <v>36.299999999999997</v>
      </c>
      <c r="I258" s="24" t="str">
        <f>UPPER(Tabla11[[#This Row],[Comercial]])</f>
        <v>ANA FERNANDEZZ 4321</v>
      </c>
      <c r="J258" s="24" t="str">
        <f>LOWER(Tabla11[[#This Row],[Comercial]])</f>
        <v>ana fernandezz 4321</v>
      </c>
      <c r="K258" s="227" t="str">
        <f>PROPER(Tabla11[[#This Row],[Comercial]])</f>
        <v>Ana Fernandezz 4321</v>
      </c>
      <c r="L258" t="s">
        <v>1509</v>
      </c>
      <c r="M258" t="str">
        <f>RIGHT(Tabla11[[#This Row],[Comercial]],4)</f>
        <v>4321</v>
      </c>
      <c r="N258" t="str">
        <f>LEFT(Tabla11[[#This Row],[Minuscula]],6)</f>
        <v>ana fe</v>
      </c>
    </row>
    <row r="259" spans="1:14">
      <c r="A259" s="226">
        <v>1258</v>
      </c>
      <c r="B259" s="224">
        <v>44418</v>
      </c>
      <c r="C259" s="207" t="s">
        <v>1495</v>
      </c>
      <c r="D259" s="207" t="s">
        <v>1499</v>
      </c>
      <c r="E259" s="207" t="s">
        <v>520</v>
      </c>
      <c r="F259" s="225">
        <v>221</v>
      </c>
      <c r="G259" s="225">
        <v>46.41</v>
      </c>
      <c r="H259" s="225">
        <v>267.41000000000003</v>
      </c>
      <c r="I259" s="24" t="str">
        <f>UPPER(Tabla11[[#This Row],[Comercial]])</f>
        <v>LUIS VALLE 5431</v>
      </c>
      <c r="J259" s="24" t="str">
        <f>LOWER(Tabla11[[#This Row],[Comercial]])</f>
        <v>luis valle 5431</v>
      </c>
      <c r="K259" s="227" t="str">
        <f>PROPER(Tabla11[[#This Row],[Comercial]])</f>
        <v>Luis Valle 5431</v>
      </c>
      <c r="L259" t="s">
        <v>1507</v>
      </c>
      <c r="M259" t="str">
        <f>RIGHT(Tabla11[[#This Row],[Comercial]],4)</f>
        <v>5431</v>
      </c>
      <c r="N259" t="str">
        <f>LEFT(Tabla11[[#This Row],[Minuscula]],6)</f>
        <v>luis v</v>
      </c>
    </row>
    <row r="260" spans="1:14">
      <c r="A260" s="226">
        <v>1259</v>
      </c>
      <c r="B260" s="224">
        <v>44418</v>
      </c>
      <c r="C260" s="207" t="s">
        <v>1504</v>
      </c>
      <c r="D260" s="207" t="s">
        <v>1503</v>
      </c>
      <c r="E260" s="207" t="s">
        <v>530</v>
      </c>
      <c r="F260" s="225">
        <v>37</v>
      </c>
      <c r="G260" s="225">
        <v>7.77</v>
      </c>
      <c r="H260" s="225">
        <v>44.77</v>
      </c>
      <c r="I260" s="24" t="str">
        <f>UPPER(Tabla11[[#This Row],[Comercial]])</f>
        <v>MARIA GARCIA 1254</v>
      </c>
      <c r="J260" s="24" t="str">
        <f>LOWER(Tabla11[[#This Row],[Comercial]])</f>
        <v>maria garcia 1254</v>
      </c>
      <c r="K260" s="227" t="str">
        <f>PROPER(Tabla11[[#This Row],[Comercial]])</f>
        <v>Maria Garcia 1254</v>
      </c>
      <c r="L260" t="s">
        <v>1506</v>
      </c>
      <c r="M260" t="str">
        <f>RIGHT(Tabla11[[#This Row],[Comercial]],4)</f>
        <v>1254</v>
      </c>
      <c r="N260" t="str">
        <f>LEFT(Tabla11[[#This Row],[Minuscula]],6)</f>
        <v xml:space="preserve">maria </v>
      </c>
    </row>
    <row r="261" spans="1:14">
      <c r="A261" s="226">
        <v>1260</v>
      </c>
      <c r="B261" s="224">
        <v>44421</v>
      </c>
      <c r="C261" s="207" t="s">
        <v>1500</v>
      </c>
      <c r="D261" s="207" t="s">
        <v>1494</v>
      </c>
      <c r="E261" s="207" t="s">
        <v>518</v>
      </c>
      <c r="F261" s="225">
        <v>120</v>
      </c>
      <c r="G261" s="225">
        <v>25.2</v>
      </c>
      <c r="H261" s="225">
        <v>145.19999999999999</v>
      </c>
      <c r="I261" s="24" t="str">
        <f>UPPER(Tabla11[[#This Row],[Comercial]])</f>
        <v>ANA FERNANDEZZ 4321</v>
      </c>
      <c r="J261" s="24" t="str">
        <f>LOWER(Tabla11[[#This Row],[Comercial]])</f>
        <v>ana fernandezz 4321</v>
      </c>
      <c r="K261" s="227" t="str">
        <f>PROPER(Tabla11[[#This Row],[Comercial]])</f>
        <v>Ana Fernandezz 4321</v>
      </c>
      <c r="L261" t="s">
        <v>1509</v>
      </c>
      <c r="M261" t="str">
        <f>RIGHT(Tabla11[[#This Row],[Comercial]],4)</f>
        <v>4321</v>
      </c>
      <c r="N261" t="str">
        <f>LEFT(Tabla11[[#This Row],[Minuscula]],6)</f>
        <v>ana fe</v>
      </c>
    </row>
    <row r="262" spans="1:14">
      <c r="A262" s="226">
        <v>1261</v>
      </c>
      <c r="B262" s="224">
        <v>44425</v>
      </c>
      <c r="C262" s="207" t="s">
        <v>1501</v>
      </c>
      <c r="D262" s="207" t="s">
        <v>1497</v>
      </c>
      <c r="E262" s="207" t="s">
        <v>520</v>
      </c>
      <c r="F262" s="225">
        <v>349</v>
      </c>
      <c r="G262" s="225">
        <v>73.290000000000006</v>
      </c>
      <c r="H262" s="225">
        <v>422.29</v>
      </c>
      <c r="I262" s="24" t="str">
        <f>UPPER(Tabla11[[#This Row],[Comercial]])</f>
        <v>MARIO PEREZ 1123</v>
      </c>
      <c r="J262" s="24" t="str">
        <f>LOWER(Tabla11[[#This Row],[Comercial]])</f>
        <v>mario perez 1123</v>
      </c>
      <c r="K262" s="227" t="str">
        <f>PROPER(Tabla11[[#This Row],[Comercial]])</f>
        <v>Mario Perez 1123</v>
      </c>
      <c r="L262" t="s">
        <v>1510</v>
      </c>
      <c r="M262" t="str">
        <f>RIGHT(Tabla11[[#This Row],[Comercial]],4)</f>
        <v>1123</v>
      </c>
      <c r="N262" t="str">
        <f>LEFT(Tabla11[[#This Row],[Minuscula]],6)</f>
        <v xml:space="preserve">mario </v>
      </c>
    </row>
    <row r="263" spans="1:14">
      <c r="A263" s="226">
        <v>1262</v>
      </c>
      <c r="B263" s="224">
        <v>44426</v>
      </c>
      <c r="C263" s="207" t="s">
        <v>1500</v>
      </c>
      <c r="D263" s="207" t="s">
        <v>1499</v>
      </c>
      <c r="E263" s="207" t="s">
        <v>525</v>
      </c>
      <c r="F263" s="225">
        <v>12</v>
      </c>
      <c r="G263" s="225">
        <v>2.52</v>
      </c>
      <c r="H263" s="225">
        <v>14.52</v>
      </c>
      <c r="I263" s="24" t="str">
        <f>UPPER(Tabla11[[#This Row],[Comercial]])</f>
        <v>ANA FERNANDEZZ 4321</v>
      </c>
      <c r="J263" s="24" t="str">
        <f>LOWER(Tabla11[[#This Row],[Comercial]])</f>
        <v>ana fernandezz 4321</v>
      </c>
      <c r="K263" s="227" t="str">
        <f>PROPER(Tabla11[[#This Row],[Comercial]])</f>
        <v>Ana Fernandezz 4321</v>
      </c>
      <c r="L263" t="s">
        <v>1509</v>
      </c>
      <c r="M263" t="str">
        <f>RIGHT(Tabla11[[#This Row],[Comercial]],4)</f>
        <v>4321</v>
      </c>
      <c r="N263" t="str">
        <f>LEFT(Tabla11[[#This Row],[Minuscula]],6)</f>
        <v>ana fe</v>
      </c>
    </row>
    <row r="264" spans="1:14">
      <c r="A264" s="226">
        <v>1263</v>
      </c>
      <c r="B264" s="224">
        <v>44427</v>
      </c>
      <c r="C264" s="207" t="s">
        <v>1501</v>
      </c>
      <c r="D264" s="207" t="s">
        <v>1502</v>
      </c>
      <c r="E264" s="207" t="s">
        <v>520</v>
      </c>
      <c r="F264" s="225">
        <v>151</v>
      </c>
      <c r="G264" s="225">
        <v>31.71</v>
      </c>
      <c r="H264" s="225">
        <v>182.71</v>
      </c>
      <c r="I264" s="24" t="str">
        <f>UPPER(Tabla11[[#This Row],[Comercial]])</f>
        <v>MARIO PEREZ 1123</v>
      </c>
      <c r="J264" s="24" t="str">
        <f>LOWER(Tabla11[[#This Row],[Comercial]])</f>
        <v>mario perez 1123</v>
      </c>
      <c r="K264" s="227" t="str">
        <f>PROPER(Tabla11[[#This Row],[Comercial]])</f>
        <v>Mario Perez 1123</v>
      </c>
      <c r="L264" t="s">
        <v>1510</v>
      </c>
      <c r="M264" t="str">
        <f>RIGHT(Tabla11[[#This Row],[Comercial]],4)</f>
        <v>1123</v>
      </c>
      <c r="N264" t="str">
        <f>LEFT(Tabla11[[#This Row],[Minuscula]],6)</f>
        <v xml:space="preserve">mario </v>
      </c>
    </row>
    <row r="265" spans="1:14">
      <c r="A265" s="226">
        <v>1264</v>
      </c>
      <c r="B265" s="224">
        <v>44427</v>
      </c>
      <c r="C265" s="207" t="s">
        <v>1501</v>
      </c>
      <c r="D265" s="207" t="s">
        <v>1502</v>
      </c>
      <c r="E265" s="207" t="s">
        <v>520</v>
      </c>
      <c r="F265" s="225">
        <v>370</v>
      </c>
      <c r="G265" s="225">
        <v>77.7</v>
      </c>
      <c r="H265" s="225">
        <v>447.7</v>
      </c>
      <c r="I265" s="24" t="str">
        <f>UPPER(Tabla11[[#This Row],[Comercial]])</f>
        <v>MARIO PEREZ 1123</v>
      </c>
      <c r="J265" s="24" t="str">
        <f>LOWER(Tabla11[[#This Row],[Comercial]])</f>
        <v>mario perez 1123</v>
      </c>
      <c r="K265" s="227" t="str">
        <f>PROPER(Tabla11[[#This Row],[Comercial]])</f>
        <v>Mario Perez 1123</v>
      </c>
      <c r="L265" t="s">
        <v>1510</v>
      </c>
      <c r="M265" t="str">
        <f>RIGHT(Tabla11[[#This Row],[Comercial]],4)</f>
        <v>1123</v>
      </c>
      <c r="N265" t="str">
        <f>LEFT(Tabla11[[#This Row],[Minuscula]],6)</f>
        <v xml:space="preserve">mario </v>
      </c>
    </row>
    <row r="266" spans="1:14">
      <c r="A266" s="226">
        <v>1265</v>
      </c>
      <c r="B266" s="224">
        <v>44429</v>
      </c>
      <c r="C266" s="207" t="s">
        <v>1495</v>
      </c>
      <c r="D266" s="207" t="s">
        <v>1494</v>
      </c>
      <c r="E266" s="207" t="s">
        <v>518</v>
      </c>
      <c r="F266" s="225">
        <v>109</v>
      </c>
      <c r="G266" s="225">
        <v>22.89</v>
      </c>
      <c r="H266" s="225">
        <v>131.88999999999999</v>
      </c>
      <c r="I266" s="24" t="str">
        <f>UPPER(Tabla11[[#This Row],[Comercial]])</f>
        <v>LUIS VALLE 5431</v>
      </c>
      <c r="J266" s="24" t="str">
        <f>LOWER(Tabla11[[#This Row],[Comercial]])</f>
        <v>luis valle 5431</v>
      </c>
      <c r="K266" s="227" t="str">
        <f>PROPER(Tabla11[[#This Row],[Comercial]])</f>
        <v>Luis Valle 5431</v>
      </c>
      <c r="L266" t="s">
        <v>1507</v>
      </c>
      <c r="M266" t="str">
        <f>RIGHT(Tabla11[[#This Row],[Comercial]],4)</f>
        <v>5431</v>
      </c>
      <c r="N266" t="str">
        <f>LEFT(Tabla11[[#This Row],[Minuscula]],6)</f>
        <v>luis v</v>
      </c>
    </row>
    <row r="267" spans="1:14">
      <c r="A267" s="226">
        <v>1266</v>
      </c>
      <c r="B267" s="224">
        <v>44429</v>
      </c>
      <c r="C267" s="207" t="s">
        <v>1501</v>
      </c>
      <c r="D267" s="207" t="s">
        <v>1503</v>
      </c>
      <c r="E267" s="207" t="s">
        <v>530</v>
      </c>
      <c r="F267" s="225">
        <v>31</v>
      </c>
      <c r="G267" s="225">
        <v>6.51</v>
      </c>
      <c r="H267" s="225">
        <v>37.51</v>
      </c>
      <c r="I267" s="24" t="str">
        <f>UPPER(Tabla11[[#This Row],[Comercial]])</f>
        <v>MARIO PEREZ 1123</v>
      </c>
      <c r="J267" s="24" t="str">
        <f>LOWER(Tabla11[[#This Row],[Comercial]])</f>
        <v>mario perez 1123</v>
      </c>
      <c r="K267" s="227" t="str">
        <f>PROPER(Tabla11[[#This Row],[Comercial]])</f>
        <v>Mario Perez 1123</v>
      </c>
      <c r="L267" t="s">
        <v>1510</v>
      </c>
      <c r="M267" t="str">
        <f>RIGHT(Tabla11[[#This Row],[Comercial]],4)</f>
        <v>1123</v>
      </c>
      <c r="N267" t="str">
        <f>LEFT(Tabla11[[#This Row],[Minuscula]],6)</f>
        <v xml:space="preserve">mario </v>
      </c>
    </row>
    <row r="268" spans="1:14">
      <c r="A268" s="226">
        <v>1267</v>
      </c>
      <c r="B268" s="224">
        <v>44429</v>
      </c>
      <c r="C268" s="207" t="s">
        <v>1501</v>
      </c>
      <c r="D268" s="207" t="s">
        <v>1497</v>
      </c>
      <c r="E268" s="207" t="s">
        <v>525</v>
      </c>
      <c r="F268" s="225">
        <v>17</v>
      </c>
      <c r="G268" s="225">
        <v>3.57</v>
      </c>
      <c r="H268" s="225">
        <v>20.57</v>
      </c>
      <c r="I268" s="24" t="str">
        <f>UPPER(Tabla11[[#This Row],[Comercial]])</f>
        <v>MARIO PEREZ 1123</v>
      </c>
      <c r="J268" s="24" t="str">
        <f>LOWER(Tabla11[[#This Row],[Comercial]])</f>
        <v>mario perez 1123</v>
      </c>
      <c r="K268" s="227" t="str">
        <f>PROPER(Tabla11[[#This Row],[Comercial]])</f>
        <v>Mario Perez 1123</v>
      </c>
      <c r="L268" t="s">
        <v>1510</v>
      </c>
      <c r="M268" t="str">
        <f>RIGHT(Tabla11[[#This Row],[Comercial]],4)</f>
        <v>1123</v>
      </c>
      <c r="N268" t="str">
        <f>LEFT(Tabla11[[#This Row],[Minuscula]],6)</f>
        <v xml:space="preserve">mario </v>
      </c>
    </row>
    <row r="269" spans="1:14">
      <c r="A269" s="226">
        <v>1268</v>
      </c>
      <c r="B269" s="224">
        <v>44430</v>
      </c>
      <c r="C269" s="207" t="s">
        <v>1496</v>
      </c>
      <c r="D269" s="207" t="s">
        <v>1497</v>
      </c>
      <c r="E269" s="207" t="s">
        <v>525</v>
      </c>
      <c r="F269" s="225">
        <v>23</v>
      </c>
      <c r="G269" s="225">
        <v>4.83</v>
      </c>
      <c r="H269" s="225">
        <v>27.83</v>
      </c>
      <c r="I269" s="24" t="str">
        <f>UPPER(Tabla11[[#This Row],[Comercial]])</f>
        <v>PABLO LOPEZ 7384</v>
      </c>
      <c r="J269" s="24" t="str">
        <f>LOWER(Tabla11[[#This Row],[Comercial]])</f>
        <v>pablo lopez 7384</v>
      </c>
      <c r="K269" s="227" t="str">
        <f>PROPER(Tabla11[[#This Row],[Comercial]])</f>
        <v>Pablo Lopez 7384</v>
      </c>
      <c r="L269" t="s">
        <v>1508</v>
      </c>
      <c r="M269" t="str">
        <f>RIGHT(Tabla11[[#This Row],[Comercial]],4)</f>
        <v>7384</v>
      </c>
      <c r="N269" t="str">
        <f>LEFT(Tabla11[[#This Row],[Minuscula]],6)</f>
        <v xml:space="preserve">pablo </v>
      </c>
    </row>
    <row r="270" spans="1:14">
      <c r="A270" s="226">
        <v>1269</v>
      </c>
      <c r="B270" s="224">
        <v>44432</v>
      </c>
      <c r="C270" s="207" t="s">
        <v>1500</v>
      </c>
      <c r="D270" s="207" t="s">
        <v>1503</v>
      </c>
      <c r="E270" s="207" t="s">
        <v>534</v>
      </c>
      <c r="F270" s="225">
        <v>6</v>
      </c>
      <c r="G270" s="225">
        <v>1.26</v>
      </c>
      <c r="H270" s="225">
        <v>7.26</v>
      </c>
      <c r="I270" s="24" t="str">
        <f>UPPER(Tabla11[[#This Row],[Comercial]])</f>
        <v>ANA FERNANDEZZ 4321</v>
      </c>
      <c r="J270" s="24" t="str">
        <f>LOWER(Tabla11[[#This Row],[Comercial]])</f>
        <v>ana fernandezz 4321</v>
      </c>
      <c r="K270" s="227" t="str">
        <f>PROPER(Tabla11[[#This Row],[Comercial]])</f>
        <v>Ana Fernandezz 4321</v>
      </c>
      <c r="L270" t="s">
        <v>1509</v>
      </c>
      <c r="M270" t="str">
        <f>RIGHT(Tabla11[[#This Row],[Comercial]],4)</f>
        <v>4321</v>
      </c>
      <c r="N270" t="str">
        <f>LEFT(Tabla11[[#This Row],[Minuscula]],6)</f>
        <v>ana fe</v>
      </c>
    </row>
    <row r="271" spans="1:14">
      <c r="A271" s="226">
        <v>1270</v>
      </c>
      <c r="B271" s="224">
        <v>44432</v>
      </c>
      <c r="C271" s="207" t="s">
        <v>1501</v>
      </c>
      <c r="D271" s="207" t="s">
        <v>1503</v>
      </c>
      <c r="E271" s="207" t="s">
        <v>530</v>
      </c>
      <c r="F271" s="225">
        <v>30</v>
      </c>
      <c r="G271" s="225">
        <v>6.3</v>
      </c>
      <c r="H271" s="225">
        <v>36.299999999999997</v>
      </c>
      <c r="I271" s="24" t="str">
        <f>UPPER(Tabla11[[#This Row],[Comercial]])</f>
        <v>MARIO PEREZ 1123</v>
      </c>
      <c r="J271" s="24" t="str">
        <f>LOWER(Tabla11[[#This Row],[Comercial]])</f>
        <v>mario perez 1123</v>
      </c>
      <c r="K271" s="227" t="str">
        <f>PROPER(Tabla11[[#This Row],[Comercial]])</f>
        <v>Mario Perez 1123</v>
      </c>
      <c r="L271" t="s">
        <v>1510</v>
      </c>
      <c r="M271" t="str">
        <f>RIGHT(Tabla11[[#This Row],[Comercial]],4)</f>
        <v>1123</v>
      </c>
      <c r="N271" t="str">
        <f>LEFT(Tabla11[[#This Row],[Minuscula]],6)</f>
        <v xml:space="preserve">mario </v>
      </c>
    </row>
    <row r="272" spans="1:14">
      <c r="A272" s="226">
        <v>1271</v>
      </c>
      <c r="B272" s="224">
        <v>44434</v>
      </c>
      <c r="C272" s="207" t="s">
        <v>1504</v>
      </c>
      <c r="D272" s="207" t="s">
        <v>1503</v>
      </c>
      <c r="E272" s="207" t="s">
        <v>525</v>
      </c>
      <c r="F272" s="225">
        <v>16</v>
      </c>
      <c r="G272" s="225">
        <v>3.36</v>
      </c>
      <c r="H272" s="225">
        <v>19.36</v>
      </c>
      <c r="I272" s="24" t="str">
        <f>UPPER(Tabla11[[#This Row],[Comercial]])</f>
        <v>MARIA GARCIA 1254</v>
      </c>
      <c r="J272" s="24" t="str">
        <f>LOWER(Tabla11[[#This Row],[Comercial]])</f>
        <v>maria garcia 1254</v>
      </c>
      <c r="K272" s="227" t="str">
        <f>PROPER(Tabla11[[#This Row],[Comercial]])</f>
        <v>Maria Garcia 1254</v>
      </c>
      <c r="L272" t="s">
        <v>1506</v>
      </c>
      <c r="M272" t="str">
        <f>RIGHT(Tabla11[[#This Row],[Comercial]],4)</f>
        <v>1254</v>
      </c>
      <c r="N272" t="str">
        <f>LEFT(Tabla11[[#This Row],[Minuscula]],6)</f>
        <v xml:space="preserve">maria </v>
      </c>
    </row>
    <row r="273" spans="1:14">
      <c r="A273" s="226">
        <v>1272</v>
      </c>
      <c r="B273" s="224">
        <v>44434</v>
      </c>
      <c r="C273" s="207" t="s">
        <v>1496</v>
      </c>
      <c r="D273" s="207" t="s">
        <v>1503</v>
      </c>
      <c r="E273" s="207" t="s">
        <v>534</v>
      </c>
      <c r="F273" s="225">
        <v>9</v>
      </c>
      <c r="G273" s="225">
        <v>1.89</v>
      </c>
      <c r="H273" s="225">
        <v>10.89</v>
      </c>
      <c r="I273" s="24" t="str">
        <f>UPPER(Tabla11[[#This Row],[Comercial]])</f>
        <v>PABLO LOPEZ 7384</v>
      </c>
      <c r="J273" s="24" t="str">
        <f>LOWER(Tabla11[[#This Row],[Comercial]])</f>
        <v>pablo lopez 7384</v>
      </c>
      <c r="K273" s="227" t="str">
        <f>PROPER(Tabla11[[#This Row],[Comercial]])</f>
        <v>Pablo Lopez 7384</v>
      </c>
      <c r="L273" t="s">
        <v>1508</v>
      </c>
      <c r="M273" t="str">
        <f>RIGHT(Tabla11[[#This Row],[Comercial]],4)</f>
        <v>7384</v>
      </c>
      <c r="N273" t="str">
        <f>LEFT(Tabla11[[#This Row],[Minuscula]],6)</f>
        <v xml:space="preserve">pablo </v>
      </c>
    </row>
    <row r="274" spans="1:14">
      <c r="A274" s="226">
        <v>1273</v>
      </c>
      <c r="B274" s="224">
        <v>44436</v>
      </c>
      <c r="C274" s="207" t="s">
        <v>1495</v>
      </c>
      <c r="D274" s="207" t="s">
        <v>1503</v>
      </c>
      <c r="E274" s="207" t="s">
        <v>525</v>
      </c>
      <c r="F274" s="225">
        <v>20</v>
      </c>
      <c r="G274" s="225">
        <v>4.2</v>
      </c>
      <c r="H274" s="225">
        <v>24.2</v>
      </c>
      <c r="I274" s="24" t="str">
        <f>UPPER(Tabla11[[#This Row],[Comercial]])</f>
        <v>LUIS VALLE 5431</v>
      </c>
      <c r="J274" s="24" t="str">
        <f>LOWER(Tabla11[[#This Row],[Comercial]])</f>
        <v>luis valle 5431</v>
      </c>
      <c r="K274" s="227" t="str">
        <f>PROPER(Tabla11[[#This Row],[Comercial]])</f>
        <v>Luis Valle 5431</v>
      </c>
      <c r="L274" t="s">
        <v>1507</v>
      </c>
      <c r="M274" t="str">
        <f>RIGHT(Tabla11[[#This Row],[Comercial]],4)</f>
        <v>5431</v>
      </c>
      <c r="N274" t="str">
        <f>LEFT(Tabla11[[#This Row],[Minuscula]],6)</f>
        <v>luis v</v>
      </c>
    </row>
    <row r="275" spans="1:14">
      <c r="A275" s="226">
        <v>1274</v>
      </c>
      <c r="B275" s="224">
        <v>44436</v>
      </c>
      <c r="C275" s="207" t="s">
        <v>1501</v>
      </c>
      <c r="D275" s="207" t="s">
        <v>1494</v>
      </c>
      <c r="E275" s="207" t="s">
        <v>530</v>
      </c>
      <c r="F275" s="225">
        <v>46</v>
      </c>
      <c r="G275" s="225">
        <v>9.66</v>
      </c>
      <c r="H275" s="225">
        <v>55.66</v>
      </c>
      <c r="I275" s="24" t="str">
        <f>UPPER(Tabla11[[#This Row],[Comercial]])</f>
        <v>MARIO PEREZ 1123</v>
      </c>
      <c r="J275" s="24" t="str">
        <f>LOWER(Tabla11[[#This Row],[Comercial]])</f>
        <v>mario perez 1123</v>
      </c>
      <c r="K275" s="227" t="str">
        <f>PROPER(Tabla11[[#This Row],[Comercial]])</f>
        <v>Mario Perez 1123</v>
      </c>
      <c r="L275" t="s">
        <v>1510</v>
      </c>
      <c r="M275" t="str">
        <f>RIGHT(Tabla11[[#This Row],[Comercial]],4)</f>
        <v>1123</v>
      </c>
      <c r="N275" t="str">
        <f>LEFT(Tabla11[[#This Row],[Minuscula]],6)</f>
        <v xml:space="preserve">mario </v>
      </c>
    </row>
    <row r="276" spans="1:14">
      <c r="A276" s="226">
        <v>1275</v>
      </c>
      <c r="B276" s="224">
        <v>44436</v>
      </c>
      <c r="C276" s="207" t="s">
        <v>1495</v>
      </c>
      <c r="D276" s="207" t="s">
        <v>1499</v>
      </c>
      <c r="E276" s="207" t="s">
        <v>534</v>
      </c>
      <c r="F276" s="225">
        <v>9</v>
      </c>
      <c r="G276" s="225">
        <v>1.89</v>
      </c>
      <c r="H276" s="225">
        <v>10.89</v>
      </c>
      <c r="I276" s="24" t="str">
        <f>UPPER(Tabla11[[#This Row],[Comercial]])</f>
        <v>LUIS VALLE 5431</v>
      </c>
      <c r="J276" s="24" t="str">
        <f>LOWER(Tabla11[[#This Row],[Comercial]])</f>
        <v>luis valle 5431</v>
      </c>
      <c r="K276" s="227" t="str">
        <f>PROPER(Tabla11[[#This Row],[Comercial]])</f>
        <v>Luis Valle 5431</v>
      </c>
      <c r="L276" t="s">
        <v>1507</v>
      </c>
      <c r="M276" t="str">
        <f>RIGHT(Tabla11[[#This Row],[Comercial]],4)</f>
        <v>5431</v>
      </c>
      <c r="N276" t="str">
        <f>LEFT(Tabla11[[#This Row],[Minuscula]],6)</f>
        <v>luis v</v>
      </c>
    </row>
    <row r="277" spans="1:14">
      <c r="A277" s="226">
        <v>1276</v>
      </c>
      <c r="B277" s="224">
        <v>44436</v>
      </c>
      <c r="C277" s="207" t="s">
        <v>1501</v>
      </c>
      <c r="D277" s="207" t="s">
        <v>1502</v>
      </c>
      <c r="E277" s="207" t="s">
        <v>525</v>
      </c>
      <c r="F277" s="225">
        <v>9</v>
      </c>
      <c r="G277" s="225">
        <v>1.89</v>
      </c>
      <c r="H277" s="225">
        <v>10.89</v>
      </c>
      <c r="I277" s="24" t="str">
        <f>UPPER(Tabla11[[#This Row],[Comercial]])</f>
        <v>MARIO PEREZ 1123</v>
      </c>
      <c r="J277" s="24" t="str">
        <f>LOWER(Tabla11[[#This Row],[Comercial]])</f>
        <v>mario perez 1123</v>
      </c>
      <c r="K277" s="227" t="str">
        <f>PROPER(Tabla11[[#This Row],[Comercial]])</f>
        <v>Mario Perez 1123</v>
      </c>
      <c r="L277" t="s">
        <v>1510</v>
      </c>
      <c r="M277" t="str">
        <f>RIGHT(Tabla11[[#This Row],[Comercial]],4)</f>
        <v>1123</v>
      </c>
      <c r="N277" t="str">
        <f>LEFT(Tabla11[[#This Row],[Minuscula]],6)</f>
        <v xml:space="preserve">mario </v>
      </c>
    </row>
    <row r="278" spans="1:14">
      <c r="A278" s="226">
        <v>1277</v>
      </c>
      <c r="B278" s="224">
        <v>44438</v>
      </c>
      <c r="C278" s="207" t="s">
        <v>1495</v>
      </c>
      <c r="D278" s="207" t="s">
        <v>1503</v>
      </c>
      <c r="E278" s="207" t="s">
        <v>520</v>
      </c>
      <c r="F278" s="225">
        <v>741</v>
      </c>
      <c r="G278" s="225">
        <v>155.61000000000001</v>
      </c>
      <c r="H278" s="225">
        <v>896.61</v>
      </c>
      <c r="I278" s="24" t="str">
        <f>UPPER(Tabla11[[#This Row],[Comercial]])</f>
        <v>LUIS VALLE 5431</v>
      </c>
      <c r="J278" s="24" t="str">
        <f>LOWER(Tabla11[[#This Row],[Comercial]])</f>
        <v>luis valle 5431</v>
      </c>
      <c r="K278" s="227" t="str">
        <f>PROPER(Tabla11[[#This Row],[Comercial]])</f>
        <v>Luis Valle 5431</v>
      </c>
      <c r="L278" t="s">
        <v>1507</v>
      </c>
      <c r="M278" t="str">
        <f>RIGHT(Tabla11[[#This Row],[Comercial]],4)</f>
        <v>5431</v>
      </c>
      <c r="N278" t="str">
        <f>LEFT(Tabla11[[#This Row],[Minuscula]],6)</f>
        <v>luis v</v>
      </c>
    </row>
    <row r="279" spans="1:14">
      <c r="A279" s="226">
        <v>1278</v>
      </c>
      <c r="B279" s="224">
        <v>44439</v>
      </c>
      <c r="C279" s="207" t="s">
        <v>1495</v>
      </c>
      <c r="D279" s="207" t="s">
        <v>1503</v>
      </c>
      <c r="E279" s="207" t="s">
        <v>525</v>
      </c>
      <c r="F279" s="225">
        <v>18</v>
      </c>
      <c r="G279" s="225">
        <v>3.78</v>
      </c>
      <c r="H279" s="225">
        <v>21.78</v>
      </c>
      <c r="I279" s="24" t="str">
        <f>UPPER(Tabla11[[#This Row],[Comercial]])</f>
        <v>LUIS VALLE 5431</v>
      </c>
      <c r="J279" s="24" t="str">
        <f>LOWER(Tabla11[[#This Row],[Comercial]])</f>
        <v>luis valle 5431</v>
      </c>
      <c r="K279" s="227" t="str">
        <f>PROPER(Tabla11[[#This Row],[Comercial]])</f>
        <v>Luis Valle 5431</v>
      </c>
      <c r="L279" t="s">
        <v>1507</v>
      </c>
      <c r="M279" t="str">
        <f>RIGHT(Tabla11[[#This Row],[Comercial]],4)</f>
        <v>5431</v>
      </c>
      <c r="N279" t="str">
        <f>LEFT(Tabla11[[#This Row],[Minuscula]],6)</f>
        <v>luis v</v>
      </c>
    </row>
    <row r="280" spans="1:14">
      <c r="A280" s="226">
        <v>1279</v>
      </c>
      <c r="B280" s="224">
        <v>44439</v>
      </c>
      <c r="C280" s="207" t="s">
        <v>1500</v>
      </c>
      <c r="D280" s="207" t="s">
        <v>1499</v>
      </c>
      <c r="E280" s="207" t="s">
        <v>530</v>
      </c>
      <c r="F280" s="225">
        <v>11</v>
      </c>
      <c r="G280" s="225">
        <v>2.31</v>
      </c>
      <c r="H280" s="225">
        <v>13.31</v>
      </c>
      <c r="I280" s="24" t="str">
        <f>UPPER(Tabla11[[#This Row],[Comercial]])</f>
        <v>ANA FERNANDEZZ 4321</v>
      </c>
      <c r="J280" s="24" t="str">
        <f>LOWER(Tabla11[[#This Row],[Comercial]])</f>
        <v>ana fernandezz 4321</v>
      </c>
      <c r="K280" s="227" t="str">
        <f>PROPER(Tabla11[[#This Row],[Comercial]])</f>
        <v>Ana Fernandezz 4321</v>
      </c>
      <c r="L280" t="s">
        <v>1509</v>
      </c>
      <c r="M280" t="str">
        <f>RIGHT(Tabla11[[#This Row],[Comercial]],4)</f>
        <v>4321</v>
      </c>
      <c r="N280" t="str">
        <f>LEFT(Tabla11[[#This Row],[Minuscula]],6)</f>
        <v>ana fe</v>
      </c>
    </row>
    <row r="281" spans="1:14">
      <c r="A281" s="226">
        <v>1280</v>
      </c>
      <c r="B281" s="224">
        <v>44440</v>
      </c>
      <c r="C281" s="207" t="s">
        <v>1495</v>
      </c>
      <c r="D281" s="207" t="s">
        <v>1503</v>
      </c>
      <c r="E281" s="207" t="s">
        <v>525</v>
      </c>
      <c r="F281" s="225">
        <v>41</v>
      </c>
      <c r="G281" s="225">
        <v>8.61</v>
      </c>
      <c r="H281" s="225">
        <v>49.61</v>
      </c>
      <c r="I281" s="24" t="str">
        <f>UPPER(Tabla11[[#This Row],[Comercial]])</f>
        <v>LUIS VALLE 5431</v>
      </c>
      <c r="J281" s="24" t="str">
        <f>LOWER(Tabla11[[#This Row],[Comercial]])</f>
        <v>luis valle 5431</v>
      </c>
      <c r="K281" s="227" t="str">
        <f>PROPER(Tabla11[[#This Row],[Comercial]])</f>
        <v>Luis Valle 5431</v>
      </c>
      <c r="L281" t="s">
        <v>1507</v>
      </c>
      <c r="M281" t="str">
        <f>RIGHT(Tabla11[[#This Row],[Comercial]],4)</f>
        <v>5431</v>
      </c>
      <c r="N281" t="str">
        <f>LEFT(Tabla11[[#This Row],[Minuscula]],6)</f>
        <v>luis v</v>
      </c>
    </row>
    <row r="282" spans="1:14">
      <c r="A282" s="226">
        <v>1281</v>
      </c>
      <c r="B282" s="224">
        <v>44441</v>
      </c>
      <c r="C282" s="207" t="s">
        <v>1504</v>
      </c>
      <c r="D282" s="207" t="s">
        <v>1503</v>
      </c>
      <c r="E282" s="207" t="s">
        <v>525</v>
      </c>
      <c r="F282" s="225">
        <v>42</v>
      </c>
      <c r="G282" s="225">
        <v>8.82</v>
      </c>
      <c r="H282" s="225">
        <v>50.82</v>
      </c>
      <c r="I282" s="24" t="str">
        <f>UPPER(Tabla11[[#This Row],[Comercial]])</f>
        <v>MARIA GARCIA 1254</v>
      </c>
      <c r="J282" s="24" t="str">
        <f>LOWER(Tabla11[[#This Row],[Comercial]])</f>
        <v>maria garcia 1254</v>
      </c>
      <c r="K282" s="227" t="str">
        <f>PROPER(Tabla11[[#This Row],[Comercial]])</f>
        <v>Maria Garcia 1254</v>
      </c>
      <c r="L282" t="s">
        <v>1506</v>
      </c>
      <c r="M282" t="str">
        <f>RIGHT(Tabla11[[#This Row],[Comercial]],4)</f>
        <v>1254</v>
      </c>
      <c r="N282" t="str">
        <f>LEFT(Tabla11[[#This Row],[Minuscula]],6)</f>
        <v xml:space="preserve">maria </v>
      </c>
    </row>
    <row r="283" spans="1:14">
      <c r="A283" s="226">
        <v>1282</v>
      </c>
      <c r="B283" s="224">
        <v>44441</v>
      </c>
      <c r="C283" s="207" t="s">
        <v>1495</v>
      </c>
      <c r="D283" s="207" t="s">
        <v>1497</v>
      </c>
      <c r="E283" s="207" t="s">
        <v>525</v>
      </c>
      <c r="F283" s="225">
        <v>12</v>
      </c>
      <c r="G283" s="225">
        <v>2.52</v>
      </c>
      <c r="H283" s="225">
        <v>14.52</v>
      </c>
      <c r="I283" s="24" t="str">
        <f>UPPER(Tabla11[[#This Row],[Comercial]])</f>
        <v>LUIS VALLE 5431</v>
      </c>
      <c r="J283" s="24" t="str">
        <f>LOWER(Tabla11[[#This Row],[Comercial]])</f>
        <v>luis valle 5431</v>
      </c>
      <c r="K283" s="227" t="str">
        <f>PROPER(Tabla11[[#This Row],[Comercial]])</f>
        <v>Luis Valle 5431</v>
      </c>
      <c r="L283" t="s">
        <v>1507</v>
      </c>
      <c r="M283" t="str">
        <f>RIGHT(Tabla11[[#This Row],[Comercial]],4)</f>
        <v>5431</v>
      </c>
      <c r="N283" t="str">
        <f>LEFT(Tabla11[[#This Row],[Minuscula]],6)</f>
        <v>luis v</v>
      </c>
    </row>
    <row r="284" spans="1:14">
      <c r="A284" s="226">
        <v>1283</v>
      </c>
      <c r="B284" s="224">
        <v>44442</v>
      </c>
      <c r="C284" s="207" t="s">
        <v>1504</v>
      </c>
      <c r="D284" s="207" t="s">
        <v>1497</v>
      </c>
      <c r="E284" s="207" t="s">
        <v>525</v>
      </c>
      <c r="F284" s="225">
        <v>9</v>
      </c>
      <c r="G284" s="225">
        <v>1.89</v>
      </c>
      <c r="H284" s="225">
        <v>10.89</v>
      </c>
      <c r="I284" s="24" t="str">
        <f>UPPER(Tabla11[[#This Row],[Comercial]])</f>
        <v>MARIA GARCIA 1254</v>
      </c>
      <c r="J284" s="24" t="str">
        <f>LOWER(Tabla11[[#This Row],[Comercial]])</f>
        <v>maria garcia 1254</v>
      </c>
      <c r="K284" s="227" t="str">
        <f>PROPER(Tabla11[[#This Row],[Comercial]])</f>
        <v>Maria Garcia 1254</v>
      </c>
      <c r="L284" t="s">
        <v>1506</v>
      </c>
      <c r="M284" t="str">
        <f>RIGHT(Tabla11[[#This Row],[Comercial]],4)</f>
        <v>1254</v>
      </c>
      <c r="N284" t="str">
        <f>LEFT(Tabla11[[#This Row],[Minuscula]],6)</f>
        <v xml:space="preserve">maria </v>
      </c>
    </row>
    <row r="285" spans="1:14">
      <c r="A285" s="226">
        <v>1284</v>
      </c>
      <c r="B285" s="224">
        <v>44443</v>
      </c>
      <c r="C285" s="207" t="s">
        <v>1496</v>
      </c>
      <c r="D285" s="207" t="s">
        <v>1494</v>
      </c>
      <c r="E285" s="207" t="s">
        <v>530</v>
      </c>
      <c r="F285" s="225">
        <v>45</v>
      </c>
      <c r="G285" s="225">
        <v>9.4499999999999993</v>
      </c>
      <c r="H285" s="225">
        <v>54.45</v>
      </c>
      <c r="I285" s="24" t="str">
        <f>UPPER(Tabla11[[#This Row],[Comercial]])</f>
        <v>PABLO LOPEZ 7384</v>
      </c>
      <c r="J285" s="24" t="str">
        <f>LOWER(Tabla11[[#This Row],[Comercial]])</f>
        <v>pablo lopez 7384</v>
      </c>
      <c r="K285" s="227" t="str">
        <f>PROPER(Tabla11[[#This Row],[Comercial]])</f>
        <v>Pablo Lopez 7384</v>
      </c>
      <c r="L285" t="s">
        <v>1508</v>
      </c>
      <c r="M285" t="str">
        <f>RIGHT(Tabla11[[#This Row],[Comercial]],4)</f>
        <v>7384</v>
      </c>
      <c r="N285" t="str">
        <f>LEFT(Tabla11[[#This Row],[Minuscula]],6)</f>
        <v xml:space="preserve">pablo </v>
      </c>
    </row>
    <row r="286" spans="1:14">
      <c r="A286" s="226">
        <v>1285</v>
      </c>
      <c r="B286" s="224">
        <v>44443</v>
      </c>
      <c r="C286" s="207" t="s">
        <v>1504</v>
      </c>
      <c r="D286" s="207" t="s">
        <v>1499</v>
      </c>
      <c r="E286" s="207" t="s">
        <v>525</v>
      </c>
      <c r="F286" s="225">
        <v>6</v>
      </c>
      <c r="G286" s="225">
        <v>1.26</v>
      </c>
      <c r="H286" s="225">
        <v>7.26</v>
      </c>
      <c r="I286" s="24" t="str">
        <f>UPPER(Tabla11[[#This Row],[Comercial]])</f>
        <v>MARIA GARCIA 1254</v>
      </c>
      <c r="J286" s="24" t="str">
        <f>LOWER(Tabla11[[#This Row],[Comercial]])</f>
        <v>maria garcia 1254</v>
      </c>
      <c r="K286" s="227" t="str">
        <f>PROPER(Tabla11[[#This Row],[Comercial]])</f>
        <v>Maria Garcia 1254</v>
      </c>
      <c r="L286" t="s">
        <v>1506</v>
      </c>
      <c r="M286" t="str">
        <f>RIGHT(Tabla11[[#This Row],[Comercial]],4)</f>
        <v>1254</v>
      </c>
      <c r="N286" t="str">
        <f>LEFT(Tabla11[[#This Row],[Minuscula]],6)</f>
        <v xml:space="preserve">maria </v>
      </c>
    </row>
    <row r="287" spans="1:14">
      <c r="A287" s="226">
        <v>1286</v>
      </c>
      <c r="B287" s="224">
        <v>44444</v>
      </c>
      <c r="C287" s="207" t="s">
        <v>1495</v>
      </c>
      <c r="D287" s="207" t="s">
        <v>1497</v>
      </c>
      <c r="E287" s="207" t="s">
        <v>525</v>
      </c>
      <c r="F287" s="225">
        <v>12</v>
      </c>
      <c r="G287" s="225">
        <v>2.52</v>
      </c>
      <c r="H287" s="225">
        <v>14.52</v>
      </c>
      <c r="I287" s="24" t="str">
        <f>UPPER(Tabla11[[#This Row],[Comercial]])</f>
        <v>LUIS VALLE 5431</v>
      </c>
      <c r="J287" s="24" t="str">
        <f>LOWER(Tabla11[[#This Row],[Comercial]])</f>
        <v>luis valle 5431</v>
      </c>
      <c r="K287" s="227" t="str">
        <f>PROPER(Tabla11[[#This Row],[Comercial]])</f>
        <v>Luis Valle 5431</v>
      </c>
      <c r="L287" t="s">
        <v>1507</v>
      </c>
      <c r="M287" t="str">
        <f>RIGHT(Tabla11[[#This Row],[Comercial]],4)</f>
        <v>5431</v>
      </c>
      <c r="N287" t="str">
        <f>LEFT(Tabla11[[#This Row],[Minuscula]],6)</f>
        <v>luis v</v>
      </c>
    </row>
    <row r="288" spans="1:14">
      <c r="A288" s="226">
        <v>1287</v>
      </c>
      <c r="B288" s="224">
        <v>44448</v>
      </c>
      <c r="C288" s="207" t="s">
        <v>1500</v>
      </c>
      <c r="D288" s="207" t="s">
        <v>1499</v>
      </c>
      <c r="E288" s="207" t="s">
        <v>534</v>
      </c>
      <c r="F288" s="225">
        <v>7</v>
      </c>
      <c r="G288" s="225">
        <v>1.47</v>
      </c>
      <c r="H288" s="225">
        <v>8.4700000000000006</v>
      </c>
      <c r="I288" s="24" t="str">
        <f>UPPER(Tabla11[[#This Row],[Comercial]])</f>
        <v>ANA FERNANDEZZ 4321</v>
      </c>
      <c r="J288" s="24" t="str">
        <f>LOWER(Tabla11[[#This Row],[Comercial]])</f>
        <v>ana fernandezz 4321</v>
      </c>
      <c r="K288" s="227" t="str">
        <f>PROPER(Tabla11[[#This Row],[Comercial]])</f>
        <v>Ana Fernandezz 4321</v>
      </c>
      <c r="L288" t="s">
        <v>1509</v>
      </c>
      <c r="M288" t="str">
        <f>RIGHT(Tabla11[[#This Row],[Comercial]],4)</f>
        <v>4321</v>
      </c>
      <c r="N288" t="str">
        <f>LEFT(Tabla11[[#This Row],[Minuscula]],6)</f>
        <v>ana fe</v>
      </c>
    </row>
    <row r="289" spans="1:14">
      <c r="A289" s="226">
        <v>1288</v>
      </c>
      <c r="B289" s="224">
        <v>44450</v>
      </c>
      <c r="C289" s="207" t="s">
        <v>1495</v>
      </c>
      <c r="D289" s="207" t="s">
        <v>1494</v>
      </c>
      <c r="E289" s="207" t="s">
        <v>520</v>
      </c>
      <c r="F289" s="225">
        <v>425</v>
      </c>
      <c r="G289" s="225">
        <v>89.25</v>
      </c>
      <c r="H289" s="225">
        <v>514.25</v>
      </c>
      <c r="I289" s="24" t="str">
        <f>UPPER(Tabla11[[#This Row],[Comercial]])</f>
        <v>LUIS VALLE 5431</v>
      </c>
      <c r="J289" s="24" t="str">
        <f>LOWER(Tabla11[[#This Row],[Comercial]])</f>
        <v>luis valle 5431</v>
      </c>
      <c r="K289" s="227" t="str">
        <f>PROPER(Tabla11[[#This Row],[Comercial]])</f>
        <v>Luis Valle 5431</v>
      </c>
      <c r="L289" t="s">
        <v>1507</v>
      </c>
      <c r="M289" t="str">
        <f>RIGHT(Tabla11[[#This Row],[Comercial]],4)</f>
        <v>5431</v>
      </c>
      <c r="N289" t="str">
        <f>LEFT(Tabla11[[#This Row],[Minuscula]],6)</f>
        <v>luis v</v>
      </c>
    </row>
    <row r="290" spans="1:14">
      <c r="A290" s="226">
        <v>1289</v>
      </c>
      <c r="B290" s="224">
        <v>44451</v>
      </c>
      <c r="C290" s="207" t="s">
        <v>1500</v>
      </c>
      <c r="D290" s="207" t="s">
        <v>1502</v>
      </c>
      <c r="E290" s="207" t="s">
        <v>520</v>
      </c>
      <c r="F290" s="225">
        <v>423</v>
      </c>
      <c r="G290" s="225">
        <v>88.83</v>
      </c>
      <c r="H290" s="225">
        <v>511.83</v>
      </c>
      <c r="I290" s="24" t="str">
        <f>UPPER(Tabla11[[#This Row],[Comercial]])</f>
        <v>ANA FERNANDEZZ 4321</v>
      </c>
      <c r="J290" s="24" t="str">
        <f>LOWER(Tabla11[[#This Row],[Comercial]])</f>
        <v>ana fernandezz 4321</v>
      </c>
      <c r="K290" s="227" t="str">
        <f>PROPER(Tabla11[[#This Row],[Comercial]])</f>
        <v>Ana Fernandezz 4321</v>
      </c>
      <c r="L290" t="s">
        <v>1509</v>
      </c>
      <c r="M290" t="str">
        <f>RIGHT(Tabla11[[#This Row],[Comercial]],4)</f>
        <v>4321</v>
      </c>
      <c r="N290" t="str">
        <f>LEFT(Tabla11[[#This Row],[Minuscula]],6)</f>
        <v>ana fe</v>
      </c>
    </row>
    <row r="291" spans="1:14">
      <c r="A291" s="226">
        <v>1290</v>
      </c>
      <c r="B291" s="224">
        <v>44451</v>
      </c>
      <c r="C291" s="207" t="s">
        <v>1504</v>
      </c>
      <c r="D291" s="207" t="s">
        <v>1499</v>
      </c>
      <c r="E291" s="207" t="s">
        <v>518</v>
      </c>
      <c r="F291" s="225">
        <v>80</v>
      </c>
      <c r="G291" s="225">
        <v>16.8</v>
      </c>
      <c r="H291" s="225">
        <v>96.8</v>
      </c>
      <c r="I291" s="24" t="str">
        <f>UPPER(Tabla11[[#This Row],[Comercial]])</f>
        <v>MARIA GARCIA 1254</v>
      </c>
      <c r="J291" s="24" t="str">
        <f>LOWER(Tabla11[[#This Row],[Comercial]])</f>
        <v>maria garcia 1254</v>
      </c>
      <c r="K291" s="227" t="str">
        <f>PROPER(Tabla11[[#This Row],[Comercial]])</f>
        <v>Maria Garcia 1254</v>
      </c>
      <c r="L291" t="s">
        <v>1506</v>
      </c>
      <c r="M291" t="str">
        <f>RIGHT(Tabla11[[#This Row],[Comercial]],4)</f>
        <v>1254</v>
      </c>
      <c r="N291" t="str">
        <f>LEFT(Tabla11[[#This Row],[Minuscula]],6)</f>
        <v xml:space="preserve">maria </v>
      </c>
    </row>
    <row r="292" spans="1:14">
      <c r="A292" s="226">
        <v>1291</v>
      </c>
      <c r="B292" s="224">
        <v>44451</v>
      </c>
      <c r="C292" s="207" t="s">
        <v>1501</v>
      </c>
      <c r="D292" s="207" t="s">
        <v>1502</v>
      </c>
      <c r="E292" s="207" t="s">
        <v>520</v>
      </c>
      <c r="F292" s="225">
        <v>347</v>
      </c>
      <c r="G292" s="225">
        <v>72.87</v>
      </c>
      <c r="H292" s="225">
        <v>419.87</v>
      </c>
      <c r="I292" s="24" t="str">
        <f>UPPER(Tabla11[[#This Row],[Comercial]])</f>
        <v>MARIO PEREZ 1123</v>
      </c>
      <c r="J292" s="24" t="str">
        <f>LOWER(Tabla11[[#This Row],[Comercial]])</f>
        <v>mario perez 1123</v>
      </c>
      <c r="K292" s="227" t="str">
        <f>PROPER(Tabla11[[#This Row],[Comercial]])</f>
        <v>Mario Perez 1123</v>
      </c>
      <c r="L292" t="s">
        <v>1510</v>
      </c>
      <c r="M292" t="str">
        <f>RIGHT(Tabla11[[#This Row],[Comercial]],4)</f>
        <v>1123</v>
      </c>
      <c r="N292" t="str">
        <f>LEFT(Tabla11[[#This Row],[Minuscula]],6)</f>
        <v xml:space="preserve">mario </v>
      </c>
    </row>
    <row r="293" spans="1:14">
      <c r="A293" s="226">
        <v>1292</v>
      </c>
      <c r="B293" s="224">
        <v>44451</v>
      </c>
      <c r="C293" s="207" t="s">
        <v>1501</v>
      </c>
      <c r="D293" s="207" t="s">
        <v>1494</v>
      </c>
      <c r="E293" s="207" t="s">
        <v>520</v>
      </c>
      <c r="F293" s="225">
        <v>638</v>
      </c>
      <c r="G293" s="225">
        <v>133.97999999999999</v>
      </c>
      <c r="H293" s="225">
        <v>771.98</v>
      </c>
      <c r="I293" s="24" t="str">
        <f>UPPER(Tabla11[[#This Row],[Comercial]])</f>
        <v>MARIO PEREZ 1123</v>
      </c>
      <c r="J293" s="24" t="str">
        <f>LOWER(Tabla11[[#This Row],[Comercial]])</f>
        <v>mario perez 1123</v>
      </c>
      <c r="K293" s="227" t="str">
        <f>PROPER(Tabla11[[#This Row],[Comercial]])</f>
        <v>Mario Perez 1123</v>
      </c>
      <c r="L293" t="s">
        <v>1510</v>
      </c>
      <c r="M293" t="str">
        <f>RIGHT(Tabla11[[#This Row],[Comercial]],4)</f>
        <v>1123</v>
      </c>
      <c r="N293" t="str">
        <f>LEFT(Tabla11[[#This Row],[Minuscula]],6)</f>
        <v xml:space="preserve">mario </v>
      </c>
    </row>
    <row r="294" spans="1:14">
      <c r="A294" s="226">
        <v>1293</v>
      </c>
      <c r="B294" s="224">
        <v>44452</v>
      </c>
      <c r="C294" s="207" t="s">
        <v>1496</v>
      </c>
      <c r="D294" s="207" t="s">
        <v>1503</v>
      </c>
      <c r="E294" s="207" t="s">
        <v>530</v>
      </c>
      <c r="F294" s="225">
        <v>46</v>
      </c>
      <c r="G294" s="225">
        <v>9.66</v>
      </c>
      <c r="H294" s="225">
        <v>55.66</v>
      </c>
      <c r="I294" s="24" t="str">
        <f>UPPER(Tabla11[[#This Row],[Comercial]])</f>
        <v>PABLO LOPEZ 7384</v>
      </c>
      <c r="J294" s="24" t="str">
        <f>LOWER(Tabla11[[#This Row],[Comercial]])</f>
        <v>pablo lopez 7384</v>
      </c>
      <c r="K294" s="227" t="str">
        <f>PROPER(Tabla11[[#This Row],[Comercial]])</f>
        <v>Pablo Lopez 7384</v>
      </c>
      <c r="L294" t="s">
        <v>1508</v>
      </c>
      <c r="M294" t="str">
        <f>RIGHT(Tabla11[[#This Row],[Comercial]],4)</f>
        <v>7384</v>
      </c>
      <c r="N294" t="str">
        <f>LEFT(Tabla11[[#This Row],[Minuscula]],6)</f>
        <v xml:space="preserve">pablo </v>
      </c>
    </row>
    <row r="295" spans="1:14">
      <c r="A295" s="226">
        <v>1294</v>
      </c>
      <c r="B295" s="224">
        <v>44452</v>
      </c>
      <c r="C295" s="207" t="s">
        <v>1496</v>
      </c>
      <c r="D295" s="207" t="s">
        <v>1494</v>
      </c>
      <c r="E295" s="207" t="s">
        <v>525</v>
      </c>
      <c r="F295" s="225">
        <v>20</v>
      </c>
      <c r="G295" s="225">
        <v>4.2</v>
      </c>
      <c r="H295" s="225">
        <v>24.2</v>
      </c>
      <c r="I295" s="24" t="str">
        <f>UPPER(Tabla11[[#This Row],[Comercial]])</f>
        <v>PABLO LOPEZ 7384</v>
      </c>
      <c r="J295" s="24" t="str">
        <f>LOWER(Tabla11[[#This Row],[Comercial]])</f>
        <v>pablo lopez 7384</v>
      </c>
      <c r="K295" s="227" t="str">
        <f>PROPER(Tabla11[[#This Row],[Comercial]])</f>
        <v>Pablo Lopez 7384</v>
      </c>
      <c r="L295" t="s">
        <v>1508</v>
      </c>
      <c r="M295" t="str">
        <f>RIGHT(Tabla11[[#This Row],[Comercial]],4)</f>
        <v>7384</v>
      </c>
      <c r="N295" t="str">
        <f>LEFT(Tabla11[[#This Row],[Minuscula]],6)</f>
        <v xml:space="preserve">pablo </v>
      </c>
    </row>
    <row r="296" spans="1:14">
      <c r="A296" s="226">
        <v>1295</v>
      </c>
      <c r="B296" s="224">
        <v>44452</v>
      </c>
      <c r="C296" s="207" t="s">
        <v>1504</v>
      </c>
      <c r="D296" s="207" t="s">
        <v>1494</v>
      </c>
      <c r="E296" s="207" t="s">
        <v>525</v>
      </c>
      <c r="F296" s="225">
        <v>37</v>
      </c>
      <c r="G296" s="225">
        <v>7.77</v>
      </c>
      <c r="H296" s="225">
        <v>44.77</v>
      </c>
      <c r="I296" s="24" t="str">
        <f>UPPER(Tabla11[[#This Row],[Comercial]])</f>
        <v>MARIA GARCIA 1254</v>
      </c>
      <c r="J296" s="24" t="str">
        <f>LOWER(Tabla11[[#This Row],[Comercial]])</f>
        <v>maria garcia 1254</v>
      </c>
      <c r="K296" s="227" t="str">
        <f>PROPER(Tabla11[[#This Row],[Comercial]])</f>
        <v>Maria Garcia 1254</v>
      </c>
      <c r="L296" t="s">
        <v>1506</v>
      </c>
      <c r="M296" t="str">
        <f>RIGHT(Tabla11[[#This Row],[Comercial]],4)</f>
        <v>1254</v>
      </c>
      <c r="N296" t="str">
        <f>LEFT(Tabla11[[#This Row],[Minuscula]],6)</f>
        <v xml:space="preserve">maria </v>
      </c>
    </row>
    <row r="297" spans="1:14">
      <c r="A297" s="226">
        <v>1296</v>
      </c>
      <c r="B297" s="224">
        <v>44453</v>
      </c>
      <c r="C297" s="207" t="s">
        <v>1496</v>
      </c>
      <c r="D297" s="207" t="s">
        <v>1499</v>
      </c>
      <c r="E297" s="207" t="s">
        <v>518</v>
      </c>
      <c r="F297" s="225">
        <v>57</v>
      </c>
      <c r="G297" s="225">
        <v>11.97</v>
      </c>
      <c r="H297" s="225">
        <v>68.97</v>
      </c>
      <c r="I297" s="24" t="str">
        <f>UPPER(Tabla11[[#This Row],[Comercial]])</f>
        <v>PABLO LOPEZ 7384</v>
      </c>
      <c r="J297" s="24" t="str">
        <f>LOWER(Tabla11[[#This Row],[Comercial]])</f>
        <v>pablo lopez 7384</v>
      </c>
      <c r="K297" s="227" t="str">
        <f>PROPER(Tabla11[[#This Row],[Comercial]])</f>
        <v>Pablo Lopez 7384</v>
      </c>
      <c r="L297" t="s">
        <v>1508</v>
      </c>
      <c r="M297" t="str">
        <f>RIGHT(Tabla11[[#This Row],[Comercial]],4)</f>
        <v>7384</v>
      </c>
      <c r="N297" t="str">
        <f>LEFT(Tabla11[[#This Row],[Minuscula]],6)</f>
        <v xml:space="preserve">pablo </v>
      </c>
    </row>
    <row r="298" spans="1:14">
      <c r="A298" s="226">
        <v>1297</v>
      </c>
      <c r="B298" s="224">
        <v>44453</v>
      </c>
      <c r="C298" s="207" t="s">
        <v>1500</v>
      </c>
      <c r="D298" s="207" t="s">
        <v>1494</v>
      </c>
      <c r="E298" s="207" t="s">
        <v>534</v>
      </c>
      <c r="F298" s="225">
        <v>9</v>
      </c>
      <c r="G298" s="225">
        <v>1.89</v>
      </c>
      <c r="H298" s="225">
        <v>10.89</v>
      </c>
      <c r="I298" s="24" t="str">
        <f>UPPER(Tabla11[[#This Row],[Comercial]])</f>
        <v>ANA FERNANDEZZ 4321</v>
      </c>
      <c r="J298" s="24" t="str">
        <f>LOWER(Tabla11[[#This Row],[Comercial]])</f>
        <v>ana fernandezz 4321</v>
      </c>
      <c r="K298" s="227" t="str">
        <f>PROPER(Tabla11[[#This Row],[Comercial]])</f>
        <v>Ana Fernandezz 4321</v>
      </c>
      <c r="L298" t="s">
        <v>1509</v>
      </c>
      <c r="M298" t="str">
        <f>RIGHT(Tabla11[[#This Row],[Comercial]],4)</f>
        <v>4321</v>
      </c>
      <c r="N298" t="str">
        <f>LEFT(Tabla11[[#This Row],[Minuscula]],6)</f>
        <v>ana fe</v>
      </c>
    </row>
    <row r="299" spans="1:14">
      <c r="A299" s="226">
        <v>1298</v>
      </c>
      <c r="B299" s="224">
        <v>44454</v>
      </c>
      <c r="C299" s="207" t="s">
        <v>1504</v>
      </c>
      <c r="D299" s="207" t="s">
        <v>1503</v>
      </c>
      <c r="E299" s="207" t="s">
        <v>534</v>
      </c>
      <c r="F299" s="225">
        <v>5</v>
      </c>
      <c r="G299" s="225">
        <v>1.05</v>
      </c>
      <c r="H299" s="225">
        <v>6.05</v>
      </c>
      <c r="I299" s="24" t="str">
        <f>UPPER(Tabla11[[#This Row],[Comercial]])</f>
        <v>MARIA GARCIA 1254</v>
      </c>
      <c r="J299" s="24" t="str">
        <f>LOWER(Tabla11[[#This Row],[Comercial]])</f>
        <v>maria garcia 1254</v>
      </c>
      <c r="K299" s="227" t="str">
        <f>PROPER(Tabla11[[#This Row],[Comercial]])</f>
        <v>Maria Garcia 1254</v>
      </c>
      <c r="L299" t="s">
        <v>1506</v>
      </c>
      <c r="M299" t="str">
        <f>RIGHT(Tabla11[[#This Row],[Comercial]],4)</f>
        <v>1254</v>
      </c>
      <c r="N299" t="str">
        <f>LEFT(Tabla11[[#This Row],[Minuscula]],6)</f>
        <v xml:space="preserve">maria </v>
      </c>
    </row>
    <row r="300" spans="1:14">
      <c r="A300" s="226">
        <v>1299</v>
      </c>
      <c r="B300" s="224">
        <v>44455</v>
      </c>
      <c r="C300" s="207" t="s">
        <v>1501</v>
      </c>
      <c r="D300" s="207" t="s">
        <v>1499</v>
      </c>
      <c r="E300" s="207" t="s">
        <v>530</v>
      </c>
      <c r="F300" s="225">
        <v>18</v>
      </c>
      <c r="G300" s="225">
        <v>3.78</v>
      </c>
      <c r="H300" s="225">
        <v>21.78</v>
      </c>
      <c r="I300" s="24" t="str">
        <f>UPPER(Tabla11[[#This Row],[Comercial]])</f>
        <v>MARIO PEREZ 1123</v>
      </c>
      <c r="J300" s="24" t="str">
        <f>LOWER(Tabla11[[#This Row],[Comercial]])</f>
        <v>mario perez 1123</v>
      </c>
      <c r="K300" s="227" t="str">
        <f>PROPER(Tabla11[[#This Row],[Comercial]])</f>
        <v>Mario Perez 1123</v>
      </c>
      <c r="L300" t="s">
        <v>1510</v>
      </c>
      <c r="M300" t="str">
        <f>RIGHT(Tabla11[[#This Row],[Comercial]],4)</f>
        <v>1123</v>
      </c>
      <c r="N300" t="str">
        <f>LEFT(Tabla11[[#This Row],[Minuscula]],6)</f>
        <v xml:space="preserve">mario </v>
      </c>
    </row>
    <row r="301" spans="1:14">
      <c r="A301" s="226">
        <v>1300</v>
      </c>
      <c r="B301" s="224">
        <v>44455</v>
      </c>
      <c r="C301" s="207" t="s">
        <v>1500</v>
      </c>
      <c r="D301" s="207" t="s">
        <v>1502</v>
      </c>
      <c r="E301" s="207" t="s">
        <v>518</v>
      </c>
      <c r="F301" s="225">
        <v>16</v>
      </c>
      <c r="G301" s="225">
        <v>3.36</v>
      </c>
      <c r="H301" s="225">
        <v>19.36</v>
      </c>
      <c r="I301" s="24" t="str">
        <f>UPPER(Tabla11[[#This Row],[Comercial]])</f>
        <v>ANA FERNANDEZZ 4321</v>
      </c>
      <c r="J301" s="24" t="str">
        <f>LOWER(Tabla11[[#This Row],[Comercial]])</f>
        <v>ana fernandezz 4321</v>
      </c>
      <c r="K301" s="227" t="str">
        <f>PROPER(Tabla11[[#This Row],[Comercial]])</f>
        <v>Ana Fernandezz 4321</v>
      </c>
      <c r="L301" t="s">
        <v>1509</v>
      </c>
      <c r="M301" t="str">
        <f>RIGHT(Tabla11[[#This Row],[Comercial]],4)</f>
        <v>4321</v>
      </c>
      <c r="N301" t="str">
        <f>LEFT(Tabla11[[#This Row],[Minuscula]],6)</f>
        <v>ana fe</v>
      </c>
    </row>
    <row r="302" spans="1:14">
      <c r="A302" s="226">
        <v>1301</v>
      </c>
      <c r="B302" s="224">
        <v>44456</v>
      </c>
      <c r="C302" s="207" t="s">
        <v>1496</v>
      </c>
      <c r="D302" s="207" t="s">
        <v>1497</v>
      </c>
      <c r="E302" s="207" t="s">
        <v>520</v>
      </c>
      <c r="F302" s="225">
        <v>360</v>
      </c>
      <c r="G302" s="225">
        <v>75.599999999999994</v>
      </c>
      <c r="H302" s="225">
        <v>435.6</v>
      </c>
      <c r="I302" s="24" t="str">
        <f>UPPER(Tabla11[[#This Row],[Comercial]])</f>
        <v>PABLO LOPEZ 7384</v>
      </c>
      <c r="J302" s="24" t="str">
        <f>LOWER(Tabla11[[#This Row],[Comercial]])</f>
        <v>pablo lopez 7384</v>
      </c>
      <c r="K302" s="227" t="str">
        <f>PROPER(Tabla11[[#This Row],[Comercial]])</f>
        <v>Pablo Lopez 7384</v>
      </c>
      <c r="L302" t="s">
        <v>1508</v>
      </c>
      <c r="M302" t="str">
        <f>RIGHT(Tabla11[[#This Row],[Comercial]],4)</f>
        <v>7384</v>
      </c>
      <c r="N302" t="str">
        <f>LEFT(Tabla11[[#This Row],[Minuscula]],6)</f>
        <v xml:space="preserve">pablo </v>
      </c>
    </row>
    <row r="303" spans="1:14">
      <c r="A303" s="226">
        <v>1302</v>
      </c>
      <c r="B303" s="224">
        <v>44458</v>
      </c>
      <c r="C303" s="207" t="s">
        <v>1496</v>
      </c>
      <c r="D303" s="207" t="s">
        <v>1502</v>
      </c>
      <c r="E303" s="207" t="s">
        <v>534</v>
      </c>
      <c r="F303" s="225">
        <v>7</v>
      </c>
      <c r="G303" s="225">
        <v>1.47</v>
      </c>
      <c r="H303" s="225">
        <v>8.4700000000000006</v>
      </c>
      <c r="I303" s="24" t="str">
        <f>UPPER(Tabla11[[#This Row],[Comercial]])</f>
        <v>PABLO LOPEZ 7384</v>
      </c>
      <c r="J303" s="24" t="str">
        <f>LOWER(Tabla11[[#This Row],[Comercial]])</f>
        <v>pablo lopez 7384</v>
      </c>
      <c r="K303" s="227" t="str">
        <f>PROPER(Tabla11[[#This Row],[Comercial]])</f>
        <v>Pablo Lopez 7384</v>
      </c>
      <c r="L303" t="s">
        <v>1508</v>
      </c>
      <c r="M303" t="str">
        <f>RIGHT(Tabla11[[#This Row],[Comercial]],4)</f>
        <v>7384</v>
      </c>
      <c r="N303" t="str">
        <f>LEFT(Tabla11[[#This Row],[Minuscula]],6)</f>
        <v xml:space="preserve">pablo </v>
      </c>
    </row>
    <row r="304" spans="1:14">
      <c r="A304" s="226">
        <v>1303</v>
      </c>
      <c r="B304" s="224">
        <v>44458</v>
      </c>
      <c r="C304" s="207" t="s">
        <v>1504</v>
      </c>
      <c r="D304" s="207" t="s">
        <v>1499</v>
      </c>
      <c r="E304" s="207" t="s">
        <v>520</v>
      </c>
      <c r="F304" s="225">
        <v>480</v>
      </c>
      <c r="G304" s="225">
        <v>100.8</v>
      </c>
      <c r="H304" s="225">
        <v>580.79999999999995</v>
      </c>
      <c r="I304" s="24" t="str">
        <f>UPPER(Tabla11[[#This Row],[Comercial]])</f>
        <v>MARIA GARCIA 1254</v>
      </c>
      <c r="J304" s="24" t="str">
        <f>LOWER(Tabla11[[#This Row],[Comercial]])</f>
        <v>maria garcia 1254</v>
      </c>
      <c r="K304" s="227" t="str">
        <f>PROPER(Tabla11[[#This Row],[Comercial]])</f>
        <v>Maria Garcia 1254</v>
      </c>
      <c r="L304" t="s">
        <v>1506</v>
      </c>
      <c r="M304" t="str">
        <f>RIGHT(Tabla11[[#This Row],[Comercial]],4)</f>
        <v>1254</v>
      </c>
      <c r="N304" t="str">
        <f>LEFT(Tabla11[[#This Row],[Minuscula]],6)</f>
        <v xml:space="preserve">maria </v>
      </c>
    </row>
    <row r="305" spans="1:14">
      <c r="A305" s="226">
        <v>1304</v>
      </c>
      <c r="B305" s="224">
        <v>44459</v>
      </c>
      <c r="C305" s="207" t="s">
        <v>1495</v>
      </c>
      <c r="D305" s="207" t="s">
        <v>1502</v>
      </c>
      <c r="E305" s="207" t="s">
        <v>534</v>
      </c>
      <c r="F305" s="225">
        <v>10</v>
      </c>
      <c r="G305" s="225">
        <v>2.1</v>
      </c>
      <c r="H305" s="225">
        <v>12.1</v>
      </c>
      <c r="I305" s="24" t="str">
        <f>UPPER(Tabla11[[#This Row],[Comercial]])</f>
        <v>LUIS VALLE 5431</v>
      </c>
      <c r="J305" s="24" t="str">
        <f>LOWER(Tabla11[[#This Row],[Comercial]])</f>
        <v>luis valle 5431</v>
      </c>
      <c r="K305" s="227" t="str">
        <f>PROPER(Tabla11[[#This Row],[Comercial]])</f>
        <v>Luis Valle 5431</v>
      </c>
      <c r="L305" t="s">
        <v>1507</v>
      </c>
      <c r="M305" t="str">
        <f>RIGHT(Tabla11[[#This Row],[Comercial]],4)</f>
        <v>5431</v>
      </c>
      <c r="N305" t="str">
        <f>LEFT(Tabla11[[#This Row],[Minuscula]],6)</f>
        <v>luis v</v>
      </c>
    </row>
    <row r="306" spans="1:14">
      <c r="A306" s="226">
        <v>1305</v>
      </c>
      <c r="B306" s="224">
        <v>44463</v>
      </c>
      <c r="C306" s="207" t="s">
        <v>1500</v>
      </c>
      <c r="D306" s="207" t="s">
        <v>1497</v>
      </c>
      <c r="E306" s="207" t="s">
        <v>518</v>
      </c>
      <c r="F306" s="225">
        <v>36</v>
      </c>
      <c r="G306" s="225">
        <v>7.56</v>
      </c>
      <c r="H306" s="225">
        <v>43.56</v>
      </c>
      <c r="I306" s="24" t="str">
        <f>UPPER(Tabla11[[#This Row],[Comercial]])</f>
        <v>ANA FERNANDEZZ 4321</v>
      </c>
      <c r="J306" s="24" t="str">
        <f>LOWER(Tabla11[[#This Row],[Comercial]])</f>
        <v>ana fernandezz 4321</v>
      </c>
      <c r="K306" s="227" t="str">
        <f>PROPER(Tabla11[[#This Row],[Comercial]])</f>
        <v>Ana Fernandezz 4321</v>
      </c>
      <c r="L306" t="s">
        <v>1509</v>
      </c>
      <c r="M306" t="str">
        <f>RIGHT(Tabla11[[#This Row],[Comercial]],4)</f>
        <v>4321</v>
      </c>
      <c r="N306" t="str">
        <f>LEFT(Tabla11[[#This Row],[Minuscula]],6)</f>
        <v>ana fe</v>
      </c>
    </row>
    <row r="307" spans="1:14">
      <c r="A307" s="226">
        <v>1306</v>
      </c>
      <c r="B307" s="224">
        <v>44463</v>
      </c>
      <c r="C307" s="207" t="s">
        <v>1500</v>
      </c>
      <c r="D307" s="207" t="s">
        <v>1503</v>
      </c>
      <c r="E307" s="207" t="s">
        <v>518</v>
      </c>
      <c r="F307" s="225">
        <v>208</v>
      </c>
      <c r="G307" s="225">
        <v>43.68</v>
      </c>
      <c r="H307" s="225">
        <v>251.68</v>
      </c>
      <c r="I307" s="24" t="str">
        <f>UPPER(Tabla11[[#This Row],[Comercial]])</f>
        <v>ANA FERNANDEZZ 4321</v>
      </c>
      <c r="J307" s="24" t="str">
        <f>LOWER(Tabla11[[#This Row],[Comercial]])</f>
        <v>ana fernandezz 4321</v>
      </c>
      <c r="K307" s="227" t="str">
        <f>PROPER(Tabla11[[#This Row],[Comercial]])</f>
        <v>Ana Fernandezz 4321</v>
      </c>
      <c r="L307" t="s">
        <v>1509</v>
      </c>
      <c r="M307" t="str">
        <f>RIGHT(Tabla11[[#This Row],[Comercial]],4)</f>
        <v>4321</v>
      </c>
      <c r="N307" t="str">
        <f>LEFT(Tabla11[[#This Row],[Minuscula]],6)</f>
        <v>ana fe</v>
      </c>
    </row>
    <row r="308" spans="1:14">
      <c r="A308" s="226">
        <v>1307</v>
      </c>
      <c r="B308" s="224">
        <v>44467</v>
      </c>
      <c r="C308" s="207" t="s">
        <v>1504</v>
      </c>
      <c r="D308" s="207" t="s">
        <v>1499</v>
      </c>
      <c r="E308" s="207" t="s">
        <v>520</v>
      </c>
      <c r="F308" s="225">
        <v>260</v>
      </c>
      <c r="G308" s="225">
        <v>54.6</v>
      </c>
      <c r="H308" s="225">
        <v>314.60000000000002</v>
      </c>
      <c r="I308" s="24" t="str">
        <f>UPPER(Tabla11[[#This Row],[Comercial]])</f>
        <v>MARIA GARCIA 1254</v>
      </c>
      <c r="J308" s="24" t="str">
        <f>LOWER(Tabla11[[#This Row],[Comercial]])</f>
        <v>maria garcia 1254</v>
      </c>
      <c r="K308" s="227" t="str">
        <f>PROPER(Tabla11[[#This Row],[Comercial]])</f>
        <v>Maria Garcia 1254</v>
      </c>
      <c r="L308" t="s">
        <v>1506</v>
      </c>
      <c r="M308" t="str">
        <f>RIGHT(Tabla11[[#This Row],[Comercial]],4)</f>
        <v>1254</v>
      </c>
      <c r="N308" t="str">
        <f>LEFT(Tabla11[[#This Row],[Minuscula]],6)</f>
        <v xml:space="preserve">maria </v>
      </c>
    </row>
    <row r="309" spans="1:14">
      <c r="A309" s="226">
        <v>1308</v>
      </c>
      <c r="B309" s="224">
        <v>44470</v>
      </c>
      <c r="C309" s="207" t="s">
        <v>1500</v>
      </c>
      <c r="D309" s="207" t="s">
        <v>1499</v>
      </c>
      <c r="E309" s="207" t="s">
        <v>534</v>
      </c>
      <c r="F309" s="225">
        <v>9</v>
      </c>
      <c r="G309" s="225">
        <v>1.89</v>
      </c>
      <c r="H309" s="225">
        <v>10.89</v>
      </c>
      <c r="I309" s="24" t="str">
        <f>UPPER(Tabla11[[#This Row],[Comercial]])</f>
        <v>ANA FERNANDEZZ 4321</v>
      </c>
      <c r="J309" s="24" t="str">
        <f>LOWER(Tabla11[[#This Row],[Comercial]])</f>
        <v>ana fernandezz 4321</v>
      </c>
      <c r="K309" s="227" t="str">
        <f>PROPER(Tabla11[[#This Row],[Comercial]])</f>
        <v>Ana Fernandezz 4321</v>
      </c>
      <c r="L309" t="s">
        <v>1509</v>
      </c>
      <c r="M309" t="str">
        <f>RIGHT(Tabla11[[#This Row],[Comercial]],4)</f>
        <v>4321</v>
      </c>
      <c r="N309" t="str">
        <f>LEFT(Tabla11[[#This Row],[Minuscula]],6)</f>
        <v>ana fe</v>
      </c>
    </row>
    <row r="310" spans="1:14">
      <c r="A310" s="226">
        <v>1309</v>
      </c>
      <c r="B310" s="224">
        <v>44472</v>
      </c>
      <c r="C310" s="207" t="s">
        <v>1500</v>
      </c>
      <c r="D310" s="207" t="s">
        <v>1494</v>
      </c>
      <c r="E310" s="207" t="s">
        <v>530</v>
      </c>
      <c r="F310" s="225">
        <v>43</v>
      </c>
      <c r="G310" s="225">
        <v>9.0299999999999994</v>
      </c>
      <c r="H310" s="225">
        <v>52.03</v>
      </c>
      <c r="I310" s="24" t="str">
        <f>UPPER(Tabla11[[#This Row],[Comercial]])</f>
        <v>ANA FERNANDEZZ 4321</v>
      </c>
      <c r="J310" s="24" t="str">
        <f>LOWER(Tabla11[[#This Row],[Comercial]])</f>
        <v>ana fernandezz 4321</v>
      </c>
      <c r="K310" s="227" t="str">
        <f>PROPER(Tabla11[[#This Row],[Comercial]])</f>
        <v>Ana Fernandezz 4321</v>
      </c>
      <c r="L310" t="s">
        <v>1509</v>
      </c>
      <c r="M310" t="str">
        <f>RIGHT(Tabla11[[#This Row],[Comercial]],4)</f>
        <v>4321</v>
      </c>
      <c r="N310" t="str">
        <f>LEFT(Tabla11[[#This Row],[Minuscula]],6)</f>
        <v>ana fe</v>
      </c>
    </row>
    <row r="311" spans="1:14">
      <c r="A311" s="226">
        <v>1310</v>
      </c>
      <c r="B311" s="224">
        <v>44473</v>
      </c>
      <c r="C311" s="207" t="s">
        <v>1500</v>
      </c>
      <c r="D311" s="207" t="s">
        <v>1502</v>
      </c>
      <c r="E311" s="207" t="s">
        <v>534</v>
      </c>
      <c r="F311" s="225">
        <v>9</v>
      </c>
      <c r="G311" s="225">
        <v>1.89</v>
      </c>
      <c r="H311" s="225">
        <v>10.89</v>
      </c>
      <c r="I311" s="24" t="str">
        <f>UPPER(Tabla11[[#This Row],[Comercial]])</f>
        <v>ANA FERNANDEZZ 4321</v>
      </c>
      <c r="J311" s="24" t="str">
        <f>LOWER(Tabla11[[#This Row],[Comercial]])</f>
        <v>ana fernandezz 4321</v>
      </c>
      <c r="K311" s="227" t="str">
        <f>PROPER(Tabla11[[#This Row],[Comercial]])</f>
        <v>Ana Fernandezz 4321</v>
      </c>
      <c r="L311" t="s">
        <v>1509</v>
      </c>
      <c r="M311" t="str">
        <f>RIGHT(Tabla11[[#This Row],[Comercial]],4)</f>
        <v>4321</v>
      </c>
      <c r="N311" t="str">
        <f>LEFT(Tabla11[[#This Row],[Minuscula]],6)</f>
        <v>ana fe</v>
      </c>
    </row>
    <row r="312" spans="1:14">
      <c r="A312" s="226">
        <v>1311</v>
      </c>
      <c r="B312" s="224">
        <v>44473</v>
      </c>
      <c r="C312" s="207" t="s">
        <v>1500</v>
      </c>
      <c r="D312" s="207" t="s">
        <v>1502</v>
      </c>
      <c r="E312" s="207" t="s">
        <v>534</v>
      </c>
      <c r="F312" s="225">
        <v>5</v>
      </c>
      <c r="G312" s="225">
        <v>1.05</v>
      </c>
      <c r="H312" s="225">
        <v>6.05</v>
      </c>
      <c r="I312" s="24" t="str">
        <f>UPPER(Tabla11[[#This Row],[Comercial]])</f>
        <v>ANA FERNANDEZZ 4321</v>
      </c>
      <c r="J312" s="24" t="str">
        <f>LOWER(Tabla11[[#This Row],[Comercial]])</f>
        <v>ana fernandezz 4321</v>
      </c>
      <c r="K312" s="227" t="str">
        <f>PROPER(Tabla11[[#This Row],[Comercial]])</f>
        <v>Ana Fernandezz 4321</v>
      </c>
      <c r="L312" t="s">
        <v>1509</v>
      </c>
      <c r="M312" t="str">
        <f>RIGHT(Tabla11[[#This Row],[Comercial]],4)</f>
        <v>4321</v>
      </c>
      <c r="N312" t="str">
        <f>LEFT(Tabla11[[#This Row],[Minuscula]],6)</f>
        <v>ana fe</v>
      </c>
    </row>
    <row r="313" spans="1:14">
      <c r="A313" s="226">
        <v>1312</v>
      </c>
      <c r="B313" s="224">
        <v>44473</v>
      </c>
      <c r="C313" s="207" t="s">
        <v>1496</v>
      </c>
      <c r="D313" s="207" t="s">
        <v>1499</v>
      </c>
      <c r="E313" s="207" t="s">
        <v>530</v>
      </c>
      <c r="F313" s="225">
        <v>14</v>
      </c>
      <c r="G313" s="225">
        <v>2.94</v>
      </c>
      <c r="H313" s="225">
        <v>16.940000000000001</v>
      </c>
      <c r="I313" s="24" t="str">
        <f>UPPER(Tabla11[[#This Row],[Comercial]])</f>
        <v>PABLO LOPEZ 7384</v>
      </c>
      <c r="J313" s="24" t="str">
        <f>LOWER(Tabla11[[#This Row],[Comercial]])</f>
        <v>pablo lopez 7384</v>
      </c>
      <c r="K313" s="227" t="str">
        <f>PROPER(Tabla11[[#This Row],[Comercial]])</f>
        <v>Pablo Lopez 7384</v>
      </c>
      <c r="L313" t="s">
        <v>1508</v>
      </c>
      <c r="M313" t="str">
        <f>RIGHT(Tabla11[[#This Row],[Comercial]],4)</f>
        <v>7384</v>
      </c>
      <c r="N313" t="str">
        <f>LEFT(Tabla11[[#This Row],[Minuscula]],6)</f>
        <v xml:space="preserve">pablo </v>
      </c>
    </row>
    <row r="314" spans="1:14">
      <c r="A314" s="226">
        <v>1313</v>
      </c>
      <c r="B314" s="224">
        <v>44474</v>
      </c>
      <c r="C314" s="207" t="s">
        <v>1496</v>
      </c>
      <c r="D314" s="207" t="s">
        <v>1503</v>
      </c>
      <c r="E314" s="207" t="s">
        <v>534</v>
      </c>
      <c r="F314" s="225">
        <v>10</v>
      </c>
      <c r="G314" s="225">
        <v>2.1</v>
      </c>
      <c r="H314" s="225">
        <v>12.1</v>
      </c>
      <c r="I314" s="24" t="str">
        <f>UPPER(Tabla11[[#This Row],[Comercial]])</f>
        <v>PABLO LOPEZ 7384</v>
      </c>
      <c r="J314" s="24" t="str">
        <f>LOWER(Tabla11[[#This Row],[Comercial]])</f>
        <v>pablo lopez 7384</v>
      </c>
      <c r="K314" s="227" t="str">
        <f>PROPER(Tabla11[[#This Row],[Comercial]])</f>
        <v>Pablo Lopez 7384</v>
      </c>
      <c r="L314" t="s">
        <v>1508</v>
      </c>
      <c r="M314" t="str">
        <f>RIGHT(Tabla11[[#This Row],[Comercial]],4)</f>
        <v>7384</v>
      </c>
      <c r="N314" t="str">
        <f>LEFT(Tabla11[[#This Row],[Minuscula]],6)</f>
        <v xml:space="preserve">pablo </v>
      </c>
    </row>
    <row r="315" spans="1:14">
      <c r="A315" s="226">
        <v>1314</v>
      </c>
      <c r="B315" s="224">
        <v>44475</v>
      </c>
      <c r="C315" s="207" t="s">
        <v>1496</v>
      </c>
      <c r="D315" s="207" t="s">
        <v>1494</v>
      </c>
      <c r="E315" s="207" t="s">
        <v>520</v>
      </c>
      <c r="F315" s="225">
        <v>850</v>
      </c>
      <c r="G315" s="225">
        <v>178.5</v>
      </c>
      <c r="H315" s="225">
        <v>1028.5</v>
      </c>
      <c r="I315" s="24" t="str">
        <f>UPPER(Tabla11[[#This Row],[Comercial]])</f>
        <v>PABLO LOPEZ 7384</v>
      </c>
      <c r="J315" s="24" t="str">
        <f>LOWER(Tabla11[[#This Row],[Comercial]])</f>
        <v>pablo lopez 7384</v>
      </c>
      <c r="K315" s="227" t="str">
        <f>PROPER(Tabla11[[#This Row],[Comercial]])</f>
        <v>Pablo Lopez 7384</v>
      </c>
      <c r="L315" t="s">
        <v>1508</v>
      </c>
      <c r="M315" t="str">
        <f>RIGHT(Tabla11[[#This Row],[Comercial]],4)</f>
        <v>7384</v>
      </c>
      <c r="N315" t="str">
        <f>LEFT(Tabla11[[#This Row],[Minuscula]],6)</f>
        <v xml:space="preserve">pablo </v>
      </c>
    </row>
    <row r="316" spans="1:14">
      <c r="A316" s="226">
        <v>1315</v>
      </c>
      <c r="B316" s="224">
        <v>44477</v>
      </c>
      <c r="C316" s="207" t="s">
        <v>1500</v>
      </c>
      <c r="D316" s="207" t="s">
        <v>1503</v>
      </c>
      <c r="E316" s="207" t="s">
        <v>534</v>
      </c>
      <c r="F316" s="225">
        <v>6</v>
      </c>
      <c r="G316" s="225">
        <v>1.26</v>
      </c>
      <c r="H316" s="225">
        <v>7.26</v>
      </c>
      <c r="I316" s="24" t="str">
        <f>UPPER(Tabla11[[#This Row],[Comercial]])</f>
        <v>ANA FERNANDEZZ 4321</v>
      </c>
      <c r="J316" s="24" t="str">
        <f>LOWER(Tabla11[[#This Row],[Comercial]])</f>
        <v>ana fernandezz 4321</v>
      </c>
      <c r="K316" s="227" t="str">
        <f>PROPER(Tabla11[[#This Row],[Comercial]])</f>
        <v>Ana Fernandezz 4321</v>
      </c>
      <c r="L316" t="s">
        <v>1509</v>
      </c>
      <c r="M316" t="str">
        <f>RIGHT(Tabla11[[#This Row],[Comercial]],4)</f>
        <v>4321</v>
      </c>
      <c r="N316" t="str">
        <f>LEFT(Tabla11[[#This Row],[Minuscula]],6)</f>
        <v>ana fe</v>
      </c>
    </row>
    <row r="317" spans="1:14">
      <c r="A317" s="226">
        <v>1316</v>
      </c>
      <c r="B317" s="224">
        <v>44477</v>
      </c>
      <c r="C317" s="207" t="s">
        <v>1500</v>
      </c>
      <c r="D317" s="207" t="s">
        <v>1503</v>
      </c>
      <c r="E317" s="207" t="s">
        <v>520</v>
      </c>
      <c r="F317" s="225">
        <v>1029</v>
      </c>
      <c r="G317" s="225">
        <v>216.09</v>
      </c>
      <c r="H317" s="225">
        <v>1245.0899999999999</v>
      </c>
      <c r="I317" s="24" t="str">
        <f>UPPER(Tabla11[[#This Row],[Comercial]])</f>
        <v>ANA FERNANDEZZ 4321</v>
      </c>
      <c r="J317" s="24" t="str">
        <f>LOWER(Tabla11[[#This Row],[Comercial]])</f>
        <v>ana fernandezz 4321</v>
      </c>
      <c r="K317" s="227" t="str">
        <f>PROPER(Tabla11[[#This Row],[Comercial]])</f>
        <v>Ana Fernandezz 4321</v>
      </c>
      <c r="L317" t="s">
        <v>1509</v>
      </c>
      <c r="M317" t="str">
        <f>RIGHT(Tabla11[[#This Row],[Comercial]],4)</f>
        <v>4321</v>
      </c>
      <c r="N317" t="str">
        <f>LEFT(Tabla11[[#This Row],[Minuscula]],6)</f>
        <v>ana fe</v>
      </c>
    </row>
    <row r="318" spans="1:14">
      <c r="A318" s="226">
        <v>1317</v>
      </c>
      <c r="B318" s="224">
        <v>44479</v>
      </c>
      <c r="C318" s="207" t="s">
        <v>1501</v>
      </c>
      <c r="D318" s="207" t="s">
        <v>1503</v>
      </c>
      <c r="E318" s="207" t="s">
        <v>534</v>
      </c>
      <c r="F318" s="225">
        <v>8</v>
      </c>
      <c r="G318" s="225">
        <v>1.68</v>
      </c>
      <c r="H318" s="225">
        <v>9.68</v>
      </c>
      <c r="I318" s="24" t="str">
        <f>UPPER(Tabla11[[#This Row],[Comercial]])</f>
        <v>MARIO PEREZ 1123</v>
      </c>
      <c r="J318" s="24" t="str">
        <f>LOWER(Tabla11[[#This Row],[Comercial]])</f>
        <v>mario perez 1123</v>
      </c>
      <c r="K318" s="227" t="str">
        <f>PROPER(Tabla11[[#This Row],[Comercial]])</f>
        <v>Mario Perez 1123</v>
      </c>
      <c r="L318" t="s">
        <v>1510</v>
      </c>
      <c r="M318" t="str">
        <f>RIGHT(Tabla11[[#This Row],[Comercial]],4)</f>
        <v>1123</v>
      </c>
      <c r="N318" t="str">
        <f>LEFT(Tabla11[[#This Row],[Minuscula]],6)</f>
        <v xml:space="preserve">mario </v>
      </c>
    </row>
    <row r="319" spans="1:14">
      <c r="A319" s="226">
        <v>1318</v>
      </c>
      <c r="B319" s="224">
        <v>44479</v>
      </c>
      <c r="C319" s="207" t="s">
        <v>1496</v>
      </c>
      <c r="D319" s="207" t="s">
        <v>1502</v>
      </c>
      <c r="E319" s="207" t="s">
        <v>530</v>
      </c>
      <c r="F319" s="225">
        <v>14</v>
      </c>
      <c r="G319" s="225">
        <v>2.94</v>
      </c>
      <c r="H319" s="225">
        <v>16.940000000000001</v>
      </c>
      <c r="I319" s="24" t="str">
        <f>UPPER(Tabla11[[#This Row],[Comercial]])</f>
        <v>PABLO LOPEZ 7384</v>
      </c>
      <c r="J319" s="24" t="str">
        <f>LOWER(Tabla11[[#This Row],[Comercial]])</f>
        <v>pablo lopez 7384</v>
      </c>
      <c r="K319" s="227" t="str">
        <f>PROPER(Tabla11[[#This Row],[Comercial]])</f>
        <v>Pablo Lopez 7384</v>
      </c>
      <c r="L319" t="s">
        <v>1508</v>
      </c>
      <c r="M319" t="str">
        <f>RIGHT(Tabla11[[#This Row],[Comercial]],4)</f>
        <v>7384</v>
      </c>
      <c r="N319" t="str">
        <f>LEFT(Tabla11[[#This Row],[Minuscula]],6)</f>
        <v xml:space="preserve">pablo </v>
      </c>
    </row>
    <row r="320" spans="1:14">
      <c r="A320" s="226">
        <v>1319</v>
      </c>
      <c r="B320" s="224">
        <v>44480</v>
      </c>
      <c r="C320" s="207" t="s">
        <v>1500</v>
      </c>
      <c r="D320" s="207" t="s">
        <v>1499</v>
      </c>
      <c r="E320" s="207" t="s">
        <v>518</v>
      </c>
      <c r="F320" s="225">
        <v>65</v>
      </c>
      <c r="G320" s="225">
        <v>13.65</v>
      </c>
      <c r="H320" s="225">
        <v>78.650000000000006</v>
      </c>
      <c r="I320" s="24" t="str">
        <f>UPPER(Tabla11[[#This Row],[Comercial]])</f>
        <v>ANA FERNANDEZZ 4321</v>
      </c>
      <c r="J320" s="24" t="str">
        <f>LOWER(Tabla11[[#This Row],[Comercial]])</f>
        <v>ana fernandezz 4321</v>
      </c>
      <c r="K320" s="227" t="str">
        <f>PROPER(Tabla11[[#This Row],[Comercial]])</f>
        <v>Ana Fernandezz 4321</v>
      </c>
      <c r="L320" t="s">
        <v>1509</v>
      </c>
      <c r="M320" t="str">
        <f>RIGHT(Tabla11[[#This Row],[Comercial]],4)</f>
        <v>4321</v>
      </c>
      <c r="N320" t="str">
        <f>LEFT(Tabla11[[#This Row],[Minuscula]],6)</f>
        <v>ana fe</v>
      </c>
    </row>
    <row r="321" spans="1:14">
      <c r="A321" s="226">
        <v>1320</v>
      </c>
      <c r="B321" s="224">
        <v>44482</v>
      </c>
      <c r="C321" s="207" t="s">
        <v>1504</v>
      </c>
      <c r="D321" s="207" t="s">
        <v>1497</v>
      </c>
      <c r="E321" s="207" t="s">
        <v>518</v>
      </c>
      <c r="F321" s="225">
        <v>21</v>
      </c>
      <c r="G321" s="225">
        <v>4.41</v>
      </c>
      <c r="H321" s="225">
        <v>25.41</v>
      </c>
      <c r="I321" s="24" t="str">
        <f>UPPER(Tabla11[[#This Row],[Comercial]])</f>
        <v>MARIA GARCIA 1254</v>
      </c>
      <c r="J321" s="24" t="str">
        <f>LOWER(Tabla11[[#This Row],[Comercial]])</f>
        <v>maria garcia 1254</v>
      </c>
      <c r="K321" s="227" t="str">
        <f>PROPER(Tabla11[[#This Row],[Comercial]])</f>
        <v>Maria Garcia 1254</v>
      </c>
      <c r="L321" t="s">
        <v>1506</v>
      </c>
      <c r="M321" t="str">
        <f>RIGHT(Tabla11[[#This Row],[Comercial]],4)</f>
        <v>1254</v>
      </c>
      <c r="N321" t="str">
        <f>LEFT(Tabla11[[#This Row],[Minuscula]],6)</f>
        <v xml:space="preserve">maria </v>
      </c>
    </row>
    <row r="322" spans="1:14">
      <c r="A322" s="226">
        <v>1321</v>
      </c>
      <c r="B322" s="224">
        <v>44482</v>
      </c>
      <c r="C322" s="207" t="s">
        <v>1496</v>
      </c>
      <c r="D322" s="207" t="s">
        <v>1497</v>
      </c>
      <c r="E322" s="207" t="s">
        <v>525</v>
      </c>
      <c r="F322" s="225">
        <v>11</v>
      </c>
      <c r="G322" s="225">
        <v>2.31</v>
      </c>
      <c r="H322" s="225">
        <v>13.31</v>
      </c>
      <c r="I322" s="24" t="str">
        <f>UPPER(Tabla11[[#This Row],[Comercial]])</f>
        <v>PABLO LOPEZ 7384</v>
      </c>
      <c r="J322" s="24" t="str">
        <f>LOWER(Tabla11[[#This Row],[Comercial]])</f>
        <v>pablo lopez 7384</v>
      </c>
      <c r="K322" s="227" t="str">
        <f>PROPER(Tabla11[[#This Row],[Comercial]])</f>
        <v>Pablo Lopez 7384</v>
      </c>
      <c r="L322" t="s">
        <v>1508</v>
      </c>
      <c r="M322" t="str">
        <f>RIGHT(Tabla11[[#This Row],[Comercial]],4)</f>
        <v>7384</v>
      </c>
      <c r="N322" t="str">
        <f>LEFT(Tabla11[[#This Row],[Minuscula]],6)</f>
        <v xml:space="preserve">pablo </v>
      </c>
    </row>
    <row r="323" spans="1:14">
      <c r="A323" s="226">
        <v>1322</v>
      </c>
      <c r="B323" s="224">
        <v>44482</v>
      </c>
      <c r="C323" s="207" t="s">
        <v>1496</v>
      </c>
      <c r="D323" s="207" t="s">
        <v>1503</v>
      </c>
      <c r="E323" s="207" t="s">
        <v>525</v>
      </c>
      <c r="F323" s="225">
        <v>43</v>
      </c>
      <c r="G323" s="225">
        <v>9.0299999999999994</v>
      </c>
      <c r="H323" s="225">
        <v>52.03</v>
      </c>
      <c r="I323" s="24" t="str">
        <f>UPPER(Tabla11[[#This Row],[Comercial]])</f>
        <v>PABLO LOPEZ 7384</v>
      </c>
      <c r="J323" s="24" t="str">
        <f>LOWER(Tabla11[[#This Row],[Comercial]])</f>
        <v>pablo lopez 7384</v>
      </c>
      <c r="K323" s="227" t="str">
        <f>PROPER(Tabla11[[#This Row],[Comercial]])</f>
        <v>Pablo Lopez 7384</v>
      </c>
      <c r="L323" t="s">
        <v>1508</v>
      </c>
      <c r="M323" t="str">
        <f>RIGHT(Tabla11[[#This Row],[Comercial]],4)</f>
        <v>7384</v>
      </c>
      <c r="N323" t="str">
        <f>LEFT(Tabla11[[#This Row],[Minuscula]],6)</f>
        <v xml:space="preserve">pablo </v>
      </c>
    </row>
    <row r="324" spans="1:14">
      <c r="A324" s="226">
        <v>1323</v>
      </c>
      <c r="B324" s="224">
        <v>44483</v>
      </c>
      <c r="C324" s="207" t="s">
        <v>1496</v>
      </c>
      <c r="D324" s="207" t="s">
        <v>1502</v>
      </c>
      <c r="E324" s="207" t="s">
        <v>534</v>
      </c>
      <c r="F324" s="225">
        <v>9</v>
      </c>
      <c r="G324" s="225">
        <v>1.89</v>
      </c>
      <c r="H324" s="225">
        <v>10.89</v>
      </c>
      <c r="I324" s="24" t="str">
        <f>UPPER(Tabla11[[#This Row],[Comercial]])</f>
        <v>PABLO LOPEZ 7384</v>
      </c>
      <c r="J324" s="24" t="str">
        <f>LOWER(Tabla11[[#This Row],[Comercial]])</f>
        <v>pablo lopez 7384</v>
      </c>
      <c r="K324" s="227" t="str">
        <f>PROPER(Tabla11[[#This Row],[Comercial]])</f>
        <v>Pablo Lopez 7384</v>
      </c>
      <c r="L324" t="s">
        <v>1508</v>
      </c>
      <c r="M324" t="str">
        <f>RIGHT(Tabla11[[#This Row],[Comercial]],4)</f>
        <v>7384</v>
      </c>
      <c r="N324" t="str">
        <f>LEFT(Tabla11[[#This Row],[Minuscula]],6)</f>
        <v xml:space="preserve">pablo </v>
      </c>
    </row>
    <row r="325" spans="1:14">
      <c r="A325" s="226">
        <v>1324</v>
      </c>
      <c r="B325" s="224">
        <v>44484</v>
      </c>
      <c r="C325" s="207" t="s">
        <v>1496</v>
      </c>
      <c r="D325" s="207" t="s">
        <v>1497</v>
      </c>
      <c r="E325" s="207" t="s">
        <v>534</v>
      </c>
      <c r="F325" s="225">
        <v>5</v>
      </c>
      <c r="G325" s="225">
        <v>1.05</v>
      </c>
      <c r="H325" s="225">
        <v>6.05</v>
      </c>
      <c r="I325" s="24" t="str">
        <f>UPPER(Tabla11[[#This Row],[Comercial]])</f>
        <v>PABLO LOPEZ 7384</v>
      </c>
      <c r="J325" s="24" t="str">
        <f>LOWER(Tabla11[[#This Row],[Comercial]])</f>
        <v>pablo lopez 7384</v>
      </c>
      <c r="K325" s="227" t="str">
        <f>PROPER(Tabla11[[#This Row],[Comercial]])</f>
        <v>Pablo Lopez 7384</v>
      </c>
      <c r="L325" t="s">
        <v>1508</v>
      </c>
      <c r="M325" t="str">
        <f>RIGHT(Tabla11[[#This Row],[Comercial]],4)</f>
        <v>7384</v>
      </c>
      <c r="N325" t="str">
        <f>LEFT(Tabla11[[#This Row],[Minuscula]],6)</f>
        <v xml:space="preserve">pablo </v>
      </c>
    </row>
    <row r="326" spans="1:14">
      <c r="A326" s="226">
        <v>1325</v>
      </c>
      <c r="B326" s="224">
        <v>44484</v>
      </c>
      <c r="C326" s="207" t="s">
        <v>1495</v>
      </c>
      <c r="D326" s="207" t="s">
        <v>1497</v>
      </c>
      <c r="E326" s="207" t="s">
        <v>525</v>
      </c>
      <c r="F326" s="225">
        <v>8</v>
      </c>
      <c r="G326" s="225">
        <v>1.68</v>
      </c>
      <c r="H326" s="225">
        <v>9.68</v>
      </c>
      <c r="I326" s="24" t="str">
        <f>UPPER(Tabla11[[#This Row],[Comercial]])</f>
        <v>LUIS VALLE 5431</v>
      </c>
      <c r="J326" s="24" t="str">
        <f>LOWER(Tabla11[[#This Row],[Comercial]])</f>
        <v>luis valle 5431</v>
      </c>
      <c r="K326" s="227" t="str">
        <f>PROPER(Tabla11[[#This Row],[Comercial]])</f>
        <v>Luis Valle 5431</v>
      </c>
      <c r="L326" t="s">
        <v>1507</v>
      </c>
      <c r="M326" t="str">
        <f>RIGHT(Tabla11[[#This Row],[Comercial]],4)</f>
        <v>5431</v>
      </c>
      <c r="N326" t="str">
        <f>LEFT(Tabla11[[#This Row],[Minuscula]],6)</f>
        <v>luis v</v>
      </c>
    </row>
    <row r="327" spans="1:14">
      <c r="A327" s="226">
        <v>1326</v>
      </c>
      <c r="B327" s="224">
        <v>44486</v>
      </c>
      <c r="C327" s="207" t="s">
        <v>1500</v>
      </c>
      <c r="D327" s="207" t="s">
        <v>1499</v>
      </c>
      <c r="E327" s="207" t="s">
        <v>530</v>
      </c>
      <c r="F327" s="225">
        <v>18</v>
      </c>
      <c r="G327" s="225">
        <v>3.78</v>
      </c>
      <c r="H327" s="225">
        <v>21.78</v>
      </c>
      <c r="I327" s="24" t="str">
        <f>UPPER(Tabla11[[#This Row],[Comercial]])</f>
        <v>ANA FERNANDEZZ 4321</v>
      </c>
      <c r="J327" s="24" t="str">
        <f>LOWER(Tabla11[[#This Row],[Comercial]])</f>
        <v>ana fernandezz 4321</v>
      </c>
      <c r="K327" s="227" t="str">
        <f>PROPER(Tabla11[[#This Row],[Comercial]])</f>
        <v>Ana Fernandezz 4321</v>
      </c>
      <c r="L327" t="s">
        <v>1509</v>
      </c>
      <c r="M327" t="str">
        <f>RIGHT(Tabla11[[#This Row],[Comercial]],4)</f>
        <v>4321</v>
      </c>
      <c r="N327" t="str">
        <f>LEFT(Tabla11[[#This Row],[Minuscula]],6)</f>
        <v>ana fe</v>
      </c>
    </row>
    <row r="328" spans="1:14">
      <c r="A328" s="226">
        <v>1327</v>
      </c>
      <c r="B328" s="224">
        <v>44486</v>
      </c>
      <c r="C328" s="207" t="s">
        <v>1504</v>
      </c>
      <c r="D328" s="207" t="s">
        <v>1502</v>
      </c>
      <c r="E328" s="207" t="s">
        <v>534</v>
      </c>
      <c r="F328" s="225">
        <v>7</v>
      </c>
      <c r="G328" s="225">
        <v>1.47</v>
      </c>
      <c r="H328" s="225">
        <v>8.4700000000000006</v>
      </c>
      <c r="I328" s="24" t="str">
        <f>UPPER(Tabla11[[#This Row],[Comercial]])</f>
        <v>MARIA GARCIA 1254</v>
      </c>
      <c r="J328" s="24" t="str">
        <f>LOWER(Tabla11[[#This Row],[Comercial]])</f>
        <v>maria garcia 1254</v>
      </c>
      <c r="K328" s="227" t="str">
        <f>PROPER(Tabla11[[#This Row],[Comercial]])</f>
        <v>Maria Garcia 1254</v>
      </c>
      <c r="L328" t="s">
        <v>1506</v>
      </c>
      <c r="M328" t="str">
        <f>RIGHT(Tabla11[[#This Row],[Comercial]],4)</f>
        <v>1254</v>
      </c>
      <c r="N328" t="str">
        <f>LEFT(Tabla11[[#This Row],[Minuscula]],6)</f>
        <v xml:space="preserve">maria </v>
      </c>
    </row>
    <row r="329" spans="1:14">
      <c r="A329" s="226">
        <v>1328</v>
      </c>
      <c r="B329" s="224">
        <v>44487</v>
      </c>
      <c r="C329" s="207" t="s">
        <v>1495</v>
      </c>
      <c r="D329" s="207" t="s">
        <v>1494</v>
      </c>
      <c r="E329" s="207" t="s">
        <v>518</v>
      </c>
      <c r="F329" s="225">
        <v>186</v>
      </c>
      <c r="G329" s="225">
        <v>39.06</v>
      </c>
      <c r="H329" s="225">
        <v>225.06</v>
      </c>
      <c r="I329" s="24" t="str">
        <f>UPPER(Tabla11[[#This Row],[Comercial]])</f>
        <v>LUIS VALLE 5431</v>
      </c>
      <c r="J329" s="24" t="str">
        <f>LOWER(Tabla11[[#This Row],[Comercial]])</f>
        <v>luis valle 5431</v>
      </c>
      <c r="K329" s="227" t="str">
        <f>PROPER(Tabla11[[#This Row],[Comercial]])</f>
        <v>Luis Valle 5431</v>
      </c>
      <c r="L329" t="s">
        <v>1507</v>
      </c>
      <c r="M329" t="str">
        <f>RIGHT(Tabla11[[#This Row],[Comercial]],4)</f>
        <v>5431</v>
      </c>
      <c r="N329" t="str">
        <f>LEFT(Tabla11[[#This Row],[Minuscula]],6)</f>
        <v>luis v</v>
      </c>
    </row>
    <row r="330" spans="1:14">
      <c r="A330" s="226">
        <v>1329</v>
      </c>
      <c r="B330" s="224">
        <v>44487</v>
      </c>
      <c r="C330" s="207" t="s">
        <v>1496</v>
      </c>
      <c r="D330" s="207" t="s">
        <v>1494</v>
      </c>
      <c r="E330" s="207" t="s">
        <v>518</v>
      </c>
      <c r="F330" s="225">
        <v>143</v>
      </c>
      <c r="G330" s="225">
        <v>30.03</v>
      </c>
      <c r="H330" s="225">
        <v>173.03</v>
      </c>
      <c r="I330" s="24" t="str">
        <f>UPPER(Tabla11[[#This Row],[Comercial]])</f>
        <v>PABLO LOPEZ 7384</v>
      </c>
      <c r="J330" s="24" t="str">
        <f>LOWER(Tabla11[[#This Row],[Comercial]])</f>
        <v>pablo lopez 7384</v>
      </c>
      <c r="K330" s="227" t="str">
        <f>PROPER(Tabla11[[#This Row],[Comercial]])</f>
        <v>Pablo Lopez 7384</v>
      </c>
      <c r="L330" t="s">
        <v>1508</v>
      </c>
      <c r="M330" t="str">
        <f>RIGHT(Tabla11[[#This Row],[Comercial]],4)</f>
        <v>7384</v>
      </c>
      <c r="N330" t="str">
        <f>LEFT(Tabla11[[#This Row],[Minuscula]],6)</f>
        <v xml:space="preserve">pablo </v>
      </c>
    </row>
    <row r="331" spans="1:14">
      <c r="A331" s="226">
        <v>1330</v>
      </c>
      <c r="B331" s="224">
        <v>44488</v>
      </c>
      <c r="C331" s="207" t="s">
        <v>1500</v>
      </c>
      <c r="D331" s="207" t="s">
        <v>1503</v>
      </c>
      <c r="E331" s="207" t="s">
        <v>525</v>
      </c>
      <c r="F331" s="225">
        <v>46</v>
      </c>
      <c r="G331" s="225">
        <v>9.66</v>
      </c>
      <c r="H331" s="225">
        <v>55.66</v>
      </c>
      <c r="I331" s="24" t="str">
        <f>UPPER(Tabla11[[#This Row],[Comercial]])</f>
        <v>ANA FERNANDEZZ 4321</v>
      </c>
      <c r="J331" s="24" t="str">
        <f>LOWER(Tabla11[[#This Row],[Comercial]])</f>
        <v>ana fernandezz 4321</v>
      </c>
      <c r="K331" s="227" t="str">
        <f>PROPER(Tabla11[[#This Row],[Comercial]])</f>
        <v>Ana Fernandezz 4321</v>
      </c>
      <c r="L331" t="s">
        <v>1509</v>
      </c>
      <c r="M331" t="str">
        <f>RIGHT(Tabla11[[#This Row],[Comercial]],4)</f>
        <v>4321</v>
      </c>
      <c r="N331" t="str">
        <f>LEFT(Tabla11[[#This Row],[Minuscula]],6)</f>
        <v>ana fe</v>
      </c>
    </row>
    <row r="332" spans="1:14">
      <c r="A332" s="226">
        <v>1331</v>
      </c>
      <c r="B332" s="224">
        <v>44488</v>
      </c>
      <c r="C332" s="207" t="s">
        <v>1504</v>
      </c>
      <c r="D332" s="207" t="s">
        <v>1497</v>
      </c>
      <c r="E332" s="207" t="s">
        <v>530</v>
      </c>
      <c r="F332" s="225">
        <v>10</v>
      </c>
      <c r="G332" s="225">
        <v>2.1</v>
      </c>
      <c r="H332" s="225">
        <v>12.1</v>
      </c>
      <c r="I332" s="24" t="str">
        <f>UPPER(Tabla11[[#This Row],[Comercial]])</f>
        <v>MARIA GARCIA 1254</v>
      </c>
      <c r="J332" s="24" t="str">
        <f>LOWER(Tabla11[[#This Row],[Comercial]])</f>
        <v>maria garcia 1254</v>
      </c>
      <c r="K332" s="227" t="str">
        <f>PROPER(Tabla11[[#This Row],[Comercial]])</f>
        <v>Maria Garcia 1254</v>
      </c>
      <c r="L332" t="s">
        <v>1506</v>
      </c>
      <c r="M332" t="str">
        <f>RIGHT(Tabla11[[#This Row],[Comercial]],4)</f>
        <v>1254</v>
      </c>
      <c r="N332" t="str">
        <f>LEFT(Tabla11[[#This Row],[Minuscula]],6)</f>
        <v xml:space="preserve">maria </v>
      </c>
    </row>
    <row r="333" spans="1:14">
      <c r="A333" s="226">
        <v>1332</v>
      </c>
      <c r="B333" s="224">
        <v>44488</v>
      </c>
      <c r="C333" s="207" t="s">
        <v>1495</v>
      </c>
      <c r="D333" s="207" t="s">
        <v>1503</v>
      </c>
      <c r="E333" s="207" t="s">
        <v>525</v>
      </c>
      <c r="F333" s="225">
        <v>25</v>
      </c>
      <c r="G333" s="225">
        <v>5.25</v>
      </c>
      <c r="H333" s="225">
        <v>30.25</v>
      </c>
      <c r="I333" s="24" t="str">
        <f>UPPER(Tabla11[[#This Row],[Comercial]])</f>
        <v>LUIS VALLE 5431</v>
      </c>
      <c r="J333" s="24" t="str">
        <f>LOWER(Tabla11[[#This Row],[Comercial]])</f>
        <v>luis valle 5431</v>
      </c>
      <c r="K333" s="227" t="str">
        <f>PROPER(Tabla11[[#This Row],[Comercial]])</f>
        <v>Luis Valle 5431</v>
      </c>
      <c r="L333" t="s">
        <v>1507</v>
      </c>
      <c r="M333" t="str">
        <f>RIGHT(Tabla11[[#This Row],[Comercial]],4)</f>
        <v>5431</v>
      </c>
      <c r="N333" t="str">
        <f>LEFT(Tabla11[[#This Row],[Minuscula]],6)</f>
        <v>luis v</v>
      </c>
    </row>
    <row r="334" spans="1:14">
      <c r="A334" s="226">
        <v>1333</v>
      </c>
      <c r="B334" s="224">
        <v>44489</v>
      </c>
      <c r="C334" s="207" t="s">
        <v>1504</v>
      </c>
      <c r="D334" s="207" t="s">
        <v>1497</v>
      </c>
      <c r="E334" s="207" t="s">
        <v>534</v>
      </c>
      <c r="F334" s="225">
        <v>10</v>
      </c>
      <c r="G334" s="225">
        <v>2.1</v>
      </c>
      <c r="H334" s="225">
        <v>12.1</v>
      </c>
      <c r="I334" s="24" t="str">
        <f>UPPER(Tabla11[[#This Row],[Comercial]])</f>
        <v>MARIA GARCIA 1254</v>
      </c>
      <c r="J334" s="24" t="str">
        <f>LOWER(Tabla11[[#This Row],[Comercial]])</f>
        <v>maria garcia 1254</v>
      </c>
      <c r="K334" s="227" t="str">
        <f>PROPER(Tabla11[[#This Row],[Comercial]])</f>
        <v>Maria Garcia 1254</v>
      </c>
      <c r="L334" t="s">
        <v>1506</v>
      </c>
      <c r="M334" t="str">
        <f>RIGHT(Tabla11[[#This Row],[Comercial]],4)</f>
        <v>1254</v>
      </c>
      <c r="N334" t="str">
        <f>LEFT(Tabla11[[#This Row],[Minuscula]],6)</f>
        <v xml:space="preserve">maria </v>
      </c>
    </row>
    <row r="335" spans="1:14">
      <c r="A335" s="226">
        <v>1334</v>
      </c>
      <c r="B335" s="224">
        <v>44490</v>
      </c>
      <c r="C335" s="207" t="s">
        <v>1501</v>
      </c>
      <c r="D335" s="207" t="s">
        <v>1503</v>
      </c>
      <c r="E335" s="207" t="s">
        <v>530</v>
      </c>
      <c r="F335" s="225">
        <v>31</v>
      </c>
      <c r="G335" s="225">
        <v>6.51</v>
      </c>
      <c r="H335" s="225">
        <v>37.51</v>
      </c>
      <c r="I335" s="24" t="str">
        <f>UPPER(Tabla11[[#This Row],[Comercial]])</f>
        <v>MARIO PEREZ 1123</v>
      </c>
      <c r="J335" s="24" t="str">
        <f>LOWER(Tabla11[[#This Row],[Comercial]])</f>
        <v>mario perez 1123</v>
      </c>
      <c r="K335" s="227" t="str">
        <f>PROPER(Tabla11[[#This Row],[Comercial]])</f>
        <v>Mario Perez 1123</v>
      </c>
      <c r="L335" t="s">
        <v>1510</v>
      </c>
      <c r="M335" t="str">
        <f>RIGHT(Tabla11[[#This Row],[Comercial]],4)</f>
        <v>1123</v>
      </c>
      <c r="N335" t="str">
        <f>LEFT(Tabla11[[#This Row],[Minuscula]],6)</f>
        <v xml:space="preserve">mario </v>
      </c>
    </row>
    <row r="336" spans="1:14">
      <c r="A336" s="226">
        <v>1335</v>
      </c>
      <c r="B336" s="224">
        <v>44490</v>
      </c>
      <c r="C336" s="207" t="s">
        <v>1495</v>
      </c>
      <c r="D336" s="207" t="s">
        <v>1502</v>
      </c>
      <c r="E336" s="207" t="s">
        <v>525</v>
      </c>
      <c r="F336" s="225">
        <v>8</v>
      </c>
      <c r="G336" s="225">
        <v>1.68</v>
      </c>
      <c r="H336" s="225">
        <v>9.68</v>
      </c>
      <c r="I336" s="24" t="str">
        <f>UPPER(Tabla11[[#This Row],[Comercial]])</f>
        <v>LUIS VALLE 5431</v>
      </c>
      <c r="J336" s="24" t="str">
        <f>LOWER(Tabla11[[#This Row],[Comercial]])</f>
        <v>luis valle 5431</v>
      </c>
      <c r="K336" s="227" t="str">
        <f>PROPER(Tabla11[[#This Row],[Comercial]])</f>
        <v>Luis Valle 5431</v>
      </c>
      <c r="L336" t="s">
        <v>1507</v>
      </c>
      <c r="M336" t="str">
        <f>RIGHT(Tabla11[[#This Row],[Comercial]],4)</f>
        <v>5431</v>
      </c>
      <c r="N336" t="str">
        <f>LEFT(Tabla11[[#This Row],[Minuscula]],6)</f>
        <v>luis v</v>
      </c>
    </row>
    <row r="337" spans="1:14">
      <c r="A337" s="226">
        <v>1336</v>
      </c>
      <c r="B337" s="224">
        <v>44492</v>
      </c>
      <c r="C337" s="207" t="s">
        <v>1496</v>
      </c>
      <c r="D337" s="207" t="s">
        <v>1502</v>
      </c>
      <c r="E337" s="207" t="s">
        <v>520</v>
      </c>
      <c r="F337" s="225">
        <v>137</v>
      </c>
      <c r="G337" s="225">
        <v>28.77</v>
      </c>
      <c r="H337" s="225">
        <v>165.77</v>
      </c>
      <c r="I337" s="24" t="str">
        <f>UPPER(Tabla11[[#This Row],[Comercial]])</f>
        <v>PABLO LOPEZ 7384</v>
      </c>
      <c r="J337" s="24" t="str">
        <f>LOWER(Tabla11[[#This Row],[Comercial]])</f>
        <v>pablo lopez 7384</v>
      </c>
      <c r="K337" s="227" t="str">
        <f>PROPER(Tabla11[[#This Row],[Comercial]])</f>
        <v>Pablo Lopez 7384</v>
      </c>
      <c r="L337" t="s">
        <v>1508</v>
      </c>
      <c r="M337" t="str">
        <f>RIGHT(Tabla11[[#This Row],[Comercial]],4)</f>
        <v>7384</v>
      </c>
      <c r="N337" t="str">
        <f>LEFT(Tabla11[[#This Row],[Minuscula]],6)</f>
        <v xml:space="preserve">pablo </v>
      </c>
    </row>
    <row r="338" spans="1:14">
      <c r="A338" s="226">
        <v>1337</v>
      </c>
      <c r="B338" s="224">
        <v>44493</v>
      </c>
      <c r="C338" s="207" t="s">
        <v>1500</v>
      </c>
      <c r="D338" s="207" t="s">
        <v>1497</v>
      </c>
      <c r="E338" s="207" t="s">
        <v>530</v>
      </c>
      <c r="F338" s="225">
        <v>11</v>
      </c>
      <c r="G338" s="225">
        <v>2.31</v>
      </c>
      <c r="H338" s="225">
        <v>13.31</v>
      </c>
      <c r="I338" s="24" t="str">
        <f>UPPER(Tabla11[[#This Row],[Comercial]])</f>
        <v>ANA FERNANDEZZ 4321</v>
      </c>
      <c r="J338" s="24" t="str">
        <f>LOWER(Tabla11[[#This Row],[Comercial]])</f>
        <v>ana fernandezz 4321</v>
      </c>
      <c r="K338" s="227" t="str">
        <f>PROPER(Tabla11[[#This Row],[Comercial]])</f>
        <v>Ana Fernandezz 4321</v>
      </c>
      <c r="L338" t="s">
        <v>1509</v>
      </c>
      <c r="M338" t="str">
        <f>RIGHT(Tabla11[[#This Row],[Comercial]],4)</f>
        <v>4321</v>
      </c>
      <c r="N338" t="str">
        <f>LEFT(Tabla11[[#This Row],[Minuscula]],6)</f>
        <v>ana fe</v>
      </c>
    </row>
    <row r="339" spans="1:14">
      <c r="A339" s="226">
        <v>1338</v>
      </c>
      <c r="B339" s="224">
        <v>44493</v>
      </c>
      <c r="C339" s="207" t="s">
        <v>1500</v>
      </c>
      <c r="D339" s="207" t="s">
        <v>1502</v>
      </c>
      <c r="E339" s="207" t="s">
        <v>518</v>
      </c>
      <c r="F339" s="225">
        <v>23</v>
      </c>
      <c r="G339" s="225">
        <v>4.83</v>
      </c>
      <c r="H339" s="225">
        <v>27.83</v>
      </c>
      <c r="I339" s="24" t="str">
        <f>UPPER(Tabla11[[#This Row],[Comercial]])</f>
        <v>ANA FERNANDEZZ 4321</v>
      </c>
      <c r="J339" s="24" t="str">
        <f>LOWER(Tabla11[[#This Row],[Comercial]])</f>
        <v>ana fernandezz 4321</v>
      </c>
      <c r="K339" s="227" t="str">
        <f>PROPER(Tabla11[[#This Row],[Comercial]])</f>
        <v>Ana Fernandezz 4321</v>
      </c>
      <c r="L339" t="s">
        <v>1509</v>
      </c>
      <c r="M339" t="str">
        <f>RIGHT(Tabla11[[#This Row],[Comercial]],4)</f>
        <v>4321</v>
      </c>
      <c r="N339" t="str">
        <f>LEFT(Tabla11[[#This Row],[Minuscula]],6)</f>
        <v>ana fe</v>
      </c>
    </row>
    <row r="340" spans="1:14">
      <c r="A340" s="226">
        <v>1339</v>
      </c>
      <c r="B340" s="224">
        <v>44493</v>
      </c>
      <c r="C340" s="207" t="s">
        <v>1501</v>
      </c>
      <c r="D340" s="207" t="s">
        <v>1499</v>
      </c>
      <c r="E340" s="207" t="s">
        <v>525</v>
      </c>
      <c r="F340" s="225">
        <v>20</v>
      </c>
      <c r="G340" s="225">
        <v>4.2</v>
      </c>
      <c r="H340" s="225">
        <v>24.2</v>
      </c>
      <c r="I340" s="24" t="str">
        <f>UPPER(Tabla11[[#This Row],[Comercial]])</f>
        <v>MARIO PEREZ 1123</v>
      </c>
      <c r="J340" s="24" t="str">
        <f>LOWER(Tabla11[[#This Row],[Comercial]])</f>
        <v>mario perez 1123</v>
      </c>
      <c r="K340" s="227" t="str">
        <f>PROPER(Tabla11[[#This Row],[Comercial]])</f>
        <v>Mario Perez 1123</v>
      </c>
      <c r="L340" t="s">
        <v>1510</v>
      </c>
      <c r="M340" t="str">
        <f>RIGHT(Tabla11[[#This Row],[Comercial]],4)</f>
        <v>1123</v>
      </c>
      <c r="N340" t="str">
        <f>LEFT(Tabla11[[#This Row],[Minuscula]],6)</f>
        <v xml:space="preserve">mario </v>
      </c>
    </row>
    <row r="341" spans="1:14">
      <c r="A341" s="226">
        <v>1340</v>
      </c>
      <c r="B341" s="224">
        <v>44493</v>
      </c>
      <c r="C341" s="207" t="s">
        <v>1495</v>
      </c>
      <c r="D341" s="207" t="s">
        <v>1502</v>
      </c>
      <c r="E341" s="207" t="s">
        <v>530</v>
      </c>
      <c r="F341" s="225">
        <v>25</v>
      </c>
      <c r="G341" s="225">
        <v>5.25</v>
      </c>
      <c r="H341" s="225">
        <v>30.25</v>
      </c>
      <c r="I341" s="24" t="str">
        <f>UPPER(Tabla11[[#This Row],[Comercial]])</f>
        <v>LUIS VALLE 5431</v>
      </c>
      <c r="J341" s="24" t="str">
        <f>LOWER(Tabla11[[#This Row],[Comercial]])</f>
        <v>luis valle 5431</v>
      </c>
      <c r="K341" s="227" t="str">
        <f>PROPER(Tabla11[[#This Row],[Comercial]])</f>
        <v>Luis Valle 5431</v>
      </c>
      <c r="L341" t="s">
        <v>1507</v>
      </c>
      <c r="M341" t="str">
        <f>RIGHT(Tabla11[[#This Row],[Comercial]],4)</f>
        <v>5431</v>
      </c>
      <c r="N341" t="str">
        <f>LEFT(Tabla11[[#This Row],[Minuscula]],6)</f>
        <v>luis v</v>
      </c>
    </row>
    <row r="342" spans="1:14">
      <c r="A342" s="226">
        <v>1341</v>
      </c>
      <c r="B342" s="224">
        <v>44493</v>
      </c>
      <c r="C342" s="207" t="s">
        <v>1496</v>
      </c>
      <c r="D342" s="207" t="s">
        <v>1499</v>
      </c>
      <c r="E342" s="207" t="s">
        <v>534</v>
      </c>
      <c r="F342" s="225">
        <v>6</v>
      </c>
      <c r="G342" s="225">
        <v>1.26</v>
      </c>
      <c r="H342" s="225">
        <v>7.26</v>
      </c>
      <c r="I342" s="24" t="str">
        <f>UPPER(Tabla11[[#This Row],[Comercial]])</f>
        <v>PABLO LOPEZ 7384</v>
      </c>
      <c r="J342" s="24" t="str">
        <f>LOWER(Tabla11[[#This Row],[Comercial]])</f>
        <v>pablo lopez 7384</v>
      </c>
      <c r="K342" s="227" t="str">
        <f>PROPER(Tabla11[[#This Row],[Comercial]])</f>
        <v>Pablo Lopez 7384</v>
      </c>
      <c r="L342" t="s">
        <v>1508</v>
      </c>
      <c r="M342" t="str">
        <f>RIGHT(Tabla11[[#This Row],[Comercial]],4)</f>
        <v>7384</v>
      </c>
      <c r="N342" t="str">
        <f>LEFT(Tabla11[[#This Row],[Minuscula]],6)</f>
        <v xml:space="preserve">pablo </v>
      </c>
    </row>
    <row r="343" spans="1:14">
      <c r="A343" s="226">
        <v>1342</v>
      </c>
      <c r="B343" s="224">
        <v>44494</v>
      </c>
      <c r="C343" s="207" t="s">
        <v>1500</v>
      </c>
      <c r="D343" s="207" t="s">
        <v>1503</v>
      </c>
      <c r="E343" s="207" t="s">
        <v>534</v>
      </c>
      <c r="F343" s="225">
        <v>9</v>
      </c>
      <c r="G343" s="225">
        <v>1.89</v>
      </c>
      <c r="H343" s="225">
        <v>10.89</v>
      </c>
      <c r="I343" s="24" t="str">
        <f>UPPER(Tabla11[[#This Row],[Comercial]])</f>
        <v>ANA FERNANDEZZ 4321</v>
      </c>
      <c r="J343" s="24" t="str">
        <f>LOWER(Tabla11[[#This Row],[Comercial]])</f>
        <v>ana fernandezz 4321</v>
      </c>
      <c r="K343" s="227" t="str">
        <f>PROPER(Tabla11[[#This Row],[Comercial]])</f>
        <v>Ana Fernandezz 4321</v>
      </c>
      <c r="L343" t="s">
        <v>1509</v>
      </c>
      <c r="M343" t="str">
        <f>RIGHT(Tabla11[[#This Row],[Comercial]],4)</f>
        <v>4321</v>
      </c>
      <c r="N343" t="str">
        <f>LEFT(Tabla11[[#This Row],[Minuscula]],6)</f>
        <v>ana fe</v>
      </c>
    </row>
    <row r="344" spans="1:14">
      <c r="A344" s="226">
        <v>1343</v>
      </c>
      <c r="B344" s="224">
        <v>44494</v>
      </c>
      <c r="C344" s="207" t="s">
        <v>1496</v>
      </c>
      <c r="D344" s="207" t="s">
        <v>1503</v>
      </c>
      <c r="E344" s="207" t="s">
        <v>534</v>
      </c>
      <c r="F344" s="225">
        <v>5</v>
      </c>
      <c r="G344" s="225">
        <v>1.05</v>
      </c>
      <c r="H344" s="225">
        <v>6.05</v>
      </c>
      <c r="I344" s="24" t="str">
        <f>UPPER(Tabla11[[#This Row],[Comercial]])</f>
        <v>PABLO LOPEZ 7384</v>
      </c>
      <c r="J344" s="24" t="str">
        <f>LOWER(Tabla11[[#This Row],[Comercial]])</f>
        <v>pablo lopez 7384</v>
      </c>
      <c r="K344" s="227" t="str">
        <f>PROPER(Tabla11[[#This Row],[Comercial]])</f>
        <v>Pablo Lopez 7384</v>
      </c>
      <c r="L344" t="s">
        <v>1508</v>
      </c>
      <c r="M344" t="str">
        <f>RIGHT(Tabla11[[#This Row],[Comercial]],4)</f>
        <v>7384</v>
      </c>
      <c r="N344" t="str">
        <f>LEFT(Tabla11[[#This Row],[Minuscula]],6)</f>
        <v xml:space="preserve">pablo </v>
      </c>
    </row>
    <row r="345" spans="1:14">
      <c r="A345" s="226">
        <v>1344</v>
      </c>
      <c r="B345" s="224">
        <v>44495</v>
      </c>
      <c r="C345" s="207" t="s">
        <v>1496</v>
      </c>
      <c r="D345" s="207" t="s">
        <v>1494</v>
      </c>
      <c r="E345" s="207" t="s">
        <v>534</v>
      </c>
      <c r="F345" s="225">
        <v>9</v>
      </c>
      <c r="G345" s="225">
        <v>1.89</v>
      </c>
      <c r="H345" s="225">
        <v>10.89</v>
      </c>
      <c r="I345" s="24" t="str">
        <f>UPPER(Tabla11[[#This Row],[Comercial]])</f>
        <v>PABLO LOPEZ 7384</v>
      </c>
      <c r="J345" s="24" t="str">
        <f>LOWER(Tabla11[[#This Row],[Comercial]])</f>
        <v>pablo lopez 7384</v>
      </c>
      <c r="K345" s="227" t="str">
        <f>PROPER(Tabla11[[#This Row],[Comercial]])</f>
        <v>Pablo Lopez 7384</v>
      </c>
      <c r="L345" t="s">
        <v>1508</v>
      </c>
      <c r="M345" t="str">
        <f>RIGHT(Tabla11[[#This Row],[Comercial]],4)</f>
        <v>7384</v>
      </c>
      <c r="N345" t="str">
        <f>LEFT(Tabla11[[#This Row],[Minuscula]],6)</f>
        <v xml:space="preserve">pablo </v>
      </c>
    </row>
    <row r="346" spans="1:14">
      <c r="A346" s="226">
        <v>1345</v>
      </c>
      <c r="B346" s="224">
        <v>44495</v>
      </c>
      <c r="C346" s="207" t="s">
        <v>1495</v>
      </c>
      <c r="D346" s="207" t="s">
        <v>1494</v>
      </c>
      <c r="E346" s="207" t="s">
        <v>530</v>
      </c>
      <c r="F346" s="225">
        <v>49</v>
      </c>
      <c r="G346" s="225">
        <v>10.29</v>
      </c>
      <c r="H346" s="225">
        <v>59.29</v>
      </c>
      <c r="I346" s="24" t="str">
        <f>UPPER(Tabla11[[#This Row],[Comercial]])</f>
        <v>LUIS VALLE 5431</v>
      </c>
      <c r="J346" s="24" t="str">
        <f>LOWER(Tabla11[[#This Row],[Comercial]])</f>
        <v>luis valle 5431</v>
      </c>
      <c r="K346" s="227" t="str">
        <f>PROPER(Tabla11[[#This Row],[Comercial]])</f>
        <v>Luis Valle 5431</v>
      </c>
      <c r="L346" t="s">
        <v>1507</v>
      </c>
      <c r="M346" t="str">
        <f>RIGHT(Tabla11[[#This Row],[Comercial]],4)</f>
        <v>5431</v>
      </c>
      <c r="N346" t="str">
        <f>LEFT(Tabla11[[#This Row],[Minuscula]],6)</f>
        <v>luis v</v>
      </c>
    </row>
    <row r="347" spans="1:14">
      <c r="A347" s="226">
        <v>1346</v>
      </c>
      <c r="B347" s="224">
        <v>44496</v>
      </c>
      <c r="C347" s="207" t="s">
        <v>1501</v>
      </c>
      <c r="D347" s="207" t="s">
        <v>1502</v>
      </c>
      <c r="E347" s="207" t="s">
        <v>520</v>
      </c>
      <c r="F347" s="225">
        <v>264</v>
      </c>
      <c r="G347" s="225">
        <v>55.44</v>
      </c>
      <c r="H347" s="225">
        <v>319.44</v>
      </c>
      <c r="I347" s="24" t="str">
        <f>UPPER(Tabla11[[#This Row],[Comercial]])</f>
        <v>MARIO PEREZ 1123</v>
      </c>
      <c r="J347" s="24" t="str">
        <f>LOWER(Tabla11[[#This Row],[Comercial]])</f>
        <v>mario perez 1123</v>
      </c>
      <c r="K347" s="227" t="str">
        <f>PROPER(Tabla11[[#This Row],[Comercial]])</f>
        <v>Mario Perez 1123</v>
      </c>
      <c r="L347" t="s">
        <v>1510</v>
      </c>
      <c r="M347" t="str">
        <f>RIGHT(Tabla11[[#This Row],[Comercial]],4)</f>
        <v>1123</v>
      </c>
      <c r="N347" t="str">
        <f>LEFT(Tabla11[[#This Row],[Minuscula]],6)</f>
        <v xml:space="preserve">mario </v>
      </c>
    </row>
    <row r="348" spans="1:14">
      <c r="A348" s="226">
        <v>1347</v>
      </c>
      <c r="B348" s="224">
        <v>44497</v>
      </c>
      <c r="C348" s="207" t="s">
        <v>1504</v>
      </c>
      <c r="D348" s="207" t="s">
        <v>1494</v>
      </c>
      <c r="E348" s="207" t="s">
        <v>520</v>
      </c>
      <c r="F348" s="225">
        <v>860</v>
      </c>
      <c r="G348" s="225">
        <v>180.6</v>
      </c>
      <c r="H348" s="225">
        <v>1040.5999999999999</v>
      </c>
      <c r="I348" s="24" t="str">
        <f>UPPER(Tabla11[[#This Row],[Comercial]])</f>
        <v>MARIA GARCIA 1254</v>
      </c>
      <c r="J348" s="24" t="str">
        <f>LOWER(Tabla11[[#This Row],[Comercial]])</f>
        <v>maria garcia 1254</v>
      </c>
      <c r="K348" s="227" t="str">
        <f>PROPER(Tabla11[[#This Row],[Comercial]])</f>
        <v>Maria Garcia 1254</v>
      </c>
      <c r="L348" t="s">
        <v>1506</v>
      </c>
      <c r="M348" t="str">
        <f>RIGHT(Tabla11[[#This Row],[Comercial]],4)</f>
        <v>1254</v>
      </c>
      <c r="N348" t="str">
        <f>LEFT(Tabla11[[#This Row],[Minuscula]],6)</f>
        <v xml:space="preserve">maria </v>
      </c>
    </row>
    <row r="349" spans="1:14">
      <c r="A349" s="226">
        <v>1348</v>
      </c>
      <c r="B349" s="224">
        <v>44499</v>
      </c>
      <c r="C349" s="207" t="s">
        <v>1495</v>
      </c>
      <c r="D349" s="207" t="s">
        <v>1503</v>
      </c>
      <c r="E349" s="207" t="s">
        <v>534</v>
      </c>
      <c r="F349" s="225">
        <v>6</v>
      </c>
      <c r="G349" s="225">
        <v>1.26</v>
      </c>
      <c r="H349" s="225">
        <v>7.26</v>
      </c>
      <c r="I349" s="24" t="str">
        <f>UPPER(Tabla11[[#This Row],[Comercial]])</f>
        <v>LUIS VALLE 5431</v>
      </c>
      <c r="J349" s="24" t="str">
        <f>LOWER(Tabla11[[#This Row],[Comercial]])</f>
        <v>luis valle 5431</v>
      </c>
      <c r="K349" s="227" t="str">
        <f>PROPER(Tabla11[[#This Row],[Comercial]])</f>
        <v>Luis Valle 5431</v>
      </c>
      <c r="L349" t="s">
        <v>1507</v>
      </c>
      <c r="M349" t="str">
        <f>RIGHT(Tabla11[[#This Row],[Comercial]],4)</f>
        <v>5431</v>
      </c>
      <c r="N349" t="str">
        <f>LEFT(Tabla11[[#This Row],[Minuscula]],6)</f>
        <v>luis v</v>
      </c>
    </row>
    <row r="350" spans="1:14">
      <c r="A350" s="226">
        <v>1349</v>
      </c>
      <c r="B350" s="224">
        <v>44501</v>
      </c>
      <c r="C350" s="207" t="s">
        <v>1504</v>
      </c>
      <c r="D350" s="207" t="s">
        <v>1499</v>
      </c>
      <c r="E350" s="207" t="s">
        <v>518</v>
      </c>
      <c r="F350" s="225">
        <v>63</v>
      </c>
      <c r="G350" s="225">
        <v>13.23</v>
      </c>
      <c r="H350" s="225">
        <v>76.23</v>
      </c>
      <c r="I350" s="24" t="str">
        <f>UPPER(Tabla11[[#This Row],[Comercial]])</f>
        <v>MARIA GARCIA 1254</v>
      </c>
      <c r="J350" s="24" t="str">
        <f>LOWER(Tabla11[[#This Row],[Comercial]])</f>
        <v>maria garcia 1254</v>
      </c>
      <c r="K350" s="227" t="str">
        <f>PROPER(Tabla11[[#This Row],[Comercial]])</f>
        <v>Maria Garcia 1254</v>
      </c>
      <c r="L350" t="s">
        <v>1506</v>
      </c>
      <c r="M350" t="str">
        <f>RIGHT(Tabla11[[#This Row],[Comercial]],4)</f>
        <v>1254</v>
      </c>
      <c r="N350" t="str">
        <f>LEFT(Tabla11[[#This Row],[Minuscula]],6)</f>
        <v xml:space="preserve">maria </v>
      </c>
    </row>
    <row r="351" spans="1:14">
      <c r="A351" s="226">
        <v>1350</v>
      </c>
      <c r="B351" s="224">
        <v>44501</v>
      </c>
      <c r="C351" s="207" t="s">
        <v>1501</v>
      </c>
      <c r="D351" s="207" t="s">
        <v>1499</v>
      </c>
      <c r="E351" s="207" t="s">
        <v>534</v>
      </c>
      <c r="F351" s="225">
        <v>6</v>
      </c>
      <c r="G351" s="225">
        <v>1.26</v>
      </c>
      <c r="H351" s="225">
        <v>7.26</v>
      </c>
      <c r="I351" s="24" t="str">
        <f>UPPER(Tabla11[[#This Row],[Comercial]])</f>
        <v>MARIO PEREZ 1123</v>
      </c>
      <c r="J351" s="24" t="str">
        <f>LOWER(Tabla11[[#This Row],[Comercial]])</f>
        <v>mario perez 1123</v>
      </c>
      <c r="K351" s="227" t="str">
        <f>PROPER(Tabla11[[#This Row],[Comercial]])</f>
        <v>Mario Perez 1123</v>
      </c>
      <c r="L351" t="s">
        <v>1510</v>
      </c>
      <c r="M351" t="str">
        <f>RIGHT(Tabla11[[#This Row],[Comercial]],4)</f>
        <v>1123</v>
      </c>
      <c r="N351" t="str">
        <f>LEFT(Tabla11[[#This Row],[Minuscula]],6)</f>
        <v xml:space="preserve">mario </v>
      </c>
    </row>
    <row r="352" spans="1:14">
      <c r="A352" s="226">
        <v>1351</v>
      </c>
      <c r="B352" s="224">
        <v>44504</v>
      </c>
      <c r="C352" s="207" t="s">
        <v>1504</v>
      </c>
      <c r="D352" s="207" t="s">
        <v>1497</v>
      </c>
      <c r="E352" s="207" t="s">
        <v>530</v>
      </c>
      <c r="F352" s="225">
        <v>17</v>
      </c>
      <c r="G352" s="225">
        <v>3.57</v>
      </c>
      <c r="H352" s="225">
        <v>20.57</v>
      </c>
      <c r="I352" s="24" t="str">
        <f>UPPER(Tabla11[[#This Row],[Comercial]])</f>
        <v>MARIA GARCIA 1254</v>
      </c>
      <c r="J352" s="24" t="str">
        <f>LOWER(Tabla11[[#This Row],[Comercial]])</f>
        <v>maria garcia 1254</v>
      </c>
      <c r="K352" s="227" t="str">
        <f>PROPER(Tabla11[[#This Row],[Comercial]])</f>
        <v>Maria Garcia 1254</v>
      </c>
      <c r="L352" t="s">
        <v>1506</v>
      </c>
      <c r="M352" t="str">
        <f>RIGHT(Tabla11[[#This Row],[Comercial]],4)</f>
        <v>1254</v>
      </c>
      <c r="N352" t="str">
        <f>LEFT(Tabla11[[#This Row],[Minuscula]],6)</f>
        <v xml:space="preserve">maria </v>
      </c>
    </row>
    <row r="353" spans="1:14">
      <c r="A353" s="226">
        <v>1352</v>
      </c>
      <c r="B353" s="224">
        <v>44507</v>
      </c>
      <c r="C353" s="207" t="s">
        <v>1500</v>
      </c>
      <c r="D353" s="207" t="s">
        <v>1497</v>
      </c>
      <c r="E353" s="207" t="s">
        <v>518</v>
      </c>
      <c r="F353" s="225">
        <v>15</v>
      </c>
      <c r="G353" s="225">
        <v>3.15</v>
      </c>
      <c r="H353" s="225">
        <v>18.149999999999999</v>
      </c>
      <c r="I353" s="24" t="str">
        <f>UPPER(Tabla11[[#This Row],[Comercial]])</f>
        <v>ANA FERNANDEZZ 4321</v>
      </c>
      <c r="J353" s="24" t="str">
        <f>LOWER(Tabla11[[#This Row],[Comercial]])</f>
        <v>ana fernandezz 4321</v>
      </c>
      <c r="K353" s="227" t="str">
        <f>PROPER(Tabla11[[#This Row],[Comercial]])</f>
        <v>Ana Fernandezz 4321</v>
      </c>
      <c r="L353" t="s">
        <v>1509</v>
      </c>
      <c r="M353" t="str">
        <f>RIGHT(Tabla11[[#This Row],[Comercial]],4)</f>
        <v>4321</v>
      </c>
      <c r="N353" t="str">
        <f>LEFT(Tabla11[[#This Row],[Minuscula]],6)</f>
        <v>ana fe</v>
      </c>
    </row>
    <row r="354" spans="1:14">
      <c r="A354" s="226">
        <v>1353</v>
      </c>
      <c r="B354" s="224">
        <v>44507</v>
      </c>
      <c r="C354" s="207" t="s">
        <v>1500</v>
      </c>
      <c r="D354" s="207" t="s">
        <v>1499</v>
      </c>
      <c r="E354" s="207" t="s">
        <v>525</v>
      </c>
      <c r="F354" s="225">
        <v>6</v>
      </c>
      <c r="G354" s="225">
        <v>1.26</v>
      </c>
      <c r="H354" s="225">
        <v>7.26</v>
      </c>
      <c r="I354" s="24" t="str">
        <f>UPPER(Tabla11[[#This Row],[Comercial]])</f>
        <v>ANA FERNANDEZZ 4321</v>
      </c>
      <c r="J354" s="24" t="str">
        <f>LOWER(Tabla11[[#This Row],[Comercial]])</f>
        <v>ana fernandezz 4321</v>
      </c>
      <c r="K354" s="227" t="str">
        <f>PROPER(Tabla11[[#This Row],[Comercial]])</f>
        <v>Ana Fernandezz 4321</v>
      </c>
      <c r="L354" t="s">
        <v>1509</v>
      </c>
      <c r="M354" t="str">
        <f>RIGHT(Tabla11[[#This Row],[Comercial]],4)</f>
        <v>4321</v>
      </c>
      <c r="N354" t="str">
        <f>LEFT(Tabla11[[#This Row],[Minuscula]],6)</f>
        <v>ana fe</v>
      </c>
    </row>
    <row r="355" spans="1:14">
      <c r="A355" s="226">
        <v>1354</v>
      </c>
      <c r="B355" s="224">
        <v>44508</v>
      </c>
      <c r="C355" s="207" t="s">
        <v>1496</v>
      </c>
      <c r="D355" s="207" t="s">
        <v>1494</v>
      </c>
      <c r="E355" s="207" t="s">
        <v>518</v>
      </c>
      <c r="F355" s="225">
        <v>198</v>
      </c>
      <c r="G355" s="225">
        <v>41.58</v>
      </c>
      <c r="H355" s="225">
        <v>239.58</v>
      </c>
      <c r="I355" s="24" t="str">
        <f>UPPER(Tabla11[[#This Row],[Comercial]])</f>
        <v>PABLO LOPEZ 7384</v>
      </c>
      <c r="J355" s="24" t="str">
        <f>LOWER(Tabla11[[#This Row],[Comercial]])</f>
        <v>pablo lopez 7384</v>
      </c>
      <c r="K355" s="227" t="str">
        <f>PROPER(Tabla11[[#This Row],[Comercial]])</f>
        <v>Pablo Lopez 7384</v>
      </c>
      <c r="L355" t="s">
        <v>1508</v>
      </c>
      <c r="M355" t="str">
        <f>RIGHT(Tabla11[[#This Row],[Comercial]],4)</f>
        <v>7384</v>
      </c>
      <c r="N355" t="str">
        <f>LEFT(Tabla11[[#This Row],[Minuscula]],6)</f>
        <v xml:space="preserve">pablo </v>
      </c>
    </row>
    <row r="356" spans="1:14">
      <c r="A356" s="226">
        <v>1355</v>
      </c>
      <c r="B356" s="224">
        <v>44508</v>
      </c>
      <c r="C356" s="207" t="s">
        <v>1501</v>
      </c>
      <c r="D356" s="207" t="s">
        <v>1494</v>
      </c>
      <c r="E356" s="207" t="s">
        <v>520</v>
      </c>
      <c r="F356" s="225">
        <v>621</v>
      </c>
      <c r="G356" s="225">
        <v>130.41</v>
      </c>
      <c r="H356" s="225">
        <v>751.41</v>
      </c>
      <c r="I356" s="24" t="str">
        <f>UPPER(Tabla11[[#This Row],[Comercial]])</f>
        <v>MARIO PEREZ 1123</v>
      </c>
      <c r="J356" s="24" t="str">
        <f>LOWER(Tabla11[[#This Row],[Comercial]])</f>
        <v>mario perez 1123</v>
      </c>
      <c r="K356" s="227" t="str">
        <f>PROPER(Tabla11[[#This Row],[Comercial]])</f>
        <v>Mario Perez 1123</v>
      </c>
      <c r="L356" t="s">
        <v>1510</v>
      </c>
      <c r="M356" t="str">
        <f>RIGHT(Tabla11[[#This Row],[Comercial]],4)</f>
        <v>1123</v>
      </c>
      <c r="N356" t="str">
        <f>LEFT(Tabla11[[#This Row],[Minuscula]],6)</f>
        <v xml:space="preserve">mario </v>
      </c>
    </row>
    <row r="357" spans="1:14">
      <c r="A357" s="226">
        <v>1356</v>
      </c>
      <c r="B357" s="224">
        <v>44509</v>
      </c>
      <c r="C357" s="207" t="s">
        <v>1504</v>
      </c>
      <c r="D357" s="207" t="s">
        <v>1503</v>
      </c>
      <c r="E357" s="207" t="s">
        <v>525</v>
      </c>
      <c r="F357" s="225">
        <v>16</v>
      </c>
      <c r="G357" s="225">
        <v>3.36</v>
      </c>
      <c r="H357" s="225">
        <v>19.36</v>
      </c>
      <c r="I357" s="24" t="str">
        <f>UPPER(Tabla11[[#This Row],[Comercial]])</f>
        <v>MARIA GARCIA 1254</v>
      </c>
      <c r="J357" s="24" t="str">
        <f>LOWER(Tabla11[[#This Row],[Comercial]])</f>
        <v>maria garcia 1254</v>
      </c>
      <c r="K357" s="227" t="str">
        <f>PROPER(Tabla11[[#This Row],[Comercial]])</f>
        <v>Maria Garcia 1254</v>
      </c>
      <c r="L357" t="s">
        <v>1506</v>
      </c>
      <c r="M357" t="str">
        <f>RIGHT(Tabla11[[#This Row],[Comercial]],4)</f>
        <v>1254</v>
      </c>
      <c r="N357" t="str">
        <f>LEFT(Tabla11[[#This Row],[Minuscula]],6)</f>
        <v xml:space="preserve">maria </v>
      </c>
    </row>
    <row r="358" spans="1:14">
      <c r="A358" s="226">
        <v>1357</v>
      </c>
      <c r="B358" s="224">
        <v>44509</v>
      </c>
      <c r="C358" s="207" t="s">
        <v>1501</v>
      </c>
      <c r="D358" s="207" t="s">
        <v>1497</v>
      </c>
      <c r="E358" s="207" t="s">
        <v>518</v>
      </c>
      <c r="F358" s="225">
        <v>31</v>
      </c>
      <c r="G358" s="225">
        <v>6.51</v>
      </c>
      <c r="H358" s="225">
        <v>37.51</v>
      </c>
      <c r="I358" s="24" t="str">
        <f>UPPER(Tabla11[[#This Row],[Comercial]])</f>
        <v>MARIO PEREZ 1123</v>
      </c>
      <c r="J358" s="24" t="str">
        <f>LOWER(Tabla11[[#This Row],[Comercial]])</f>
        <v>mario perez 1123</v>
      </c>
      <c r="K358" s="227" t="str">
        <f>PROPER(Tabla11[[#This Row],[Comercial]])</f>
        <v>Mario Perez 1123</v>
      </c>
      <c r="L358" t="s">
        <v>1510</v>
      </c>
      <c r="M358" t="str">
        <f>RIGHT(Tabla11[[#This Row],[Comercial]],4)</f>
        <v>1123</v>
      </c>
      <c r="N358" t="str">
        <f>LEFT(Tabla11[[#This Row],[Minuscula]],6)</f>
        <v xml:space="preserve">mario </v>
      </c>
    </row>
    <row r="359" spans="1:14">
      <c r="A359" s="226">
        <v>1358</v>
      </c>
      <c r="B359" s="224">
        <v>44509</v>
      </c>
      <c r="C359" s="207" t="s">
        <v>1504</v>
      </c>
      <c r="D359" s="207" t="s">
        <v>1503</v>
      </c>
      <c r="E359" s="207" t="s">
        <v>520</v>
      </c>
      <c r="F359" s="225">
        <v>663</v>
      </c>
      <c r="G359" s="225">
        <v>139.22999999999999</v>
      </c>
      <c r="H359" s="225">
        <v>802.23</v>
      </c>
      <c r="I359" s="24" t="str">
        <f>UPPER(Tabla11[[#This Row],[Comercial]])</f>
        <v>MARIA GARCIA 1254</v>
      </c>
      <c r="J359" s="24" t="str">
        <f>LOWER(Tabla11[[#This Row],[Comercial]])</f>
        <v>maria garcia 1254</v>
      </c>
      <c r="K359" s="227" t="str">
        <f>PROPER(Tabla11[[#This Row],[Comercial]])</f>
        <v>Maria Garcia 1254</v>
      </c>
      <c r="L359" t="s">
        <v>1506</v>
      </c>
      <c r="M359" t="str">
        <f>RIGHT(Tabla11[[#This Row],[Comercial]],4)</f>
        <v>1254</v>
      </c>
      <c r="N359" t="str">
        <f>LEFT(Tabla11[[#This Row],[Minuscula]],6)</f>
        <v xml:space="preserve">maria </v>
      </c>
    </row>
    <row r="360" spans="1:14">
      <c r="A360" s="226">
        <v>1359</v>
      </c>
      <c r="B360" s="224">
        <v>44510</v>
      </c>
      <c r="C360" s="207" t="s">
        <v>1496</v>
      </c>
      <c r="D360" s="207" t="s">
        <v>1503</v>
      </c>
      <c r="E360" s="207" t="s">
        <v>525</v>
      </c>
      <c r="F360" s="225">
        <v>22</v>
      </c>
      <c r="G360" s="225">
        <v>4.62</v>
      </c>
      <c r="H360" s="225">
        <v>26.62</v>
      </c>
      <c r="I360" s="24" t="str">
        <f>UPPER(Tabla11[[#This Row],[Comercial]])</f>
        <v>PABLO LOPEZ 7384</v>
      </c>
      <c r="J360" s="24" t="str">
        <f>LOWER(Tabla11[[#This Row],[Comercial]])</f>
        <v>pablo lopez 7384</v>
      </c>
      <c r="K360" s="227" t="str">
        <f>PROPER(Tabla11[[#This Row],[Comercial]])</f>
        <v>Pablo Lopez 7384</v>
      </c>
      <c r="L360" t="s">
        <v>1508</v>
      </c>
      <c r="M360" t="str">
        <f>RIGHT(Tabla11[[#This Row],[Comercial]],4)</f>
        <v>7384</v>
      </c>
      <c r="N360" t="str">
        <f>LEFT(Tabla11[[#This Row],[Minuscula]],6)</f>
        <v xml:space="preserve">pablo </v>
      </c>
    </row>
    <row r="361" spans="1:14">
      <c r="A361" s="226">
        <v>1360</v>
      </c>
      <c r="B361" s="224">
        <v>44510</v>
      </c>
      <c r="C361" s="207" t="s">
        <v>1495</v>
      </c>
      <c r="D361" s="207" t="s">
        <v>1503</v>
      </c>
      <c r="E361" s="207" t="s">
        <v>534</v>
      </c>
      <c r="F361" s="225">
        <v>7</v>
      </c>
      <c r="G361" s="225">
        <v>1.47</v>
      </c>
      <c r="H361" s="225">
        <v>8.4700000000000006</v>
      </c>
      <c r="I361" s="24" t="str">
        <f>UPPER(Tabla11[[#This Row],[Comercial]])</f>
        <v>LUIS VALLE 5431</v>
      </c>
      <c r="J361" s="24" t="str">
        <f>LOWER(Tabla11[[#This Row],[Comercial]])</f>
        <v>luis valle 5431</v>
      </c>
      <c r="K361" s="227" t="str">
        <f>PROPER(Tabla11[[#This Row],[Comercial]])</f>
        <v>Luis Valle 5431</v>
      </c>
      <c r="L361" t="s">
        <v>1507</v>
      </c>
      <c r="M361" t="str">
        <f>RIGHT(Tabla11[[#This Row],[Comercial]],4)</f>
        <v>5431</v>
      </c>
      <c r="N361" t="str">
        <f>LEFT(Tabla11[[#This Row],[Minuscula]],6)</f>
        <v>luis v</v>
      </c>
    </row>
    <row r="362" spans="1:14">
      <c r="A362" s="226">
        <v>1361</v>
      </c>
      <c r="B362" s="224">
        <v>44511</v>
      </c>
      <c r="C362" s="207" t="s">
        <v>1496</v>
      </c>
      <c r="D362" s="207" t="s">
        <v>1494</v>
      </c>
      <c r="E362" s="207" t="s">
        <v>525</v>
      </c>
      <c r="F362" s="225">
        <v>21</v>
      </c>
      <c r="G362" s="225">
        <v>4.41</v>
      </c>
      <c r="H362" s="225">
        <v>25.41</v>
      </c>
      <c r="I362" s="24" t="str">
        <f>UPPER(Tabla11[[#This Row],[Comercial]])</f>
        <v>PABLO LOPEZ 7384</v>
      </c>
      <c r="J362" s="24" t="str">
        <f>LOWER(Tabla11[[#This Row],[Comercial]])</f>
        <v>pablo lopez 7384</v>
      </c>
      <c r="K362" s="227" t="str">
        <f>PROPER(Tabla11[[#This Row],[Comercial]])</f>
        <v>Pablo Lopez 7384</v>
      </c>
      <c r="L362" t="s">
        <v>1508</v>
      </c>
      <c r="M362" t="str">
        <f>RIGHT(Tabla11[[#This Row],[Comercial]],4)</f>
        <v>7384</v>
      </c>
      <c r="N362" t="str">
        <f>LEFT(Tabla11[[#This Row],[Minuscula]],6)</f>
        <v xml:space="preserve">pablo </v>
      </c>
    </row>
    <row r="363" spans="1:14">
      <c r="A363" s="226">
        <v>1362</v>
      </c>
      <c r="B363" s="224">
        <v>44512</v>
      </c>
      <c r="C363" s="207" t="s">
        <v>1504</v>
      </c>
      <c r="D363" s="207" t="s">
        <v>1497</v>
      </c>
      <c r="E363" s="207" t="s">
        <v>525</v>
      </c>
      <c r="F363" s="225">
        <v>15</v>
      </c>
      <c r="G363" s="225">
        <v>3.15</v>
      </c>
      <c r="H363" s="225">
        <v>18.149999999999999</v>
      </c>
      <c r="I363" s="24" t="str">
        <f>UPPER(Tabla11[[#This Row],[Comercial]])</f>
        <v>MARIA GARCIA 1254</v>
      </c>
      <c r="J363" s="24" t="str">
        <f>LOWER(Tabla11[[#This Row],[Comercial]])</f>
        <v>maria garcia 1254</v>
      </c>
      <c r="K363" s="227" t="str">
        <f>PROPER(Tabla11[[#This Row],[Comercial]])</f>
        <v>Maria Garcia 1254</v>
      </c>
      <c r="L363" t="s">
        <v>1506</v>
      </c>
      <c r="M363" t="str">
        <f>RIGHT(Tabla11[[#This Row],[Comercial]],4)</f>
        <v>1254</v>
      </c>
      <c r="N363" t="str">
        <f>LEFT(Tabla11[[#This Row],[Minuscula]],6)</f>
        <v xml:space="preserve">maria </v>
      </c>
    </row>
    <row r="364" spans="1:14">
      <c r="A364" s="226">
        <v>1363</v>
      </c>
      <c r="B364" s="224">
        <v>44513</v>
      </c>
      <c r="C364" s="207" t="s">
        <v>1495</v>
      </c>
      <c r="D364" s="207" t="s">
        <v>1494</v>
      </c>
      <c r="E364" s="207" t="s">
        <v>520</v>
      </c>
      <c r="F364" s="225">
        <v>329</v>
      </c>
      <c r="G364" s="225">
        <v>69.09</v>
      </c>
      <c r="H364" s="225">
        <v>398.09</v>
      </c>
      <c r="I364" s="24" t="str">
        <f>UPPER(Tabla11[[#This Row],[Comercial]])</f>
        <v>LUIS VALLE 5431</v>
      </c>
      <c r="J364" s="24" t="str">
        <f>LOWER(Tabla11[[#This Row],[Comercial]])</f>
        <v>luis valle 5431</v>
      </c>
      <c r="K364" s="227" t="str">
        <f>PROPER(Tabla11[[#This Row],[Comercial]])</f>
        <v>Luis Valle 5431</v>
      </c>
      <c r="L364" t="s">
        <v>1507</v>
      </c>
      <c r="M364" t="str">
        <f>RIGHT(Tabla11[[#This Row],[Comercial]],4)</f>
        <v>5431</v>
      </c>
      <c r="N364" t="str">
        <f>LEFT(Tabla11[[#This Row],[Minuscula]],6)</f>
        <v>luis v</v>
      </c>
    </row>
    <row r="365" spans="1:14">
      <c r="A365" s="226">
        <v>1364</v>
      </c>
      <c r="B365" s="224">
        <v>44514</v>
      </c>
      <c r="C365" s="207" t="s">
        <v>1504</v>
      </c>
      <c r="D365" s="207" t="s">
        <v>1494</v>
      </c>
      <c r="E365" s="207" t="s">
        <v>534</v>
      </c>
      <c r="F365" s="225">
        <v>6</v>
      </c>
      <c r="G365" s="225">
        <v>1.26</v>
      </c>
      <c r="H365" s="225">
        <v>7.26</v>
      </c>
      <c r="I365" s="24" t="str">
        <f>UPPER(Tabla11[[#This Row],[Comercial]])</f>
        <v>MARIA GARCIA 1254</v>
      </c>
      <c r="J365" s="24" t="str">
        <f>LOWER(Tabla11[[#This Row],[Comercial]])</f>
        <v>maria garcia 1254</v>
      </c>
      <c r="K365" s="227" t="str">
        <f>PROPER(Tabla11[[#This Row],[Comercial]])</f>
        <v>Maria Garcia 1254</v>
      </c>
      <c r="L365" t="s">
        <v>1506</v>
      </c>
      <c r="M365" t="str">
        <f>RIGHT(Tabla11[[#This Row],[Comercial]],4)</f>
        <v>1254</v>
      </c>
      <c r="N365" t="str">
        <f>LEFT(Tabla11[[#This Row],[Minuscula]],6)</f>
        <v xml:space="preserve">maria </v>
      </c>
    </row>
    <row r="366" spans="1:14">
      <c r="A366" s="226">
        <v>1365</v>
      </c>
      <c r="B366" s="224">
        <v>44516</v>
      </c>
      <c r="C366" s="207" t="s">
        <v>1504</v>
      </c>
      <c r="D366" s="207" t="s">
        <v>1503</v>
      </c>
      <c r="E366" s="207" t="s">
        <v>518</v>
      </c>
      <c r="F366" s="225">
        <v>244</v>
      </c>
      <c r="G366" s="225">
        <v>51.24</v>
      </c>
      <c r="H366" s="225">
        <v>295.24</v>
      </c>
      <c r="I366" s="24" t="str">
        <f>UPPER(Tabla11[[#This Row],[Comercial]])</f>
        <v>MARIA GARCIA 1254</v>
      </c>
      <c r="J366" s="24" t="str">
        <f>LOWER(Tabla11[[#This Row],[Comercial]])</f>
        <v>maria garcia 1254</v>
      </c>
      <c r="K366" s="227" t="str">
        <f>PROPER(Tabla11[[#This Row],[Comercial]])</f>
        <v>Maria Garcia 1254</v>
      </c>
      <c r="L366" t="s">
        <v>1506</v>
      </c>
      <c r="M366" t="str">
        <f>RIGHT(Tabla11[[#This Row],[Comercial]],4)</f>
        <v>1254</v>
      </c>
      <c r="N366" t="str">
        <f>LEFT(Tabla11[[#This Row],[Minuscula]],6)</f>
        <v xml:space="preserve">maria </v>
      </c>
    </row>
    <row r="367" spans="1:14">
      <c r="A367" s="226">
        <v>1366</v>
      </c>
      <c r="B367" s="224">
        <v>44517</v>
      </c>
      <c r="C367" s="207" t="s">
        <v>1496</v>
      </c>
      <c r="D367" s="207" t="s">
        <v>1503</v>
      </c>
      <c r="E367" s="207" t="s">
        <v>534</v>
      </c>
      <c r="F367" s="225">
        <v>8</v>
      </c>
      <c r="G367" s="225">
        <v>1.68</v>
      </c>
      <c r="H367" s="225">
        <v>9.68</v>
      </c>
      <c r="I367" s="24" t="str">
        <f>UPPER(Tabla11[[#This Row],[Comercial]])</f>
        <v>PABLO LOPEZ 7384</v>
      </c>
      <c r="J367" s="24" t="str">
        <f>LOWER(Tabla11[[#This Row],[Comercial]])</f>
        <v>pablo lopez 7384</v>
      </c>
      <c r="K367" s="227" t="str">
        <f>PROPER(Tabla11[[#This Row],[Comercial]])</f>
        <v>Pablo Lopez 7384</v>
      </c>
      <c r="L367" t="s">
        <v>1508</v>
      </c>
      <c r="M367" t="str">
        <f>RIGHT(Tabla11[[#This Row],[Comercial]],4)</f>
        <v>7384</v>
      </c>
      <c r="N367" t="str">
        <f>LEFT(Tabla11[[#This Row],[Minuscula]],6)</f>
        <v xml:space="preserve">pablo </v>
      </c>
    </row>
    <row r="368" spans="1:14">
      <c r="A368" s="226">
        <v>1367</v>
      </c>
      <c r="B368" s="224">
        <v>44518</v>
      </c>
      <c r="C368" s="207" t="s">
        <v>1500</v>
      </c>
      <c r="D368" s="207" t="s">
        <v>1499</v>
      </c>
      <c r="E368" s="207" t="s">
        <v>525</v>
      </c>
      <c r="F368" s="225">
        <v>12</v>
      </c>
      <c r="G368" s="225">
        <v>2.52</v>
      </c>
      <c r="H368" s="225">
        <v>14.52</v>
      </c>
      <c r="I368" s="24" t="str">
        <f>UPPER(Tabla11[[#This Row],[Comercial]])</f>
        <v>ANA FERNANDEZZ 4321</v>
      </c>
      <c r="J368" s="24" t="str">
        <f>LOWER(Tabla11[[#This Row],[Comercial]])</f>
        <v>ana fernandezz 4321</v>
      </c>
      <c r="K368" s="227" t="str">
        <f>PROPER(Tabla11[[#This Row],[Comercial]])</f>
        <v>Ana Fernandezz 4321</v>
      </c>
      <c r="L368" t="s">
        <v>1509</v>
      </c>
      <c r="M368" t="str">
        <f>RIGHT(Tabla11[[#This Row],[Comercial]],4)</f>
        <v>4321</v>
      </c>
      <c r="N368" t="str">
        <f>LEFT(Tabla11[[#This Row],[Minuscula]],6)</f>
        <v>ana fe</v>
      </c>
    </row>
    <row r="369" spans="1:14">
      <c r="A369" s="226">
        <v>1368</v>
      </c>
      <c r="B369" s="224">
        <v>44521</v>
      </c>
      <c r="C369" s="207" t="s">
        <v>1495</v>
      </c>
      <c r="D369" s="207" t="s">
        <v>1494</v>
      </c>
      <c r="E369" s="207" t="s">
        <v>530</v>
      </c>
      <c r="F369" s="225">
        <v>22</v>
      </c>
      <c r="G369" s="225">
        <v>4.62</v>
      </c>
      <c r="H369" s="225">
        <v>26.62</v>
      </c>
      <c r="I369" s="24" t="str">
        <f>UPPER(Tabla11[[#This Row],[Comercial]])</f>
        <v>LUIS VALLE 5431</v>
      </c>
      <c r="J369" s="24" t="str">
        <f>LOWER(Tabla11[[#This Row],[Comercial]])</f>
        <v>luis valle 5431</v>
      </c>
      <c r="K369" s="227" t="str">
        <f>PROPER(Tabla11[[#This Row],[Comercial]])</f>
        <v>Luis Valle 5431</v>
      </c>
      <c r="L369" t="s">
        <v>1507</v>
      </c>
      <c r="M369" t="str">
        <f>RIGHT(Tabla11[[#This Row],[Comercial]],4)</f>
        <v>5431</v>
      </c>
      <c r="N369" t="str">
        <f>LEFT(Tabla11[[#This Row],[Minuscula]],6)</f>
        <v>luis v</v>
      </c>
    </row>
    <row r="370" spans="1:14">
      <c r="A370" s="226">
        <v>1369</v>
      </c>
      <c r="B370" s="224">
        <v>44521</v>
      </c>
      <c r="C370" s="207" t="s">
        <v>1496</v>
      </c>
      <c r="D370" s="207" t="s">
        <v>1497</v>
      </c>
      <c r="E370" s="207" t="s">
        <v>534</v>
      </c>
      <c r="F370" s="225">
        <v>8</v>
      </c>
      <c r="G370" s="225">
        <v>1.68</v>
      </c>
      <c r="H370" s="225">
        <v>9.68</v>
      </c>
      <c r="I370" s="24" t="str">
        <f>UPPER(Tabla11[[#This Row],[Comercial]])</f>
        <v>PABLO LOPEZ 7384</v>
      </c>
      <c r="J370" s="24" t="str">
        <f>LOWER(Tabla11[[#This Row],[Comercial]])</f>
        <v>pablo lopez 7384</v>
      </c>
      <c r="K370" s="227" t="str">
        <f>PROPER(Tabla11[[#This Row],[Comercial]])</f>
        <v>Pablo Lopez 7384</v>
      </c>
      <c r="L370" t="s">
        <v>1508</v>
      </c>
      <c r="M370" t="str">
        <f>RIGHT(Tabla11[[#This Row],[Comercial]],4)</f>
        <v>7384</v>
      </c>
      <c r="N370" t="str">
        <f>LEFT(Tabla11[[#This Row],[Minuscula]],6)</f>
        <v xml:space="preserve">pablo </v>
      </c>
    </row>
    <row r="371" spans="1:14">
      <c r="A371" s="226">
        <v>1370</v>
      </c>
      <c r="B371" s="224">
        <v>44524</v>
      </c>
      <c r="C371" s="207" t="s">
        <v>1500</v>
      </c>
      <c r="D371" s="207" t="s">
        <v>1502</v>
      </c>
      <c r="E371" s="207" t="s">
        <v>518</v>
      </c>
      <c r="F371" s="225">
        <v>20</v>
      </c>
      <c r="G371" s="225">
        <v>4.2</v>
      </c>
      <c r="H371" s="225">
        <v>24.2</v>
      </c>
      <c r="I371" s="24" t="str">
        <f>UPPER(Tabla11[[#This Row],[Comercial]])</f>
        <v>ANA FERNANDEZZ 4321</v>
      </c>
      <c r="J371" s="24" t="str">
        <f>LOWER(Tabla11[[#This Row],[Comercial]])</f>
        <v>ana fernandezz 4321</v>
      </c>
      <c r="K371" s="227" t="str">
        <f>PROPER(Tabla11[[#This Row],[Comercial]])</f>
        <v>Ana Fernandezz 4321</v>
      </c>
      <c r="L371" t="s">
        <v>1509</v>
      </c>
      <c r="M371" t="str">
        <f>RIGHT(Tabla11[[#This Row],[Comercial]],4)</f>
        <v>4321</v>
      </c>
      <c r="N371" t="str">
        <f>LEFT(Tabla11[[#This Row],[Minuscula]],6)</f>
        <v>ana fe</v>
      </c>
    </row>
    <row r="372" spans="1:14">
      <c r="A372" s="226">
        <v>1371</v>
      </c>
      <c r="B372" s="224">
        <v>44524</v>
      </c>
      <c r="C372" s="207" t="s">
        <v>1501</v>
      </c>
      <c r="D372" s="207" t="s">
        <v>1497</v>
      </c>
      <c r="E372" s="207" t="s">
        <v>530</v>
      </c>
      <c r="F372" s="225">
        <v>19</v>
      </c>
      <c r="G372" s="225">
        <v>3.99</v>
      </c>
      <c r="H372" s="225">
        <v>22.99</v>
      </c>
      <c r="I372" s="24" t="str">
        <f>UPPER(Tabla11[[#This Row],[Comercial]])</f>
        <v>MARIO PEREZ 1123</v>
      </c>
      <c r="J372" s="24" t="str">
        <f>LOWER(Tabla11[[#This Row],[Comercial]])</f>
        <v>mario perez 1123</v>
      </c>
      <c r="K372" s="227" t="str">
        <f>PROPER(Tabla11[[#This Row],[Comercial]])</f>
        <v>Mario Perez 1123</v>
      </c>
      <c r="L372" t="s">
        <v>1510</v>
      </c>
      <c r="M372" t="str">
        <f>RIGHT(Tabla11[[#This Row],[Comercial]],4)</f>
        <v>1123</v>
      </c>
      <c r="N372" t="str">
        <f>LEFT(Tabla11[[#This Row],[Minuscula]],6)</f>
        <v xml:space="preserve">mario </v>
      </c>
    </row>
    <row r="373" spans="1:14">
      <c r="A373" s="226">
        <v>1372</v>
      </c>
      <c r="B373" s="224">
        <v>44526</v>
      </c>
      <c r="C373" s="207" t="s">
        <v>1504</v>
      </c>
      <c r="D373" s="207" t="s">
        <v>1494</v>
      </c>
      <c r="E373" s="207" t="s">
        <v>530</v>
      </c>
      <c r="F373" s="225">
        <v>44</v>
      </c>
      <c r="G373" s="225">
        <v>9.24</v>
      </c>
      <c r="H373" s="225">
        <v>53.24</v>
      </c>
      <c r="I373" s="24" t="str">
        <f>UPPER(Tabla11[[#This Row],[Comercial]])</f>
        <v>MARIA GARCIA 1254</v>
      </c>
      <c r="J373" s="24" t="str">
        <f>LOWER(Tabla11[[#This Row],[Comercial]])</f>
        <v>maria garcia 1254</v>
      </c>
      <c r="K373" s="227" t="str">
        <f>PROPER(Tabla11[[#This Row],[Comercial]])</f>
        <v>Maria Garcia 1254</v>
      </c>
      <c r="L373" t="s">
        <v>1506</v>
      </c>
      <c r="M373" t="str">
        <f>RIGHT(Tabla11[[#This Row],[Comercial]],4)</f>
        <v>1254</v>
      </c>
      <c r="N373" t="str">
        <f>LEFT(Tabla11[[#This Row],[Minuscula]],6)</f>
        <v xml:space="preserve">maria </v>
      </c>
    </row>
    <row r="374" spans="1:14">
      <c r="A374" s="226">
        <v>1373</v>
      </c>
      <c r="B374" s="224">
        <v>44526</v>
      </c>
      <c r="C374" s="207" t="s">
        <v>1496</v>
      </c>
      <c r="D374" s="207" t="s">
        <v>1502</v>
      </c>
      <c r="E374" s="207" t="s">
        <v>518</v>
      </c>
      <c r="F374" s="225">
        <v>23</v>
      </c>
      <c r="G374" s="225">
        <v>4.83</v>
      </c>
      <c r="H374" s="225">
        <v>27.83</v>
      </c>
      <c r="I374" s="24" t="str">
        <f>UPPER(Tabla11[[#This Row],[Comercial]])</f>
        <v>PABLO LOPEZ 7384</v>
      </c>
      <c r="J374" s="24" t="str">
        <f>LOWER(Tabla11[[#This Row],[Comercial]])</f>
        <v>pablo lopez 7384</v>
      </c>
      <c r="K374" s="227" t="str">
        <f>PROPER(Tabla11[[#This Row],[Comercial]])</f>
        <v>Pablo Lopez 7384</v>
      </c>
      <c r="L374" t="s">
        <v>1508</v>
      </c>
      <c r="M374" t="str">
        <f>RIGHT(Tabla11[[#This Row],[Comercial]],4)</f>
        <v>7384</v>
      </c>
      <c r="N374" t="str">
        <f>LEFT(Tabla11[[#This Row],[Minuscula]],6)</f>
        <v xml:space="preserve">pablo </v>
      </c>
    </row>
    <row r="375" spans="1:14">
      <c r="A375" s="226">
        <v>1374</v>
      </c>
      <c r="B375" s="224">
        <v>44527</v>
      </c>
      <c r="C375" s="207" t="s">
        <v>1501</v>
      </c>
      <c r="D375" s="207" t="s">
        <v>1502</v>
      </c>
      <c r="E375" s="207" t="s">
        <v>520</v>
      </c>
      <c r="F375" s="225">
        <v>200</v>
      </c>
      <c r="G375" s="225">
        <v>42</v>
      </c>
      <c r="H375" s="225">
        <v>242</v>
      </c>
      <c r="I375" s="24" t="str">
        <f>UPPER(Tabla11[[#This Row],[Comercial]])</f>
        <v>MARIO PEREZ 1123</v>
      </c>
      <c r="J375" s="24" t="str">
        <f>LOWER(Tabla11[[#This Row],[Comercial]])</f>
        <v>mario perez 1123</v>
      </c>
      <c r="K375" s="227" t="str">
        <f>PROPER(Tabla11[[#This Row],[Comercial]])</f>
        <v>Mario Perez 1123</v>
      </c>
      <c r="L375" t="s">
        <v>1510</v>
      </c>
      <c r="M375" t="str">
        <f>RIGHT(Tabla11[[#This Row],[Comercial]],4)</f>
        <v>1123</v>
      </c>
      <c r="N375" t="str">
        <f>LEFT(Tabla11[[#This Row],[Minuscula]],6)</f>
        <v xml:space="preserve">mario </v>
      </c>
    </row>
    <row r="376" spans="1:14">
      <c r="A376" s="226">
        <v>1375</v>
      </c>
      <c r="B376" s="224">
        <v>44527</v>
      </c>
      <c r="C376" s="207" t="s">
        <v>1504</v>
      </c>
      <c r="D376" s="207" t="s">
        <v>1503</v>
      </c>
      <c r="E376" s="207" t="s">
        <v>530</v>
      </c>
      <c r="F376" s="225">
        <v>20</v>
      </c>
      <c r="G376" s="225">
        <v>4.2</v>
      </c>
      <c r="H376" s="225">
        <v>24.2</v>
      </c>
      <c r="I376" s="24" t="str">
        <f>UPPER(Tabla11[[#This Row],[Comercial]])</f>
        <v>MARIA GARCIA 1254</v>
      </c>
      <c r="J376" s="24" t="str">
        <f>LOWER(Tabla11[[#This Row],[Comercial]])</f>
        <v>maria garcia 1254</v>
      </c>
      <c r="K376" s="227" t="str">
        <f>PROPER(Tabla11[[#This Row],[Comercial]])</f>
        <v>Maria Garcia 1254</v>
      </c>
      <c r="L376" t="s">
        <v>1506</v>
      </c>
      <c r="M376" t="str">
        <f>RIGHT(Tabla11[[#This Row],[Comercial]],4)</f>
        <v>1254</v>
      </c>
      <c r="N376" t="str">
        <f>LEFT(Tabla11[[#This Row],[Minuscula]],6)</f>
        <v xml:space="preserve">maria </v>
      </c>
    </row>
    <row r="377" spans="1:14">
      <c r="A377" s="226">
        <v>1376</v>
      </c>
      <c r="B377" s="224">
        <v>44530</v>
      </c>
      <c r="C377" s="207" t="s">
        <v>1495</v>
      </c>
      <c r="D377" s="207" t="s">
        <v>1499</v>
      </c>
      <c r="E377" s="207" t="s">
        <v>530</v>
      </c>
      <c r="F377" s="225">
        <v>12</v>
      </c>
      <c r="G377" s="225">
        <v>2.52</v>
      </c>
      <c r="H377" s="225">
        <v>14.52</v>
      </c>
      <c r="I377" s="24" t="str">
        <f>UPPER(Tabla11[[#This Row],[Comercial]])</f>
        <v>LUIS VALLE 5431</v>
      </c>
      <c r="J377" s="24" t="str">
        <f>LOWER(Tabla11[[#This Row],[Comercial]])</f>
        <v>luis valle 5431</v>
      </c>
      <c r="K377" s="227" t="str">
        <f>PROPER(Tabla11[[#This Row],[Comercial]])</f>
        <v>Luis Valle 5431</v>
      </c>
      <c r="L377" t="s">
        <v>1507</v>
      </c>
      <c r="M377" t="str">
        <f>RIGHT(Tabla11[[#This Row],[Comercial]],4)</f>
        <v>5431</v>
      </c>
      <c r="N377" t="str">
        <f>LEFT(Tabla11[[#This Row],[Minuscula]],6)</f>
        <v>luis v</v>
      </c>
    </row>
    <row r="378" spans="1:14">
      <c r="A378" s="226">
        <v>1377</v>
      </c>
      <c r="B378" s="224">
        <v>44532</v>
      </c>
      <c r="C378" s="207" t="s">
        <v>1500</v>
      </c>
      <c r="D378" s="207" t="s">
        <v>1494</v>
      </c>
      <c r="E378" s="207" t="s">
        <v>518</v>
      </c>
      <c r="F378" s="225">
        <v>140</v>
      </c>
      <c r="G378" s="225">
        <v>29.4</v>
      </c>
      <c r="H378" s="225">
        <v>169.4</v>
      </c>
      <c r="I378" s="24" t="str">
        <f>UPPER(Tabla11[[#This Row],[Comercial]])</f>
        <v>ANA FERNANDEZZ 4321</v>
      </c>
      <c r="J378" s="24" t="str">
        <f>LOWER(Tabla11[[#This Row],[Comercial]])</f>
        <v>ana fernandezz 4321</v>
      </c>
      <c r="K378" s="227" t="str">
        <f>PROPER(Tabla11[[#This Row],[Comercial]])</f>
        <v>Ana Fernandezz 4321</v>
      </c>
      <c r="L378" t="s">
        <v>1509</v>
      </c>
      <c r="M378" t="str">
        <f>RIGHT(Tabla11[[#This Row],[Comercial]],4)</f>
        <v>4321</v>
      </c>
      <c r="N378" t="str">
        <f>LEFT(Tabla11[[#This Row],[Minuscula]],6)</f>
        <v>ana fe</v>
      </c>
    </row>
    <row r="379" spans="1:14">
      <c r="A379" s="226">
        <v>1378</v>
      </c>
      <c r="B379" s="224">
        <v>44533</v>
      </c>
      <c r="C379" s="207" t="s">
        <v>1495</v>
      </c>
      <c r="D379" s="207" t="s">
        <v>1503</v>
      </c>
      <c r="E379" s="207" t="s">
        <v>534</v>
      </c>
      <c r="F379" s="225">
        <v>5</v>
      </c>
      <c r="G379" s="225">
        <v>1.05</v>
      </c>
      <c r="H379" s="225">
        <v>6.05</v>
      </c>
      <c r="I379" s="24" t="str">
        <f>UPPER(Tabla11[[#This Row],[Comercial]])</f>
        <v>LUIS VALLE 5431</v>
      </c>
      <c r="J379" s="24" t="str">
        <f>LOWER(Tabla11[[#This Row],[Comercial]])</f>
        <v>luis valle 5431</v>
      </c>
      <c r="K379" s="227" t="str">
        <f>PROPER(Tabla11[[#This Row],[Comercial]])</f>
        <v>Luis Valle 5431</v>
      </c>
      <c r="L379" t="s">
        <v>1507</v>
      </c>
      <c r="M379" t="str">
        <f>RIGHT(Tabla11[[#This Row],[Comercial]],4)</f>
        <v>5431</v>
      </c>
      <c r="N379" t="str">
        <f>LEFT(Tabla11[[#This Row],[Minuscula]],6)</f>
        <v>luis v</v>
      </c>
    </row>
    <row r="380" spans="1:14">
      <c r="A380" s="226">
        <v>1379</v>
      </c>
      <c r="B380" s="224">
        <v>44535</v>
      </c>
      <c r="C380" s="207" t="s">
        <v>1501</v>
      </c>
      <c r="D380" s="207" t="s">
        <v>1499</v>
      </c>
      <c r="E380" s="207" t="s">
        <v>520</v>
      </c>
      <c r="F380" s="225">
        <v>277</v>
      </c>
      <c r="G380" s="225">
        <v>58.17</v>
      </c>
      <c r="H380" s="225">
        <v>335.17</v>
      </c>
      <c r="I380" s="24" t="str">
        <f>UPPER(Tabla11[[#This Row],[Comercial]])</f>
        <v>MARIO PEREZ 1123</v>
      </c>
      <c r="J380" s="24" t="str">
        <f>LOWER(Tabla11[[#This Row],[Comercial]])</f>
        <v>mario perez 1123</v>
      </c>
      <c r="K380" s="227" t="str">
        <f>PROPER(Tabla11[[#This Row],[Comercial]])</f>
        <v>Mario Perez 1123</v>
      </c>
      <c r="L380" t="s">
        <v>1510</v>
      </c>
      <c r="M380" t="str">
        <f>RIGHT(Tabla11[[#This Row],[Comercial]],4)</f>
        <v>1123</v>
      </c>
      <c r="N380" t="str">
        <f>LEFT(Tabla11[[#This Row],[Minuscula]],6)</f>
        <v xml:space="preserve">mario </v>
      </c>
    </row>
    <row r="381" spans="1:14">
      <c r="A381" s="226">
        <v>1380</v>
      </c>
      <c r="B381" s="224">
        <v>44535</v>
      </c>
      <c r="C381" s="207" t="s">
        <v>1501</v>
      </c>
      <c r="D381" s="207" t="s">
        <v>1499</v>
      </c>
      <c r="E381" s="207" t="s">
        <v>525</v>
      </c>
      <c r="F381" s="225">
        <v>6</v>
      </c>
      <c r="G381" s="225">
        <v>1.26</v>
      </c>
      <c r="H381" s="225">
        <v>7.26</v>
      </c>
      <c r="I381" s="24" t="str">
        <f>UPPER(Tabla11[[#This Row],[Comercial]])</f>
        <v>MARIO PEREZ 1123</v>
      </c>
      <c r="J381" s="24" t="str">
        <f>LOWER(Tabla11[[#This Row],[Comercial]])</f>
        <v>mario perez 1123</v>
      </c>
      <c r="K381" s="227" t="str">
        <f>PROPER(Tabla11[[#This Row],[Comercial]])</f>
        <v>Mario Perez 1123</v>
      </c>
      <c r="L381" t="s">
        <v>1510</v>
      </c>
      <c r="M381" t="str">
        <f>RIGHT(Tabla11[[#This Row],[Comercial]],4)</f>
        <v>1123</v>
      </c>
      <c r="N381" t="str">
        <f>LEFT(Tabla11[[#This Row],[Minuscula]],6)</f>
        <v xml:space="preserve">mario </v>
      </c>
    </row>
    <row r="382" spans="1:14">
      <c r="A382" s="226">
        <v>1381</v>
      </c>
      <c r="B382" s="224">
        <v>44537</v>
      </c>
      <c r="C382" s="207" t="s">
        <v>1496</v>
      </c>
      <c r="D382" s="207" t="s">
        <v>1494</v>
      </c>
      <c r="E382" s="207" t="s">
        <v>520</v>
      </c>
      <c r="F382" s="225">
        <v>834</v>
      </c>
      <c r="G382" s="225">
        <v>175.14</v>
      </c>
      <c r="H382" s="225">
        <v>1009.14</v>
      </c>
      <c r="I382" s="24" t="str">
        <f>UPPER(Tabla11[[#This Row],[Comercial]])</f>
        <v>PABLO LOPEZ 7384</v>
      </c>
      <c r="J382" s="24" t="str">
        <f>LOWER(Tabla11[[#This Row],[Comercial]])</f>
        <v>pablo lopez 7384</v>
      </c>
      <c r="K382" s="227" t="str">
        <f>PROPER(Tabla11[[#This Row],[Comercial]])</f>
        <v>Pablo Lopez 7384</v>
      </c>
      <c r="L382" t="s">
        <v>1508</v>
      </c>
      <c r="M382" t="str">
        <f>RIGHT(Tabla11[[#This Row],[Comercial]],4)</f>
        <v>7384</v>
      </c>
      <c r="N382" t="str">
        <f>LEFT(Tabla11[[#This Row],[Minuscula]],6)</f>
        <v xml:space="preserve">pablo </v>
      </c>
    </row>
    <row r="383" spans="1:14">
      <c r="A383" s="226">
        <v>1382</v>
      </c>
      <c r="B383" s="224">
        <v>44538</v>
      </c>
      <c r="C383" s="207" t="s">
        <v>1501</v>
      </c>
      <c r="D383" s="207" t="s">
        <v>1497</v>
      </c>
      <c r="E383" s="207" t="s">
        <v>530</v>
      </c>
      <c r="F383" s="225">
        <v>15</v>
      </c>
      <c r="G383" s="225">
        <v>3.15</v>
      </c>
      <c r="H383" s="225">
        <v>18.149999999999999</v>
      </c>
      <c r="I383" s="24" t="str">
        <f>UPPER(Tabla11[[#This Row],[Comercial]])</f>
        <v>MARIO PEREZ 1123</v>
      </c>
      <c r="J383" s="24" t="str">
        <f>LOWER(Tabla11[[#This Row],[Comercial]])</f>
        <v>mario perez 1123</v>
      </c>
      <c r="K383" s="227" t="str">
        <f>PROPER(Tabla11[[#This Row],[Comercial]])</f>
        <v>Mario Perez 1123</v>
      </c>
      <c r="L383" t="s">
        <v>1510</v>
      </c>
      <c r="M383" t="str">
        <f>RIGHT(Tabla11[[#This Row],[Comercial]],4)</f>
        <v>1123</v>
      </c>
      <c r="N383" t="str">
        <f>LEFT(Tabla11[[#This Row],[Minuscula]],6)</f>
        <v xml:space="preserve">mario </v>
      </c>
    </row>
    <row r="384" spans="1:14">
      <c r="A384" s="226">
        <v>1383</v>
      </c>
      <c r="B384" s="224">
        <v>44539</v>
      </c>
      <c r="C384" s="207" t="s">
        <v>1501</v>
      </c>
      <c r="D384" s="207" t="s">
        <v>1499</v>
      </c>
      <c r="E384" s="207" t="s">
        <v>534</v>
      </c>
      <c r="F384" s="225">
        <v>7</v>
      </c>
      <c r="G384" s="225">
        <v>1.47</v>
      </c>
      <c r="H384" s="225">
        <v>8.4700000000000006</v>
      </c>
      <c r="I384" s="24" t="str">
        <f>UPPER(Tabla11[[#This Row],[Comercial]])</f>
        <v>MARIO PEREZ 1123</v>
      </c>
      <c r="J384" s="24" t="str">
        <f>LOWER(Tabla11[[#This Row],[Comercial]])</f>
        <v>mario perez 1123</v>
      </c>
      <c r="K384" s="227" t="str">
        <f>PROPER(Tabla11[[#This Row],[Comercial]])</f>
        <v>Mario Perez 1123</v>
      </c>
      <c r="L384" t="s">
        <v>1510</v>
      </c>
      <c r="M384" t="str">
        <f>RIGHT(Tabla11[[#This Row],[Comercial]],4)</f>
        <v>1123</v>
      </c>
      <c r="N384" t="str">
        <f>LEFT(Tabla11[[#This Row],[Minuscula]],6)</f>
        <v xml:space="preserve">mario </v>
      </c>
    </row>
    <row r="385" spans="1:14">
      <c r="A385" s="226">
        <v>1384</v>
      </c>
      <c r="B385" s="224">
        <v>44540</v>
      </c>
      <c r="C385" s="207" t="s">
        <v>1496</v>
      </c>
      <c r="D385" s="207" t="s">
        <v>1494</v>
      </c>
      <c r="E385" s="207" t="s">
        <v>534</v>
      </c>
      <c r="F385" s="225">
        <v>6</v>
      </c>
      <c r="G385" s="225">
        <v>1.26</v>
      </c>
      <c r="H385" s="225">
        <v>7.26</v>
      </c>
      <c r="I385" s="24" t="str">
        <f>UPPER(Tabla11[[#This Row],[Comercial]])</f>
        <v>PABLO LOPEZ 7384</v>
      </c>
      <c r="J385" s="24" t="str">
        <f>LOWER(Tabla11[[#This Row],[Comercial]])</f>
        <v>pablo lopez 7384</v>
      </c>
      <c r="K385" s="227" t="str">
        <f>PROPER(Tabla11[[#This Row],[Comercial]])</f>
        <v>Pablo Lopez 7384</v>
      </c>
      <c r="L385" t="s">
        <v>1508</v>
      </c>
      <c r="M385" t="str">
        <f>RIGHT(Tabla11[[#This Row],[Comercial]],4)</f>
        <v>7384</v>
      </c>
      <c r="N385" t="str">
        <f>LEFT(Tabla11[[#This Row],[Minuscula]],6)</f>
        <v xml:space="preserve">pablo </v>
      </c>
    </row>
    <row r="386" spans="1:14">
      <c r="A386" s="226">
        <v>1385</v>
      </c>
      <c r="B386" s="224">
        <v>44542</v>
      </c>
      <c r="C386" s="207" t="s">
        <v>1501</v>
      </c>
      <c r="D386" s="207" t="s">
        <v>1502</v>
      </c>
      <c r="E386" s="207" t="s">
        <v>530</v>
      </c>
      <c r="F386" s="225">
        <v>13</v>
      </c>
      <c r="G386" s="225">
        <v>2.73</v>
      </c>
      <c r="H386" s="225">
        <v>15.73</v>
      </c>
      <c r="I386" s="24" t="str">
        <f>UPPER(Tabla11[[#This Row],[Comercial]])</f>
        <v>MARIO PEREZ 1123</v>
      </c>
      <c r="J386" s="24" t="str">
        <f>LOWER(Tabla11[[#This Row],[Comercial]])</f>
        <v>mario perez 1123</v>
      </c>
      <c r="K386" s="227" t="str">
        <f>PROPER(Tabla11[[#This Row],[Comercial]])</f>
        <v>Mario Perez 1123</v>
      </c>
      <c r="L386" t="s">
        <v>1510</v>
      </c>
      <c r="M386" t="str">
        <f>RIGHT(Tabla11[[#This Row],[Comercial]],4)</f>
        <v>1123</v>
      </c>
      <c r="N386" t="str">
        <f>LEFT(Tabla11[[#This Row],[Minuscula]],6)</f>
        <v xml:space="preserve">mario </v>
      </c>
    </row>
    <row r="387" spans="1:14">
      <c r="A387" s="226">
        <v>1386</v>
      </c>
      <c r="B387" s="224">
        <v>44543</v>
      </c>
      <c r="C387" s="207" t="s">
        <v>1500</v>
      </c>
      <c r="D387" s="207" t="s">
        <v>1502</v>
      </c>
      <c r="E387" s="207" t="s">
        <v>530</v>
      </c>
      <c r="F387" s="225">
        <v>17</v>
      </c>
      <c r="G387" s="225">
        <v>3.57</v>
      </c>
      <c r="H387" s="225">
        <v>20.57</v>
      </c>
      <c r="I387" s="24" t="str">
        <f>UPPER(Tabla11[[#This Row],[Comercial]])</f>
        <v>ANA FERNANDEZZ 4321</v>
      </c>
      <c r="J387" s="24" t="str">
        <f>LOWER(Tabla11[[#This Row],[Comercial]])</f>
        <v>ana fernandezz 4321</v>
      </c>
      <c r="K387" s="227" t="str">
        <f>PROPER(Tabla11[[#This Row],[Comercial]])</f>
        <v>Ana Fernandezz 4321</v>
      </c>
      <c r="L387" t="s">
        <v>1509</v>
      </c>
      <c r="M387" t="str">
        <f>RIGHT(Tabla11[[#This Row],[Comercial]],4)</f>
        <v>4321</v>
      </c>
      <c r="N387" t="str">
        <f>LEFT(Tabla11[[#This Row],[Minuscula]],6)</f>
        <v>ana fe</v>
      </c>
    </row>
    <row r="388" spans="1:14">
      <c r="A388" s="226">
        <v>1387</v>
      </c>
      <c r="B388" s="224">
        <v>44545</v>
      </c>
      <c r="C388" s="207" t="s">
        <v>1501</v>
      </c>
      <c r="D388" s="207" t="s">
        <v>1499</v>
      </c>
      <c r="E388" s="207" t="s">
        <v>534</v>
      </c>
      <c r="F388" s="225">
        <v>6</v>
      </c>
      <c r="G388" s="225">
        <v>1.26</v>
      </c>
      <c r="H388" s="225">
        <v>7.26</v>
      </c>
      <c r="I388" s="24" t="str">
        <f>UPPER(Tabla11[[#This Row],[Comercial]])</f>
        <v>MARIO PEREZ 1123</v>
      </c>
      <c r="J388" s="24" t="str">
        <f>LOWER(Tabla11[[#This Row],[Comercial]])</f>
        <v>mario perez 1123</v>
      </c>
      <c r="K388" s="227" t="str">
        <f>PROPER(Tabla11[[#This Row],[Comercial]])</f>
        <v>Mario Perez 1123</v>
      </c>
      <c r="L388" t="s">
        <v>1510</v>
      </c>
      <c r="M388" t="str">
        <f>RIGHT(Tabla11[[#This Row],[Comercial]],4)</f>
        <v>1123</v>
      </c>
      <c r="N388" t="str">
        <f>LEFT(Tabla11[[#This Row],[Minuscula]],6)</f>
        <v xml:space="preserve">mario </v>
      </c>
    </row>
    <row r="389" spans="1:14">
      <c r="A389" s="226">
        <v>1388</v>
      </c>
      <c r="B389" s="224">
        <v>44546</v>
      </c>
      <c r="C389" s="207" t="s">
        <v>1496</v>
      </c>
      <c r="D389" s="207" t="s">
        <v>1494</v>
      </c>
      <c r="E389" s="207" t="s">
        <v>530</v>
      </c>
      <c r="F389" s="225">
        <v>20</v>
      </c>
      <c r="G389" s="225">
        <v>4.2</v>
      </c>
      <c r="H389" s="225">
        <v>24.2</v>
      </c>
      <c r="I389" s="24" t="str">
        <f>UPPER(Tabla11[[#This Row],[Comercial]])</f>
        <v>PABLO LOPEZ 7384</v>
      </c>
      <c r="J389" s="24" t="str">
        <f>LOWER(Tabla11[[#This Row],[Comercial]])</f>
        <v>pablo lopez 7384</v>
      </c>
      <c r="K389" s="227" t="str">
        <f>PROPER(Tabla11[[#This Row],[Comercial]])</f>
        <v>Pablo Lopez 7384</v>
      </c>
      <c r="L389" t="s">
        <v>1508</v>
      </c>
      <c r="M389" t="str">
        <f>RIGHT(Tabla11[[#This Row],[Comercial]],4)</f>
        <v>7384</v>
      </c>
      <c r="N389" t="str">
        <f>LEFT(Tabla11[[#This Row],[Minuscula]],6)</f>
        <v xml:space="preserve">pablo </v>
      </c>
    </row>
    <row r="390" spans="1:14">
      <c r="A390" s="226">
        <v>1389</v>
      </c>
      <c r="B390" s="224">
        <v>44549</v>
      </c>
      <c r="C390" s="207" t="s">
        <v>1504</v>
      </c>
      <c r="D390" s="207" t="s">
        <v>1502</v>
      </c>
      <c r="E390" s="207" t="s">
        <v>530</v>
      </c>
      <c r="F390" s="225">
        <v>27</v>
      </c>
      <c r="G390" s="225">
        <v>5.67</v>
      </c>
      <c r="H390" s="225">
        <v>32.67</v>
      </c>
      <c r="I390" s="24" t="str">
        <f>UPPER(Tabla11[[#This Row],[Comercial]])</f>
        <v>MARIA GARCIA 1254</v>
      </c>
      <c r="J390" s="24" t="str">
        <f>LOWER(Tabla11[[#This Row],[Comercial]])</f>
        <v>maria garcia 1254</v>
      </c>
      <c r="K390" s="227" t="str">
        <f>PROPER(Tabla11[[#This Row],[Comercial]])</f>
        <v>Maria Garcia 1254</v>
      </c>
      <c r="L390" t="s">
        <v>1506</v>
      </c>
      <c r="M390" t="str">
        <f>RIGHT(Tabla11[[#This Row],[Comercial]],4)</f>
        <v>1254</v>
      </c>
      <c r="N390" t="str">
        <f>LEFT(Tabla11[[#This Row],[Minuscula]],6)</f>
        <v xml:space="preserve">maria </v>
      </c>
    </row>
    <row r="391" spans="1:14">
      <c r="A391" s="226">
        <v>1390</v>
      </c>
      <c r="B391" s="224">
        <v>44549</v>
      </c>
      <c r="C391" s="207" t="s">
        <v>1501</v>
      </c>
      <c r="D391" s="207" t="s">
        <v>1502</v>
      </c>
      <c r="E391" s="207" t="s">
        <v>520</v>
      </c>
      <c r="F391" s="225">
        <v>236</v>
      </c>
      <c r="G391" s="225">
        <v>49.56</v>
      </c>
      <c r="H391" s="225">
        <v>285.56</v>
      </c>
      <c r="I391" s="24" t="str">
        <f>UPPER(Tabla11[[#This Row],[Comercial]])</f>
        <v>MARIO PEREZ 1123</v>
      </c>
      <c r="J391" s="24" t="str">
        <f>LOWER(Tabla11[[#This Row],[Comercial]])</f>
        <v>mario perez 1123</v>
      </c>
      <c r="K391" s="227" t="str">
        <f>PROPER(Tabla11[[#This Row],[Comercial]])</f>
        <v>Mario Perez 1123</v>
      </c>
      <c r="L391" t="s">
        <v>1510</v>
      </c>
      <c r="M391" t="str">
        <f>RIGHT(Tabla11[[#This Row],[Comercial]],4)</f>
        <v>1123</v>
      </c>
      <c r="N391" t="str">
        <f>LEFT(Tabla11[[#This Row],[Minuscula]],6)</f>
        <v xml:space="preserve">mario </v>
      </c>
    </row>
    <row r="392" spans="1:14">
      <c r="A392" s="226">
        <v>1391</v>
      </c>
      <c r="B392" s="224">
        <v>44549</v>
      </c>
      <c r="C392" s="207" t="s">
        <v>1495</v>
      </c>
      <c r="D392" s="207" t="s">
        <v>1499</v>
      </c>
      <c r="E392" s="207" t="s">
        <v>518</v>
      </c>
      <c r="F392" s="225">
        <v>81</v>
      </c>
      <c r="G392" s="225">
        <v>17.010000000000002</v>
      </c>
      <c r="H392" s="225">
        <v>98.01</v>
      </c>
      <c r="I392" s="24" t="str">
        <f>UPPER(Tabla11[[#This Row],[Comercial]])</f>
        <v>LUIS VALLE 5431</v>
      </c>
      <c r="J392" s="24" t="str">
        <f>LOWER(Tabla11[[#This Row],[Comercial]])</f>
        <v>luis valle 5431</v>
      </c>
      <c r="K392" s="227" t="str">
        <f>PROPER(Tabla11[[#This Row],[Comercial]])</f>
        <v>Luis Valle 5431</v>
      </c>
      <c r="L392" t="s">
        <v>1507</v>
      </c>
      <c r="M392" t="str">
        <f>RIGHT(Tabla11[[#This Row],[Comercial]],4)</f>
        <v>5431</v>
      </c>
      <c r="N392" t="str">
        <f>LEFT(Tabla11[[#This Row],[Minuscula]],6)</f>
        <v>luis v</v>
      </c>
    </row>
    <row r="393" spans="1:14">
      <c r="A393" s="226">
        <v>1392</v>
      </c>
      <c r="B393" s="224">
        <v>44550</v>
      </c>
      <c r="C393" s="207" t="s">
        <v>1495</v>
      </c>
      <c r="D393" s="207" t="s">
        <v>1497</v>
      </c>
      <c r="E393" s="207" t="s">
        <v>520</v>
      </c>
      <c r="F393" s="225">
        <v>304</v>
      </c>
      <c r="G393" s="225">
        <v>63.84</v>
      </c>
      <c r="H393" s="225">
        <v>367.84</v>
      </c>
      <c r="I393" s="24" t="str">
        <f>UPPER(Tabla11[[#This Row],[Comercial]])</f>
        <v>LUIS VALLE 5431</v>
      </c>
      <c r="J393" s="24" t="str">
        <f>LOWER(Tabla11[[#This Row],[Comercial]])</f>
        <v>luis valle 5431</v>
      </c>
      <c r="K393" s="227" t="str">
        <f>PROPER(Tabla11[[#This Row],[Comercial]])</f>
        <v>Luis Valle 5431</v>
      </c>
      <c r="L393" t="s">
        <v>1507</v>
      </c>
      <c r="M393" t="str">
        <f>RIGHT(Tabla11[[#This Row],[Comercial]],4)</f>
        <v>5431</v>
      </c>
      <c r="N393" t="str">
        <f>LEFT(Tabla11[[#This Row],[Minuscula]],6)</f>
        <v>luis v</v>
      </c>
    </row>
    <row r="394" spans="1:14">
      <c r="A394" s="226">
        <v>1393</v>
      </c>
      <c r="B394" s="224">
        <v>44550</v>
      </c>
      <c r="C394" s="207" t="s">
        <v>1496</v>
      </c>
      <c r="D394" s="207" t="s">
        <v>1502</v>
      </c>
      <c r="E394" s="207" t="s">
        <v>525</v>
      </c>
      <c r="F394" s="225">
        <v>9</v>
      </c>
      <c r="G394" s="225">
        <v>1.89</v>
      </c>
      <c r="H394" s="225">
        <v>10.89</v>
      </c>
      <c r="I394" s="24" t="str">
        <f>UPPER(Tabla11[[#This Row],[Comercial]])</f>
        <v>PABLO LOPEZ 7384</v>
      </c>
      <c r="J394" s="24" t="str">
        <f>LOWER(Tabla11[[#This Row],[Comercial]])</f>
        <v>pablo lopez 7384</v>
      </c>
      <c r="K394" s="227" t="str">
        <f>PROPER(Tabla11[[#This Row],[Comercial]])</f>
        <v>Pablo Lopez 7384</v>
      </c>
      <c r="L394" t="s">
        <v>1508</v>
      </c>
      <c r="M394" t="str">
        <f>RIGHT(Tabla11[[#This Row],[Comercial]],4)</f>
        <v>7384</v>
      </c>
      <c r="N394" t="str">
        <f>LEFT(Tabla11[[#This Row],[Minuscula]],6)</f>
        <v xml:space="preserve">pablo </v>
      </c>
    </row>
    <row r="395" spans="1:14">
      <c r="A395" s="226">
        <v>1394</v>
      </c>
      <c r="B395" s="224">
        <v>44550</v>
      </c>
      <c r="C395" s="207" t="s">
        <v>1501</v>
      </c>
      <c r="D395" s="207" t="s">
        <v>1499</v>
      </c>
      <c r="E395" s="207" t="s">
        <v>525</v>
      </c>
      <c r="F395" s="225">
        <v>8</v>
      </c>
      <c r="G395" s="225">
        <v>1.68</v>
      </c>
      <c r="H395" s="225">
        <v>9.68</v>
      </c>
      <c r="I395" s="24" t="str">
        <f>UPPER(Tabla11[[#This Row],[Comercial]])</f>
        <v>MARIO PEREZ 1123</v>
      </c>
      <c r="J395" s="24" t="str">
        <f>LOWER(Tabla11[[#This Row],[Comercial]])</f>
        <v>mario perez 1123</v>
      </c>
      <c r="K395" s="227" t="str">
        <f>PROPER(Tabla11[[#This Row],[Comercial]])</f>
        <v>Mario Perez 1123</v>
      </c>
      <c r="L395" t="s">
        <v>1510</v>
      </c>
      <c r="M395" t="str">
        <f>RIGHT(Tabla11[[#This Row],[Comercial]],4)</f>
        <v>1123</v>
      </c>
      <c r="N395" t="str">
        <f>LEFT(Tabla11[[#This Row],[Minuscula]],6)</f>
        <v xml:space="preserve">mario </v>
      </c>
    </row>
    <row r="396" spans="1:14">
      <c r="A396" s="226">
        <v>1395</v>
      </c>
      <c r="B396" s="224">
        <v>44552</v>
      </c>
      <c r="C396" s="207" t="s">
        <v>1500</v>
      </c>
      <c r="D396" s="207" t="s">
        <v>1497</v>
      </c>
      <c r="E396" s="207" t="s">
        <v>518</v>
      </c>
      <c r="F396" s="225">
        <v>31</v>
      </c>
      <c r="G396" s="225">
        <v>6.51</v>
      </c>
      <c r="H396" s="225">
        <v>37.51</v>
      </c>
      <c r="I396" s="24" t="str">
        <f>UPPER(Tabla11[[#This Row],[Comercial]])</f>
        <v>ANA FERNANDEZZ 4321</v>
      </c>
      <c r="J396" s="24" t="str">
        <f>LOWER(Tabla11[[#This Row],[Comercial]])</f>
        <v>ana fernandezz 4321</v>
      </c>
      <c r="K396" s="227" t="str">
        <f>PROPER(Tabla11[[#This Row],[Comercial]])</f>
        <v>Ana Fernandezz 4321</v>
      </c>
      <c r="L396" t="s">
        <v>1509</v>
      </c>
      <c r="M396" t="str">
        <f>RIGHT(Tabla11[[#This Row],[Comercial]],4)</f>
        <v>4321</v>
      </c>
      <c r="N396" t="str">
        <f>LEFT(Tabla11[[#This Row],[Minuscula]],6)</f>
        <v>ana fe</v>
      </c>
    </row>
    <row r="397" spans="1:14">
      <c r="A397" s="226">
        <v>1396</v>
      </c>
      <c r="B397" s="224">
        <v>44552</v>
      </c>
      <c r="C397" s="207" t="s">
        <v>1500</v>
      </c>
      <c r="D397" s="207" t="s">
        <v>1503</v>
      </c>
      <c r="E397" s="207" t="s">
        <v>525</v>
      </c>
      <c r="F397" s="225">
        <v>25</v>
      </c>
      <c r="G397" s="225">
        <v>5.25</v>
      </c>
      <c r="H397" s="225">
        <v>30.25</v>
      </c>
      <c r="I397" s="24" t="str">
        <f>UPPER(Tabla11[[#This Row],[Comercial]])</f>
        <v>ANA FERNANDEZZ 4321</v>
      </c>
      <c r="J397" s="24" t="str">
        <f>LOWER(Tabla11[[#This Row],[Comercial]])</f>
        <v>ana fernandezz 4321</v>
      </c>
      <c r="K397" s="227" t="str">
        <f>PROPER(Tabla11[[#This Row],[Comercial]])</f>
        <v>Ana Fernandezz 4321</v>
      </c>
      <c r="L397" t="s">
        <v>1509</v>
      </c>
      <c r="M397" t="str">
        <f>RIGHT(Tabla11[[#This Row],[Comercial]],4)</f>
        <v>4321</v>
      </c>
      <c r="N397" t="str">
        <f>LEFT(Tabla11[[#This Row],[Minuscula]],6)</f>
        <v>ana fe</v>
      </c>
    </row>
    <row r="398" spans="1:14">
      <c r="A398" s="226">
        <v>1397</v>
      </c>
      <c r="B398" s="224">
        <v>44557</v>
      </c>
      <c r="C398" s="207" t="s">
        <v>1504</v>
      </c>
      <c r="D398" s="207" t="s">
        <v>1503</v>
      </c>
      <c r="E398" s="207" t="s">
        <v>520</v>
      </c>
      <c r="F398" s="225">
        <v>936</v>
      </c>
      <c r="G398" s="225">
        <v>196.56</v>
      </c>
      <c r="H398" s="225">
        <v>1132.56</v>
      </c>
      <c r="I398" s="24" t="str">
        <f>UPPER(Tabla11[[#This Row],[Comercial]])</f>
        <v>MARIA GARCIA 1254</v>
      </c>
      <c r="J398" s="24" t="str">
        <f>LOWER(Tabla11[[#This Row],[Comercial]])</f>
        <v>maria garcia 1254</v>
      </c>
      <c r="K398" s="227" t="str">
        <f>PROPER(Tabla11[[#This Row],[Comercial]])</f>
        <v>Maria Garcia 1254</v>
      </c>
      <c r="L398" t="s">
        <v>1506</v>
      </c>
      <c r="M398" t="str">
        <f>RIGHT(Tabla11[[#This Row],[Comercial]],4)</f>
        <v>1254</v>
      </c>
      <c r="N398" t="str">
        <f>LEFT(Tabla11[[#This Row],[Minuscula]],6)</f>
        <v xml:space="preserve">maria </v>
      </c>
    </row>
    <row r="399" spans="1:14">
      <c r="A399" s="226">
        <v>1398</v>
      </c>
      <c r="B399" s="224">
        <v>44558</v>
      </c>
      <c r="C399" s="207" t="s">
        <v>1504</v>
      </c>
      <c r="D399" s="207" t="s">
        <v>1497</v>
      </c>
      <c r="E399" s="207" t="s">
        <v>518</v>
      </c>
      <c r="F399" s="225">
        <v>50</v>
      </c>
      <c r="G399" s="225">
        <v>10.5</v>
      </c>
      <c r="H399" s="225">
        <v>60.5</v>
      </c>
      <c r="I399" s="24" t="str">
        <f>UPPER(Tabla11[[#This Row],[Comercial]])</f>
        <v>MARIA GARCIA 1254</v>
      </c>
      <c r="J399" s="24" t="str">
        <f>LOWER(Tabla11[[#This Row],[Comercial]])</f>
        <v>maria garcia 1254</v>
      </c>
      <c r="K399" s="227" t="str">
        <f>PROPER(Tabla11[[#This Row],[Comercial]])</f>
        <v>Maria Garcia 1254</v>
      </c>
      <c r="L399" t="s">
        <v>1506</v>
      </c>
      <c r="M399" t="str">
        <f>RIGHT(Tabla11[[#This Row],[Comercial]],4)</f>
        <v>1254</v>
      </c>
      <c r="N399" t="str">
        <f>LEFT(Tabla11[[#This Row],[Minuscula]],6)</f>
        <v xml:space="preserve">maria </v>
      </c>
    </row>
    <row r="400" spans="1:14">
      <c r="A400" s="226">
        <v>1399</v>
      </c>
      <c r="B400" s="224">
        <v>44559</v>
      </c>
      <c r="C400" s="207" t="s">
        <v>1504</v>
      </c>
      <c r="D400" s="207" t="s">
        <v>1502</v>
      </c>
      <c r="E400" s="207" t="s">
        <v>525</v>
      </c>
      <c r="F400" s="225">
        <v>7</v>
      </c>
      <c r="G400" s="225">
        <v>1.47</v>
      </c>
      <c r="H400" s="225">
        <v>8.4700000000000006</v>
      </c>
      <c r="I400" s="24" t="str">
        <f>UPPER(Tabla11[[#This Row],[Comercial]])</f>
        <v>MARIA GARCIA 1254</v>
      </c>
      <c r="J400" s="24" t="str">
        <f>LOWER(Tabla11[[#This Row],[Comercial]])</f>
        <v>maria garcia 1254</v>
      </c>
      <c r="K400" s="227" t="str">
        <f>PROPER(Tabla11[[#This Row],[Comercial]])</f>
        <v>Maria Garcia 1254</v>
      </c>
      <c r="L400" t="s">
        <v>1506</v>
      </c>
      <c r="M400" t="str">
        <f>RIGHT(Tabla11[[#This Row],[Comercial]],4)</f>
        <v>1254</v>
      </c>
      <c r="N400" t="str">
        <f>LEFT(Tabla11[[#This Row],[Minuscula]],6)</f>
        <v xml:space="preserve">maria </v>
      </c>
    </row>
    <row r="401" spans="1:14">
      <c r="A401" s="226">
        <v>1400</v>
      </c>
      <c r="B401" s="224">
        <v>44559</v>
      </c>
      <c r="C401" s="207" t="s">
        <v>1500</v>
      </c>
      <c r="D401" s="207" t="s">
        <v>1499</v>
      </c>
      <c r="E401" s="207" t="s">
        <v>534</v>
      </c>
      <c r="F401" s="225">
        <v>8</v>
      </c>
      <c r="G401" s="225">
        <v>1.68</v>
      </c>
      <c r="H401" s="225">
        <v>9.68</v>
      </c>
      <c r="I401" s="24" t="str">
        <f>UPPER(Tabla11[[#This Row],[Comercial]])</f>
        <v>ANA FERNANDEZZ 4321</v>
      </c>
      <c r="J401" s="24" t="str">
        <f>LOWER(Tabla11[[#This Row],[Comercial]])</f>
        <v>ana fernandezz 4321</v>
      </c>
      <c r="K401" s="227" t="str">
        <f>PROPER(Tabla11[[#This Row],[Comercial]])</f>
        <v>Ana Fernandezz 4321</v>
      </c>
      <c r="L401" t="s">
        <v>1509</v>
      </c>
      <c r="M401" t="str">
        <f>RIGHT(Tabla11[[#This Row],[Comercial]],4)</f>
        <v>4321</v>
      </c>
      <c r="N401" t="str">
        <f>LEFT(Tabla11[[#This Row],[Minuscula]],6)</f>
        <v>ana fe</v>
      </c>
    </row>
    <row r="402" spans="1:14">
      <c r="A402" s="226">
        <v>1401</v>
      </c>
      <c r="B402" s="224">
        <v>44560</v>
      </c>
      <c r="C402" s="207" t="s">
        <v>1496</v>
      </c>
      <c r="D402" s="207" t="s">
        <v>1494</v>
      </c>
      <c r="E402" s="207" t="s">
        <v>520</v>
      </c>
      <c r="F402" s="225">
        <v>894</v>
      </c>
      <c r="G402" s="225">
        <v>187.74</v>
      </c>
      <c r="H402" s="225">
        <v>1081.74</v>
      </c>
      <c r="I402" s="24" t="str">
        <f>UPPER(Tabla11[[#This Row],[Comercial]])</f>
        <v>PABLO LOPEZ 7384</v>
      </c>
      <c r="J402" s="24" t="str">
        <f>LOWER(Tabla11[[#This Row],[Comercial]])</f>
        <v>pablo lopez 7384</v>
      </c>
      <c r="K402" s="227" t="str">
        <f>PROPER(Tabla11[[#This Row],[Comercial]])</f>
        <v>Pablo Lopez 7384</v>
      </c>
      <c r="L402" t="s">
        <v>1508</v>
      </c>
      <c r="M402" t="str">
        <f>RIGHT(Tabla11[[#This Row],[Comercial]],4)</f>
        <v>7384</v>
      </c>
      <c r="N402" t="str">
        <f>LEFT(Tabla11[[#This Row],[Minuscula]],6)</f>
        <v xml:space="preserve">pablo </v>
      </c>
    </row>
    <row r="403" spans="1:14">
      <c r="A403" s="226">
        <v>1402</v>
      </c>
      <c r="B403" s="224">
        <v>44561</v>
      </c>
      <c r="C403" s="207" t="s">
        <v>1501</v>
      </c>
      <c r="D403" s="207" t="s">
        <v>1502</v>
      </c>
      <c r="E403" s="207" t="s">
        <v>530</v>
      </c>
      <c r="F403" s="225">
        <v>10</v>
      </c>
      <c r="G403" s="225">
        <v>2.1</v>
      </c>
      <c r="H403" s="225">
        <v>12.1</v>
      </c>
      <c r="I403" s="24" t="str">
        <f>UPPER(Tabla11[[#This Row],[Comercial]])</f>
        <v>MARIO PEREZ 1123</v>
      </c>
      <c r="J403" s="24" t="str">
        <f>LOWER(Tabla11[[#This Row],[Comercial]])</f>
        <v>mario perez 1123</v>
      </c>
      <c r="K403" s="227" t="str">
        <f>PROPER(Tabla11[[#This Row],[Comercial]])</f>
        <v>Mario Perez 1123</v>
      </c>
      <c r="L403" t="s">
        <v>1510</v>
      </c>
      <c r="M403" t="str">
        <f>RIGHT(Tabla11[[#This Row],[Comercial]],4)</f>
        <v>1123</v>
      </c>
      <c r="N403" t="str">
        <f>LEFT(Tabla11[[#This Row],[Minuscula]],6)</f>
        <v xml:space="preserve">mario </v>
      </c>
    </row>
    <row r="404" spans="1:14">
      <c r="A404" s="226">
        <v>1403</v>
      </c>
      <c r="B404" s="224">
        <v>44562</v>
      </c>
      <c r="C404" s="207" t="s">
        <v>1496</v>
      </c>
      <c r="D404" s="207" t="s">
        <v>1497</v>
      </c>
      <c r="E404" s="207" t="s">
        <v>520</v>
      </c>
      <c r="F404" s="225">
        <v>465</v>
      </c>
      <c r="G404" s="225">
        <v>97.65</v>
      </c>
      <c r="H404" s="225">
        <v>562.65</v>
      </c>
      <c r="I404" s="24" t="str">
        <f>UPPER(Tabla11[[#This Row],[Comercial]])</f>
        <v>PABLO LOPEZ 7384</v>
      </c>
      <c r="J404" s="24" t="str">
        <f>LOWER(Tabla11[[#This Row],[Comercial]])</f>
        <v>pablo lopez 7384</v>
      </c>
      <c r="K404" s="227" t="str">
        <f>PROPER(Tabla11[[#This Row],[Comercial]])</f>
        <v>Pablo Lopez 7384</v>
      </c>
      <c r="L404" t="s">
        <v>1508</v>
      </c>
      <c r="M404" t="str">
        <f>RIGHT(Tabla11[[#This Row],[Comercial]],4)</f>
        <v>7384</v>
      </c>
      <c r="N404" t="str">
        <f>LEFT(Tabla11[[#This Row],[Minuscula]],6)</f>
        <v xml:space="preserve">pablo </v>
      </c>
    </row>
    <row r="405" spans="1:14">
      <c r="A405" s="226">
        <v>1404</v>
      </c>
      <c r="B405" s="224">
        <v>44563</v>
      </c>
      <c r="C405" s="207" t="s">
        <v>1496</v>
      </c>
      <c r="D405" s="207" t="s">
        <v>1503</v>
      </c>
      <c r="E405" s="207" t="s">
        <v>525</v>
      </c>
      <c r="F405" s="225">
        <v>49</v>
      </c>
      <c r="G405" s="225">
        <v>10.29</v>
      </c>
      <c r="H405" s="225">
        <v>59.29</v>
      </c>
      <c r="I405" s="24" t="str">
        <f>UPPER(Tabla11[[#This Row],[Comercial]])</f>
        <v>PABLO LOPEZ 7384</v>
      </c>
      <c r="J405" s="24" t="str">
        <f>LOWER(Tabla11[[#This Row],[Comercial]])</f>
        <v>pablo lopez 7384</v>
      </c>
      <c r="K405" s="227" t="str">
        <f>PROPER(Tabla11[[#This Row],[Comercial]])</f>
        <v>Pablo Lopez 7384</v>
      </c>
      <c r="L405" t="s">
        <v>1508</v>
      </c>
      <c r="M405" t="str">
        <f>RIGHT(Tabla11[[#This Row],[Comercial]],4)</f>
        <v>7384</v>
      </c>
      <c r="N405" t="str">
        <f>LEFT(Tabla11[[#This Row],[Minuscula]],6)</f>
        <v xml:space="preserve">pablo </v>
      </c>
    </row>
    <row r="406" spans="1:14">
      <c r="A406" s="226">
        <v>1405</v>
      </c>
      <c r="B406" s="224">
        <v>44564</v>
      </c>
      <c r="C406" s="207" t="s">
        <v>1496</v>
      </c>
      <c r="D406" s="207" t="s">
        <v>1497</v>
      </c>
      <c r="E406" s="207" t="s">
        <v>530</v>
      </c>
      <c r="F406" s="225">
        <v>15</v>
      </c>
      <c r="G406" s="225">
        <v>3.15</v>
      </c>
      <c r="H406" s="225">
        <v>18.149999999999999</v>
      </c>
      <c r="I406" s="24" t="str">
        <f>UPPER(Tabla11[[#This Row],[Comercial]])</f>
        <v>PABLO LOPEZ 7384</v>
      </c>
      <c r="J406" s="24" t="str">
        <f>LOWER(Tabla11[[#This Row],[Comercial]])</f>
        <v>pablo lopez 7384</v>
      </c>
      <c r="K406" s="227" t="str">
        <f>PROPER(Tabla11[[#This Row],[Comercial]])</f>
        <v>Pablo Lopez 7384</v>
      </c>
      <c r="L406" t="s">
        <v>1508</v>
      </c>
      <c r="M406" t="str">
        <f>RIGHT(Tabla11[[#This Row],[Comercial]],4)</f>
        <v>7384</v>
      </c>
      <c r="N406" t="str">
        <f>LEFT(Tabla11[[#This Row],[Minuscula]],6)</f>
        <v xml:space="preserve">pablo </v>
      </c>
    </row>
    <row r="407" spans="1:14">
      <c r="A407" s="226">
        <v>1406</v>
      </c>
      <c r="B407" s="224">
        <v>44564</v>
      </c>
      <c r="C407" s="207" t="s">
        <v>1496</v>
      </c>
      <c r="D407" s="207" t="s">
        <v>1499</v>
      </c>
      <c r="E407" s="207" t="s">
        <v>534</v>
      </c>
      <c r="F407" s="225">
        <v>8</v>
      </c>
      <c r="G407" s="225">
        <v>1.68</v>
      </c>
      <c r="H407" s="225">
        <v>9.68</v>
      </c>
      <c r="I407" s="24" t="str">
        <f>UPPER(Tabla11[[#This Row],[Comercial]])</f>
        <v>PABLO LOPEZ 7384</v>
      </c>
      <c r="J407" s="24" t="str">
        <f>LOWER(Tabla11[[#This Row],[Comercial]])</f>
        <v>pablo lopez 7384</v>
      </c>
      <c r="K407" s="227" t="str">
        <f>PROPER(Tabla11[[#This Row],[Comercial]])</f>
        <v>Pablo Lopez 7384</v>
      </c>
      <c r="L407" t="s">
        <v>1508</v>
      </c>
      <c r="M407" t="str">
        <f>RIGHT(Tabla11[[#This Row],[Comercial]],4)</f>
        <v>7384</v>
      </c>
      <c r="N407" t="str">
        <f>LEFT(Tabla11[[#This Row],[Minuscula]],6)</f>
        <v xml:space="preserve">pablo </v>
      </c>
    </row>
    <row r="408" spans="1:14">
      <c r="A408" s="226">
        <v>1407</v>
      </c>
      <c r="B408" s="224">
        <v>44564</v>
      </c>
      <c r="C408" s="207" t="s">
        <v>1495</v>
      </c>
      <c r="D408" s="207" t="s">
        <v>1499</v>
      </c>
      <c r="E408" s="207" t="s">
        <v>520</v>
      </c>
      <c r="F408" s="225">
        <v>329</v>
      </c>
      <c r="G408" s="225">
        <v>69.09</v>
      </c>
      <c r="H408" s="225">
        <v>398.09</v>
      </c>
      <c r="I408" s="24" t="str">
        <f>UPPER(Tabla11[[#This Row],[Comercial]])</f>
        <v>LUIS VALLE 5431</v>
      </c>
      <c r="J408" s="24" t="str">
        <f>LOWER(Tabla11[[#This Row],[Comercial]])</f>
        <v>luis valle 5431</v>
      </c>
      <c r="K408" s="227" t="str">
        <f>PROPER(Tabla11[[#This Row],[Comercial]])</f>
        <v>Luis Valle 5431</v>
      </c>
      <c r="L408" t="s">
        <v>1507</v>
      </c>
      <c r="M408" t="str">
        <f>RIGHT(Tabla11[[#This Row],[Comercial]],4)</f>
        <v>5431</v>
      </c>
      <c r="N408" t="str">
        <f>LEFT(Tabla11[[#This Row],[Minuscula]],6)</f>
        <v>luis v</v>
      </c>
    </row>
    <row r="409" spans="1:14">
      <c r="A409" s="226">
        <v>1408</v>
      </c>
      <c r="B409" s="224">
        <v>44565</v>
      </c>
      <c r="C409" s="207" t="s">
        <v>1504</v>
      </c>
      <c r="D409" s="207" t="s">
        <v>1497</v>
      </c>
      <c r="E409" s="207" t="s">
        <v>534</v>
      </c>
      <c r="F409" s="225">
        <v>9</v>
      </c>
      <c r="G409" s="225">
        <v>1.89</v>
      </c>
      <c r="H409" s="225">
        <v>10.89</v>
      </c>
      <c r="I409" s="24" t="str">
        <f>UPPER(Tabla11[[#This Row],[Comercial]])</f>
        <v>MARIA GARCIA 1254</v>
      </c>
      <c r="J409" s="24" t="str">
        <f>LOWER(Tabla11[[#This Row],[Comercial]])</f>
        <v>maria garcia 1254</v>
      </c>
      <c r="K409" s="227" t="str">
        <f>PROPER(Tabla11[[#This Row],[Comercial]])</f>
        <v>Maria Garcia 1254</v>
      </c>
      <c r="L409" t="s">
        <v>1506</v>
      </c>
      <c r="M409" t="str">
        <f>RIGHT(Tabla11[[#This Row],[Comercial]],4)</f>
        <v>1254</v>
      </c>
      <c r="N409" t="str">
        <f>LEFT(Tabla11[[#This Row],[Minuscula]],6)</f>
        <v xml:space="preserve">maria </v>
      </c>
    </row>
    <row r="410" spans="1:14">
      <c r="A410" s="226">
        <v>1409</v>
      </c>
      <c r="B410" s="224">
        <v>44566</v>
      </c>
      <c r="C410" s="207" t="s">
        <v>1500</v>
      </c>
      <c r="D410" s="207" t="s">
        <v>1502</v>
      </c>
      <c r="E410" s="207" t="s">
        <v>520</v>
      </c>
      <c r="F410" s="225">
        <v>300</v>
      </c>
      <c r="G410" s="225">
        <v>63</v>
      </c>
      <c r="H410" s="225">
        <v>363</v>
      </c>
      <c r="I410" s="24" t="str">
        <f>UPPER(Tabla11[[#This Row],[Comercial]])</f>
        <v>ANA FERNANDEZZ 4321</v>
      </c>
      <c r="J410" s="24" t="str">
        <f>LOWER(Tabla11[[#This Row],[Comercial]])</f>
        <v>ana fernandezz 4321</v>
      </c>
      <c r="K410" s="227" t="str">
        <f>PROPER(Tabla11[[#This Row],[Comercial]])</f>
        <v>Ana Fernandezz 4321</v>
      </c>
      <c r="L410" t="s">
        <v>1509</v>
      </c>
      <c r="M410" t="str">
        <f>RIGHT(Tabla11[[#This Row],[Comercial]],4)</f>
        <v>4321</v>
      </c>
      <c r="N410" t="str">
        <f>LEFT(Tabla11[[#This Row],[Minuscula]],6)</f>
        <v>ana fe</v>
      </c>
    </row>
    <row r="411" spans="1:14">
      <c r="A411" s="226">
        <v>1410</v>
      </c>
      <c r="B411" s="224">
        <v>44569</v>
      </c>
      <c r="C411" s="207" t="s">
        <v>1496</v>
      </c>
      <c r="D411" s="207" t="s">
        <v>1494</v>
      </c>
      <c r="E411" s="207" t="s">
        <v>530</v>
      </c>
      <c r="F411" s="225">
        <v>41</v>
      </c>
      <c r="G411" s="225">
        <v>8.61</v>
      </c>
      <c r="H411" s="225">
        <v>49.61</v>
      </c>
      <c r="I411" s="24" t="str">
        <f>UPPER(Tabla11[[#This Row],[Comercial]])</f>
        <v>PABLO LOPEZ 7384</v>
      </c>
      <c r="J411" s="24" t="str">
        <f>LOWER(Tabla11[[#This Row],[Comercial]])</f>
        <v>pablo lopez 7384</v>
      </c>
      <c r="K411" s="227" t="str">
        <f>PROPER(Tabla11[[#This Row],[Comercial]])</f>
        <v>Pablo Lopez 7384</v>
      </c>
      <c r="L411" t="s">
        <v>1508</v>
      </c>
      <c r="M411" t="str">
        <f>RIGHT(Tabla11[[#This Row],[Comercial]],4)</f>
        <v>7384</v>
      </c>
      <c r="N411" t="str">
        <f>LEFT(Tabla11[[#This Row],[Minuscula]],6)</f>
        <v xml:space="preserve">pablo </v>
      </c>
    </row>
    <row r="412" spans="1:14">
      <c r="A412" s="226">
        <v>1411</v>
      </c>
      <c r="B412" s="224">
        <v>44569</v>
      </c>
      <c r="C412" s="207" t="s">
        <v>1501</v>
      </c>
      <c r="D412" s="207" t="s">
        <v>1497</v>
      </c>
      <c r="E412" s="207" t="s">
        <v>534</v>
      </c>
      <c r="F412" s="225">
        <v>9</v>
      </c>
      <c r="G412" s="225">
        <v>1.89</v>
      </c>
      <c r="H412" s="225">
        <v>10.89</v>
      </c>
      <c r="I412" s="24" t="str">
        <f>UPPER(Tabla11[[#This Row],[Comercial]])</f>
        <v>MARIO PEREZ 1123</v>
      </c>
      <c r="J412" s="24" t="str">
        <f>LOWER(Tabla11[[#This Row],[Comercial]])</f>
        <v>mario perez 1123</v>
      </c>
      <c r="K412" s="227" t="str">
        <f>PROPER(Tabla11[[#This Row],[Comercial]])</f>
        <v>Mario Perez 1123</v>
      </c>
      <c r="L412" t="s">
        <v>1510</v>
      </c>
      <c r="M412" t="str">
        <f>RIGHT(Tabla11[[#This Row],[Comercial]],4)</f>
        <v>1123</v>
      </c>
      <c r="N412" t="str">
        <f>LEFT(Tabla11[[#This Row],[Minuscula]],6)</f>
        <v xml:space="preserve">mario </v>
      </c>
    </row>
    <row r="413" spans="1:14">
      <c r="A413" s="226">
        <v>1412</v>
      </c>
      <c r="B413" s="224">
        <v>44571</v>
      </c>
      <c r="C413" s="207" t="s">
        <v>1500</v>
      </c>
      <c r="D413" s="207" t="s">
        <v>1494</v>
      </c>
      <c r="E413" s="207" t="s">
        <v>534</v>
      </c>
      <c r="F413" s="225">
        <v>7</v>
      </c>
      <c r="G413" s="225">
        <v>1.47</v>
      </c>
      <c r="H413" s="225">
        <v>8.4700000000000006</v>
      </c>
      <c r="I413" s="24" t="str">
        <f>UPPER(Tabla11[[#This Row],[Comercial]])</f>
        <v>ANA FERNANDEZZ 4321</v>
      </c>
      <c r="J413" s="24" t="str">
        <f>LOWER(Tabla11[[#This Row],[Comercial]])</f>
        <v>ana fernandezz 4321</v>
      </c>
      <c r="K413" s="227" t="str">
        <f>PROPER(Tabla11[[#This Row],[Comercial]])</f>
        <v>Ana Fernandezz 4321</v>
      </c>
      <c r="L413" t="s">
        <v>1509</v>
      </c>
      <c r="M413" t="str">
        <f>RIGHT(Tabla11[[#This Row],[Comercial]],4)</f>
        <v>4321</v>
      </c>
      <c r="N413" t="str">
        <f>LEFT(Tabla11[[#This Row],[Minuscula]],6)</f>
        <v>ana fe</v>
      </c>
    </row>
    <row r="414" spans="1:14">
      <c r="A414" s="226">
        <v>1413</v>
      </c>
      <c r="B414" s="224">
        <v>44572</v>
      </c>
      <c r="C414" s="207" t="s">
        <v>1500</v>
      </c>
      <c r="D414" s="207" t="s">
        <v>1503</v>
      </c>
      <c r="E414" s="207" t="s">
        <v>520</v>
      </c>
      <c r="F414" s="225">
        <v>616</v>
      </c>
      <c r="G414" s="225">
        <v>129.36000000000001</v>
      </c>
      <c r="H414" s="225">
        <v>745.36</v>
      </c>
      <c r="I414" s="24" t="str">
        <f>UPPER(Tabla11[[#This Row],[Comercial]])</f>
        <v>ANA FERNANDEZZ 4321</v>
      </c>
      <c r="J414" s="24" t="str">
        <f>LOWER(Tabla11[[#This Row],[Comercial]])</f>
        <v>ana fernandezz 4321</v>
      </c>
      <c r="K414" s="227" t="str">
        <f>PROPER(Tabla11[[#This Row],[Comercial]])</f>
        <v>Ana Fernandezz 4321</v>
      </c>
      <c r="L414" t="s">
        <v>1509</v>
      </c>
      <c r="M414" t="str">
        <f>RIGHT(Tabla11[[#This Row],[Comercial]],4)</f>
        <v>4321</v>
      </c>
      <c r="N414" t="str">
        <f>LEFT(Tabla11[[#This Row],[Minuscula]],6)</f>
        <v>ana fe</v>
      </c>
    </row>
    <row r="415" spans="1:14">
      <c r="A415" s="226">
        <v>1414</v>
      </c>
      <c r="B415" s="224">
        <v>44572</v>
      </c>
      <c r="C415" s="207" t="s">
        <v>1495</v>
      </c>
      <c r="D415" s="207" t="s">
        <v>1494</v>
      </c>
      <c r="E415" s="207" t="s">
        <v>534</v>
      </c>
      <c r="F415" s="225">
        <v>7</v>
      </c>
      <c r="G415" s="225">
        <v>1.47</v>
      </c>
      <c r="H415" s="225">
        <v>8.4700000000000006</v>
      </c>
      <c r="I415" s="24" t="str">
        <f>UPPER(Tabla11[[#This Row],[Comercial]])</f>
        <v>LUIS VALLE 5431</v>
      </c>
      <c r="J415" s="24" t="str">
        <f>LOWER(Tabla11[[#This Row],[Comercial]])</f>
        <v>luis valle 5431</v>
      </c>
      <c r="K415" s="227" t="str">
        <f>PROPER(Tabla11[[#This Row],[Comercial]])</f>
        <v>Luis Valle 5431</v>
      </c>
      <c r="L415" t="s">
        <v>1507</v>
      </c>
      <c r="M415" t="str">
        <f>RIGHT(Tabla11[[#This Row],[Comercial]],4)</f>
        <v>5431</v>
      </c>
      <c r="N415" t="str">
        <f>LEFT(Tabla11[[#This Row],[Minuscula]],6)</f>
        <v>luis v</v>
      </c>
    </row>
    <row r="416" spans="1:14">
      <c r="A416" s="226">
        <v>1415</v>
      </c>
      <c r="B416" s="224">
        <v>44573</v>
      </c>
      <c r="C416" s="207" t="s">
        <v>1501</v>
      </c>
      <c r="D416" s="207" t="s">
        <v>1502</v>
      </c>
      <c r="E416" s="207" t="s">
        <v>530</v>
      </c>
      <c r="F416" s="225">
        <v>25</v>
      </c>
      <c r="G416" s="225">
        <v>5.25</v>
      </c>
      <c r="H416" s="225">
        <v>30.25</v>
      </c>
      <c r="I416" s="24" t="str">
        <f>UPPER(Tabla11[[#This Row],[Comercial]])</f>
        <v>MARIO PEREZ 1123</v>
      </c>
      <c r="J416" s="24" t="str">
        <f>LOWER(Tabla11[[#This Row],[Comercial]])</f>
        <v>mario perez 1123</v>
      </c>
      <c r="K416" s="227" t="str">
        <f>PROPER(Tabla11[[#This Row],[Comercial]])</f>
        <v>Mario Perez 1123</v>
      </c>
      <c r="L416" t="s">
        <v>1510</v>
      </c>
      <c r="M416" t="str">
        <f>RIGHT(Tabla11[[#This Row],[Comercial]],4)</f>
        <v>1123</v>
      </c>
      <c r="N416" t="str">
        <f>LEFT(Tabla11[[#This Row],[Minuscula]],6)</f>
        <v xml:space="preserve">mario </v>
      </c>
    </row>
    <row r="417" spans="1:14">
      <c r="A417" s="226">
        <v>1416</v>
      </c>
      <c r="B417" s="224">
        <v>44573</v>
      </c>
      <c r="C417" s="207" t="s">
        <v>1501</v>
      </c>
      <c r="D417" s="207" t="s">
        <v>1503</v>
      </c>
      <c r="E417" s="207" t="s">
        <v>525</v>
      </c>
      <c r="F417" s="225">
        <v>23</v>
      </c>
      <c r="G417" s="225">
        <v>4.83</v>
      </c>
      <c r="H417" s="225">
        <v>27.83</v>
      </c>
      <c r="I417" s="24" t="str">
        <f>UPPER(Tabla11[[#This Row],[Comercial]])</f>
        <v>MARIO PEREZ 1123</v>
      </c>
      <c r="J417" s="24" t="str">
        <f>LOWER(Tabla11[[#This Row],[Comercial]])</f>
        <v>mario perez 1123</v>
      </c>
      <c r="K417" s="227" t="str">
        <f>PROPER(Tabla11[[#This Row],[Comercial]])</f>
        <v>Mario Perez 1123</v>
      </c>
      <c r="L417" t="s">
        <v>1510</v>
      </c>
      <c r="M417" t="str">
        <f>RIGHT(Tabla11[[#This Row],[Comercial]],4)</f>
        <v>1123</v>
      </c>
      <c r="N417" t="str">
        <f>LEFT(Tabla11[[#This Row],[Minuscula]],6)</f>
        <v xml:space="preserve">mario </v>
      </c>
    </row>
    <row r="418" spans="1:14">
      <c r="A418" s="226">
        <v>1417</v>
      </c>
      <c r="B418" s="224">
        <v>44574</v>
      </c>
      <c r="C418" s="207" t="s">
        <v>1496</v>
      </c>
      <c r="D418" s="207" t="s">
        <v>1494</v>
      </c>
      <c r="E418" s="207" t="s">
        <v>525</v>
      </c>
      <c r="F418" s="225">
        <v>28</v>
      </c>
      <c r="G418" s="225">
        <v>5.88</v>
      </c>
      <c r="H418" s="225">
        <v>33.880000000000003</v>
      </c>
      <c r="I418" s="24" t="str">
        <f>UPPER(Tabla11[[#This Row],[Comercial]])</f>
        <v>PABLO LOPEZ 7384</v>
      </c>
      <c r="J418" s="24" t="str">
        <f>LOWER(Tabla11[[#This Row],[Comercial]])</f>
        <v>pablo lopez 7384</v>
      </c>
      <c r="K418" s="227" t="str">
        <f>PROPER(Tabla11[[#This Row],[Comercial]])</f>
        <v>Pablo Lopez 7384</v>
      </c>
      <c r="L418" t="s">
        <v>1508</v>
      </c>
      <c r="M418" t="str">
        <f>RIGHT(Tabla11[[#This Row],[Comercial]],4)</f>
        <v>7384</v>
      </c>
      <c r="N418" t="str">
        <f>LEFT(Tabla11[[#This Row],[Minuscula]],6)</f>
        <v xml:space="preserve">pablo </v>
      </c>
    </row>
    <row r="419" spans="1:14">
      <c r="A419" s="226">
        <v>1418</v>
      </c>
      <c r="B419" s="224">
        <v>44574</v>
      </c>
      <c r="C419" s="207" t="s">
        <v>1496</v>
      </c>
      <c r="D419" s="207" t="s">
        <v>1503</v>
      </c>
      <c r="E419" s="207" t="s">
        <v>534</v>
      </c>
      <c r="F419" s="225">
        <v>7</v>
      </c>
      <c r="G419" s="225">
        <v>1.47</v>
      </c>
      <c r="H419" s="225">
        <v>8.4700000000000006</v>
      </c>
      <c r="I419" s="24" t="str">
        <f>UPPER(Tabla11[[#This Row],[Comercial]])</f>
        <v>PABLO LOPEZ 7384</v>
      </c>
      <c r="J419" s="24" t="str">
        <f>LOWER(Tabla11[[#This Row],[Comercial]])</f>
        <v>pablo lopez 7384</v>
      </c>
      <c r="K419" s="227" t="str">
        <f>PROPER(Tabla11[[#This Row],[Comercial]])</f>
        <v>Pablo Lopez 7384</v>
      </c>
      <c r="L419" t="s">
        <v>1508</v>
      </c>
      <c r="M419" t="str">
        <f>RIGHT(Tabla11[[#This Row],[Comercial]],4)</f>
        <v>7384</v>
      </c>
      <c r="N419" t="str">
        <f>LEFT(Tabla11[[#This Row],[Minuscula]],6)</f>
        <v xml:space="preserve">pablo </v>
      </c>
    </row>
    <row r="420" spans="1:14">
      <c r="A420" s="226">
        <v>1419</v>
      </c>
      <c r="B420" s="224">
        <v>44576</v>
      </c>
      <c r="C420" s="207" t="s">
        <v>1501</v>
      </c>
      <c r="D420" s="207" t="s">
        <v>1503</v>
      </c>
      <c r="E420" s="207" t="s">
        <v>530</v>
      </c>
      <c r="F420" s="225">
        <v>28</v>
      </c>
      <c r="G420" s="225">
        <v>5.88</v>
      </c>
      <c r="H420" s="225">
        <v>33.880000000000003</v>
      </c>
      <c r="I420" s="24" t="str">
        <f>UPPER(Tabla11[[#This Row],[Comercial]])</f>
        <v>MARIO PEREZ 1123</v>
      </c>
      <c r="J420" s="24" t="str">
        <f>LOWER(Tabla11[[#This Row],[Comercial]])</f>
        <v>mario perez 1123</v>
      </c>
      <c r="K420" s="227" t="str">
        <f>PROPER(Tabla11[[#This Row],[Comercial]])</f>
        <v>Mario Perez 1123</v>
      </c>
      <c r="L420" t="s">
        <v>1510</v>
      </c>
      <c r="M420" t="str">
        <f>RIGHT(Tabla11[[#This Row],[Comercial]],4)</f>
        <v>1123</v>
      </c>
      <c r="N420" t="str">
        <f>LEFT(Tabla11[[#This Row],[Minuscula]],6)</f>
        <v xml:space="preserve">mario </v>
      </c>
    </row>
    <row r="421" spans="1:14">
      <c r="A421" s="226">
        <v>1420</v>
      </c>
      <c r="B421" s="224">
        <v>44578</v>
      </c>
      <c r="C421" s="207" t="s">
        <v>1500</v>
      </c>
      <c r="D421" s="207" t="s">
        <v>1497</v>
      </c>
      <c r="E421" s="207" t="s">
        <v>518</v>
      </c>
      <c r="F421" s="225">
        <v>19</v>
      </c>
      <c r="G421" s="225">
        <v>3.99</v>
      </c>
      <c r="H421" s="225">
        <v>22.99</v>
      </c>
      <c r="I421" s="24" t="str">
        <f>UPPER(Tabla11[[#This Row],[Comercial]])</f>
        <v>ANA FERNANDEZZ 4321</v>
      </c>
      <c r="J421" s="24" t="str">
        <f>LOWER(Tabla11[[#This Row],[Comercial]])</f>
        <v>ana fernandezz 4321</v>
      </c>
      <c r="K421" s="227" t="str">
        <f>PROPER(Tabla11[[#This Row],[Comercial]])</f>
        <v>Ana Fernandezz 4321</v>
      </c>
      <c r="L421" t="s">
        <v>1509</v>
      </c>
      <c r="M421" t="str">
        <f>RIGHT(Tabla11[[#This Row],[Comercial]],4)</f>
        <v>4321</v>
      </c>
      <c r="N421" t="str">
        <f>LEFT(Tabla11[[#This Row],[Minuscula]],6)</f>
        <v>ana fe</v>
      </c>
    </row>
    <row r="422" spans="1:14">
      <c r="A422" s="226">
        <v>1421</v>
      </c>
      <c r="B422" s="224">
        <v>44578</v>
      </c>
      <c r="C422" s="207" t="s">
        <v>1496</v>
      </c>
      <c r="D422" s="207" t="s">
        <v>1503</v>
      </c>
      <c r="E422" s="207" t="s">
        <v>518</v>
      </c>
      <c r="F422" s="225">
        <v>211</v>
      </c>
      <c r="G422" s="225">
        <v>44.31</v>
      </c>
      <c r="H422" s="225">
        <v>255.31</v>
      </c>
      <c r="I422" s="24" t="str">
        <f>UPPER(Tabla11[[#This Row],[Comercial]])</f>
        <v>PABLO LOPEZ 7384</v>
      </c>
      <c r="J422" s="24" t="str">
        <f>LOWER(Tabla11[[#This Row],[Comercial]])</f>
        <v>pablo lopez 7384</v>
      </c>
      <c r="K422" s="227" t="str">
        <f>PROPER(Tabla11[[#This Row],[Comercial]])</f>
        <v>Pablo Lopez 7384</v>
      </c>
      <c r="L422" t="s">
        <v>1508</v>
      </c>
      <c r="M422" t="str">
        <f>RIGHT(Tabla11[[#This Row],[Comercial]],4)</f>
        <v>7384</v>
      </c>
      <c r="N422" t="str">
        <f>LEFT(Tabla11[[#This Row],[Minuscula]],6)</f>
        <v xml:space="preserve">pablo </v>
      </c>
    </row>
    <row r="423" spans="1:14">
      <c r="A423" s="226">
        <v>1422</v>
      </c>
      <c r="B423" s="224">
        <v>44578</v>
      </c>
      <c r="C423" s="207" t="s">
        <v>1504</v>
      </c>
      <c r="D423" s="207" t="s">
        <v>1502</v>
      </c>
      <c r="E423" s="207" t="s">
        <v>520</v>
      </c>
      <c r="F423" s="225">
        <v>487</v>
      </c>
      <c r="G423" s="225">
        <v>102.27</v>
      </c>
      <c r="H423" s="225">
        <v>589.27</v>
      </c>
      <c r="I423" s="24" t="str">
        <f>UPPER(Tabla11[[#This Row],[Comercial]])</f>
        <v>MARIA GARCIA 1254</v>
      </c>
      <c r="J423" s="24" t="str">
        <f>LOWER(Tabla11[[#This Row],[Comercial]])</f>
        <v>maria garcia 1254</v>
      </c>
      <c r="K423" s="227" t="str">
        <f>PROPER(Tabla11[[#This Row],[Comercial]])</f>
        <v>Maria Garcia 1254</v>
      </c>
      <c r="L423" t="s">
        <v>1506</v>
      </c>
      <c r="M423" t="str">
        <f>RIGHT(Tabla11[[#This Row],[Comercial]],4)</f>
        <v>1254</v>
      </c>
      <c r="N423" t="str">
        <f>LEFT(Tabla11[[#This Row],[Minuscula]],6)</f>
        <v xml:space="preserve">maria </v>
      </c>
    </row>
    <row r="424" spans="1:14">
      <c r="A424" s="226">
        <v>1423</v>
      </c>
      <c r="B424" s="224">
        <v>44579</v>
      </c>
      <c r="C424" s="207" t="s">
        <v>1500</v>
      </c>
      <c r="D424" s="207" t="s">
        <v>1494</v>
      </c>
      <c r="E424" s="207" t="s">
        <v>530</v>
      </c>
      <c r="F424" s="225">
        <v>21</v>
      </c>
      <c r="G424" s="225">
        <v>4.41</v>
      </c>
      <c r="H424" s="225">
        <v>25.41</v>
      </c>
      <c r="I424" s="24" t="str">
        <f>UPPER(Tabla11[[#This Row],[Comercial]])</f>
        <v>ANA FERNANDEZZ 4321</v>
      </c>
      <c r="J424" s="24" t="str">
        <f>LOWER(Tabla11[[#This Row],[Comercial]])</f>
        <v>ana fernandezz 4321</v>
      </c>
      <c r="K424" s="227" t="str">
        <f>PROPER(Tabla11[[#This Row],[Comercial]])</f>
        <v>Ana Fernandezz 4321</v>
      </c>
      <c r="L424" t="s">
        <v>1509</v>
      </c>
      <c r="M424" t="str">
        <f>RIGHT(Tabla11[[#This Row],[Comercial]],4)</f>
        <v>4321</v>
      </c>
      <c r="N424" t="str">
        <f>LEFT(Tabla11[[#This Row],[Minuscula]],6)</f>
        <v>ana fe</v>
      </c>
    </row>
    <row r="425" spans="1:14">
      <c r="A425" s="226">
        <v>1424</v>
      </c>
      <c r="B425" s="224">
        <v>44580</v>
      </c>
      <c r="C425" s="207" t="s">
        <v>1504</v>
      </c>
      <c r="D425" s="207" t="s">
        <v>1503</v>
      </c>
      <c r="E425" s="207" t="s">
        <v>530</v>
      </c>
      <c r="F425" s="225">
        <v>22</v>
      </c>
      <c r="G425" s="225">
        <v>4.62</v>
      </c>
      <c r="H425" s="225">
        <v>26.62</v>
      </c>
      <c r="I425" s="24" t="str">
        <f>UPPER(Tabla11[[#This Row],[Comercial]])</f>
        <v>MARIA GARCIA 1254</v>
      </c>
      <c r="J425" s="24" t="str">
        <f>LOWER(Tabla11[[#This Row],[Comercial]])</f>
        <v>maria garcia 1254</v>
      </c>
      <c r="K425" s="227" t="str">
        <f>PROPER(Tabla11[[#This Row],[Comercial]])</f>
        <v>Maria Garcia 1254</v>
      </c>
      <c r="L425" t="s">
        <v>1506</v>
      </c>
      <c r="M425" t="str">
        <f>RIGHT(Tabla11[[#This Row],[Comercial]],4)</f>
        <v>1254</v>
      </c>
      <c r="N425" t="str">
        <f>LEFT(Tabla11[[#This Row],[Minuscula]],6)</f>
        <v xml:space="preserve">maria </v>
      </c>
    </row>
    <row r="426" spans="1:14">
      <c r="A426" s="226">
        <v>1425</v>
      </c>
      <c r="B426" s="224">
        <v>44580</v>
      </c>
      <c r="C426" s="207" t="s">
        <v>1504</v>
      </c>
      <c r="D426" s="207" t="s">
        <v>1497</v>
      </c>
      <c r="E426" s="207" t="s">
        <v>518</v>
      </c>
      <c r="F426" s="225">
        <v>22</v>
      </c>
      <c r="G426" s="225">
        <v>4.62</v>
      </c>
      <c r="H426" s="225">
        <v>26.62</v>
      </c>
      <c r="I426" s="24" t="str">
        <f>UPPER(Tabla11[[#This Row],[Comercial]])</f>
        <v>MARIA GARCIA 1254</v>
      </c>
      <c r="J426" s="24" t="str">
        <f>LOWER(Tabla11[[#This Row],[Comercial]])</f>
        <v>maria garcia 1254</v>
      </c>
      <c r="K426" s="227" t="str">
        <f>PROPER(Tabla11[[#This Row],[Comercial]])</f>
        <v>Maria Garcia 1254</v>
      </c>
      <c r="L426" t="s">
        <v>1506</v>
      </c>
      <c r="M426" t="str">
        <f>RIGHT(Tabla11[[#This Row],[Comercial]],4)</f>
        <v>1254</v>
      </c>
      <c r="N426" t="str">
        <f>LEFT(Tabla11[[#This Row],[Minuscula]],6)</f>
        <v xml:space="preserve">maria </v>
      </c>
    </row>
    <row r="427" spans="1:14">
      <c r="A427" s="226">
        <v>1426</v>
      </c>
      <c r="B427" s="224">
        <v>44581</v>
      </c>
      <c r="C427" s="207" t="s">
        <v>1504</v>
      </c>
      <c r="D427" s="207" t="s">
        <v>1494</v>
      </c>
      <c r="E427" s="207" t="s">
        <v>525</v>
      </c>
      <c r="F427" s="225">
        <v>24</v>
      </c>
      <c r="G427" s="225">
        <v>5.04</v>
      </c>
      <c r="H427" s="225">
        <v>29.04</v>
      </c>
      <c r="I427" s="24" t="str">
        <f>UPPER(Tabla11[[#This Row],[Comercial]])</f>
        <v>MARIA GARCIA 1254</v>
      </c>
      <c r="J427" s="24" t="str">
        <f>LOWER(Tabla11[[#This Row],[Comercial]])</f>
        <v>maria garcia 1254</v>
      </c>
      <c r="K427" s="227" t="str">
        <f>PROPER(Tabla11[[#This Row],[Comercial]])</f>
        <v>Maria Garcia 1254</v>
      </c>
      <c r="L427" t="s">
        <v>1506</v>
      </c>
      <c r="M427" t="str">
        <f>RIGHT(Tabla11[[#This Row],[Comercial]],4)</f>
        <v>1254</v>
      </c>
      <c r="N427" t="str">
        <f>LEFT(Tabla11[[#This Row],[Minuscula]],6)</f>
        <v xml:space="preserve">maria </v>
      </c>
    </row>
    <row r="428" spans="1:14">
      <c r="A428" s="226">
        <v>1427</v>
      </c>
      <c r="B428" s="224">
        <v>44582</v>
      </c>
      <c r="C428" s="207" t="s">
        <v>1500</v>
      </c>
      <c r="D428" s="207" t="s">
        <v>1497</v>
      </c>
      <c r="E428" s="207" t="s">
        <v>525</v>
      </c>
      <c r="F428" s="225">
        <v>18</v>
      </c>
      <c r="G428" s="225">
        <v>3.78</v>
      </c>
      <c r="H428" s="225">
        <v>21.78</v>
      </c>
      <c r="I428" s="24" t="str">
        <f>UPPER(Tabla11[[#This Row],[Comercial]])</f>
        <v>ANA FERNANDEZZ 4321</v>
      </c>
      <c r="J428" s="24" t="str">
        <f>LOWER(Tabla11[[#This Row],[Comercial]])</f>
        <v>ana fernandezz 4321</v>
      </c>
      <c r="K428" s="227" t="str">
        <f>PROPER(Tabla11[[#This Row],[Comercial]])</f>
        <v>Ana Fernandezz 4321</v>
      </c>
      <c r="L428" t="s">
        <v>1509</v>
      </c>
      <c r="M428" t="str">
        <f>RIGHT(Tabla11[[#This Row],[Comercial]],4)</f>
        <v>4321</v>
      </c>
      <c r="N428" t="str">
        <f>LEFT(Tabla11[[#This Row],[Minuscula]],6)</f>
        <v>ana fe</v>
      </c>
    </row>
    <row r="429" spans="1:14">
      <c r="A429" s="226">
        <v>1428</v>
      </c>
      <c r="B429" s="224">
        <v>44582</v>
      </c>
      <c r="C429" s="207" t="s">
        <v>1504</v>
      </c>
      <c r="D429" s="207" t="s">
        <v>1497</v>
      </c>
      <c r="E429" s="207" t="s">
        <v>534</v>
      </c>
      <c r="F429" s="225">
        <v>5</v>
      </c>
      <c r="G429" s="225">
        <v>1.05</v>
      </c>
      <c r="H429" s="225">
        <v>6.05</v>
      </c>
      <c r="I429" s="24" t="str">
        <f>UPPER(Tabla11[[#This Row],[Comercial]])</f>
        <v>MARIA GARCIA 1254</v>
      </c>
      <c r="J429" s="24" t="str">
        <f>LOWER(Tabla11[[#This Row],[Comercial]])</f>
        <v>maria garcia 1254</v>
      </c>
      <c r="K429" s="227" t="str">
        <f>PROPER(Tabla11[[#This Row],[Comercial]])</f>
        <v>Maria Garcia 1254</v>
      </c>
      <c r="L429" t="s">
        <v>1506</v>
      </c>
      <c r="M429" t="str">
        <f>RIGHT(Tabla11[[#This Row],[Comercial]],4)</f>
        <v>1254</v>
      </c>
      <c r="N429" t="str">
        <f>LEFT(Tabla11[[#This Row],[Minuscula]],6)</f>
        <v xml:space="preserve">maria </v>
      </c>
    </row>
    <row r="430" spans="1:14">
      <c r="A430" s="226">
        <v>1429</v>
      </c>
      <c r="B430" s="224">
        <v>44584</v>
      </c>
      <c r="C430" s="207" t="s">
        <v>1504</v>
      </c>
      <c r="D430" s="207" t="s">
        <v>1502</v>
      </c>
      <c r="E430" s="207" t="s">
        <v>534</v>
      </c>
      <c r="F430" s="225">
        <v>5</v>
      </c>
      <c r="G430" s="225">
        <v>1.05</v>
      </c>
      <c r="H430" s="225">
        <v>6.05</v>
      </c>
      <c r="I430" s="24" t="str">
        <f>UPPER(Tabla11[[#This Row],[Comercial]])</f>
        <v>MARIA GARCIA 1254</v>
      </c>
      <c r="J430" s="24" t="str">
        <f>LOWER(Tabla11[[#This Row],[Comercial]])</f>
        <v>maria garcia 1254</v>
      </c>
      <c r="K430" s="227" t="str">
        <f>PROPER(Tabla11[[#This Row],[Comercial]])</f>
        <v>Maria Garcia 1254</v>
      </c>
      <c r="L430" t="s">
        <v>1506</v>
      </c>
      <c r="M430" t="str">
        <f>RIGHT(Tabla11[[#This Row],[Comercial]],4)</f>
        <v>1254</v>
      </c>
      <c r="N430" t="str">
        <f>LEFT(Tabla11[[#This Row],[Minuscula]],6)</f>
        <v xml:space="preserve">maria </v>
      </c>
    </row>
    <row r="431" spans="1:14">
      <c r="A431" s="226">
        <v>1430</v>
      </c>
      <c r="B431" s="224">
        <v>44585</v>
      </c>
      <c r="C431" s="207" t="s">
        <v>1500</v>
      </c>
      <c r="D431" s="207" t="s">
        <v>1499</v>
      </c>
      <c r="E431" s="207" t="s">
        <v>520</v>
      </c>
      <c r="F431" s="225">
        <v>279</v>
      </c>
      <c r="G431" s="225">
        <v>58.59</v>
      </c>
      <c r="H431" s="225">
        <v>337.59</v>
      </c>
      <c r="I431" s="24" t="str">
        <f>UPPER(Tabla11[[#This Row],[Comercial]])</f>
        <v>ANA FERNANDEZZ 4321</v>
      </c>
      <c r="J431" s="24" t="str">
        <f>LOWER(Tabla11[[#This Row],[Comercial]])</f>
        <v>ana fernandezz 4321</v>
      </c>
      <c r="K431" s="227" t="str">
        <f>PROPER(Tabla11[[#This Row],[Comercial]])</f>
        <v>Ana Fernandezz 4321</v>
      </c>
      <c r="L431" t="s">
        <v>1509</v>
      </c>
      <c r="M431" t="str">
        <f>RIGHT(Tabla11[[#This Row],[Comercial]],4)</f>
        <v>4321</v>
      </c>
      <c r="N431" t="str">
        <f>LEFT(Tabla11[[#This Row],[Minuscula]],6)</f>
        <v>ana fe</v>
      </c>
    </row>
    <row r="432" spans="1:14">
      <c r="A432" s="226">
        <v>1431</v>
      </c>
      <c r="B432" s="224">
        <v>44586</v>
      </c>
      <c r="C432" s="207" t="s">
        <v>1501</v>
      </c>
      <c r="D432" s="207" t="s">
        <v>1502</v>
      </c>
      <c r="E432" s="207" t="s">
        <v>518</v>
      </c>
      <c r="F432" s="225">
        <v>14</v>
      </c>
      <c r="G432" s="225">
        <v>2.94</v>
      </c>
      <c r="H432" s="225">
        <v>16.940000000000001</v>
      </c>
      <c r="I432" s="24" t="str">
        <f>UPPER(Tabla11[[#This Row],[Comercial]])</f>
        <v>MARIO PEREZ 1123</v>
      </c>
      <c r="J432" s="24" t="str">
        <f>LOWER(Tabla11[[#This Row],[Comercial]])</f>
        <v>mario perez 1123</v>
      </c>
      <c r="K432" s="227" t="str">
        <f>PROPER(Tabla11[[#This Row],[Comercial]])</f>
        <v>Mario Perez 1123</v>
      </c>
      <c r="L432" t="s">
        <v>1510</v>
      </c>
      <c r="M432" t="str">
        <f>RIGHT(Tabla11[[#This Row],[Comercial]],4)</f>
        <v>1123</v>
      </c>
      <c r="N432" t="str">
        <f>LEFT(Tabla11[[#This Row],[Minuscula]],6)</f>
        <v xml:space="preserve">mario </v>
      </c>
    </row>
    <row r="433" spans="1:14">
      <c r="A433" s="226">
        <v>1432</v>
      </c>
      <c r="B433" s="224">
        <v>44586</v>
      </c>
      <c r="C433" s="207" t="s">
        <v>1496</v>
      </c>
      <c r="D433" s="207" t="s">
        <v>1497</v>
      </c>
      <c r="E433" s="207" t="s">
        <v>520</v>
      </c>
      <c r="F433" s="225">
        <v>405</v>
      </c>
      <c r="G433" s="225">
        <v>85.05</v>
      </c>
      <c r="H433" s="225">
        <v>490.05</v>
      </c>
      <c r="I433" s="24" t="str">
        <f>UPPER(Tabla11[[#This Row],[Comercial]])</f>
        <v>PABLO LOPEZ 7384</v>
      </c>
      <c r="J433" s="24" t="str">
        <f>LOWER(Tabla11[[#This Row],[Comercial]])</f>
        <v>pablo lopez 7384</v>
      </c>
      <c r="K433" s="227" t="str">
        <f>PROPER(Tabla11[[#This Row],[Comercial]])</f>
        <v>Pablo Lopez 7384</v>
      </c>
      <c r="L433" t="s">
        <v>1508</v>
      </c>
      <c r="M433" t="str">
        <f>RIGHT(Tabla11[[#This Row],[Comercial]],4)</f>
        <v>7384</v>
      </c>
      <c r="N433" t="str">
        <f>LEFT(Tabla11[[#This Row],[Minuscula]],6)</f>
        <v xml:space="preserve">pablo </v>
      </c>
    </row>
    <row r="434" spans="1:14">
      <c r="A434" s="226">
        <v>1433</v>
      </c>
      <c r="B434" s="224">
        <v>44586</v>
      </c>
      <c r="C434" s="207" t="s">
        <v>1495</v>
      </c>
      <c r="D434" s="207" t="s">
        <v>1499</v>
      </c>
      <c r="E434" s="207" t="s">
        <v>520</v>
      </c>
      <c r="F434" s="225">
        <v>231</v>
      </c>
      <c r="G434" s="225">
        <v>48.51</v>
      </c>
      <c r="H434" s="225">
        <v>279.51</v>
      </c>
      <c r="I434" s="24" t="str">
        <f>UPPER(Tabla11[[#This Row],[Comercial]])</f>
        <v>LUIS VALLE 5431</v>
      </c>
      <c r="J434" s="24" t="str">
        <f>LOWER(Tabla11[[#This Row],[Comercial]])</f>
        <v>luis valle 5431</v>
      </c>
      <c r="K434" s="227" t="str">
        <f>PROPER(Tabla11[[#This Row],[Comercial]])</f>
        <v>Luis Valle 5431</v>
      </c>
      <c r="L434" t="s">
        <v>1507</v>
      </c>
      <c r="M434" t="str">
        <f>RIGHT(Tabla11[[#This Row],[Comercial]],4)</f>
        <v>5431</v>
      </c>
      <c r="N434" t="str">
        <f>LEFT(Tabla11[[#This Row],[Minuscula]],6)</f>
        <v>luis v</v>
      </c>
    </row>
    <row r="435" spans="1:14">
      <c r="A435" s="226">
        <v>1434</v>
      </c>
      <c r="B435" s="224">
        <v>44586</v>
      </c>
      <c r="C435" s="207" t="s">
        <v>1501</v>
      </c>
      <c r="D435" s="207" t="s">
        <v>1502</v>
      </c>
      <c r="E435" s="207" t="s">
        <v>520</v>
      </c>
      <c r="F435" s="225">
        <v>150</v>
      </c>
      <c r="G435" s="225">
        <v>31.5</v>
      </c>
      <c r="H435" s="225">
        <v>181.5</v>
      </c>
      <c r="I435" s="24" t="str">
        <f>UPPER(Tabla11[[#This Row],[Comercial]])</f>
        <v>MARIO PEREZ 1123</v>
      </c>
      <c r="J435" s="24" t="str">
        <f>LOWER(Tabla11[[#This Row],[Comercial]])</f>
        <v>mario perez 1123</v>
      </c>
      <c r="K435" s="227" t="str">
        <f>PROPER(Tabla11[[#This Row],[Comercial]])</f>
        <v>Mario Perez 1123</v>
      </c>
      <c r="L435" t="s">
        <v>1510</v>
      </c>
      <c r="M435" t="str">
        <f>RIGHT(Tabla11[[#This Row],[Comercial]],4)</f>
        <v>1123</v>
      </c>
      <c r="N435" t="str">
        <f>LEFT(Tabla11[[#This Row],[Minuscula]],6)</f>
        <v xml:space="preserve">mario </v>
      </c>
    </row>
    <row r="436" spans="1:14">
      <c r="A436" s="226">
        <v>1435</v>
      </c>
      <c r="B436" s="224">
        <v>44588</v>
      </c>
      <c r="C436" s="207" t="s">
        <v>1496</v>
      </c>
      <c r="D436" s="207" t="s">
        <v>1494</v>
      </c>
      <c r="E436" s="207" t="s">
        <v>534</v>
      </c>
      <c r="F436" s="225">
        <v>8</v>
      </c>
      <c r="G436" s="225">
        <v>1.68</v>
      </c>
      <c r="H436" s="225">
        <v>9.68</v>
      </c>
      <c r="I436" s="24" t="str">
        <f>UPPER(Tabla11[[#This Row],[Comercial]])</f>
        <v>PABLO LOPEZ 7384</v>
      </c>
      <c r="J436" s="24" t="str">
        <f>LOWER(Tabla11[[#This Row],[Comercial]])</f>
        <v>pablo lopez 7384</v>
      </c>
      <c r="K436" s="227" t="str">
        <f>PROPER(Tabla11[[#This Row],[Comercial]])</f>
        <v>Pablo Lopez 7384</v>
      </c>
      <c r="L436" t="s">
        <v>1508</v>
      </c>
      <c r="M436" t="str">
        <f>RIGHT(Tabla11[[#This Row],[Comercial]],4)</f>
        <v>7384</v>
      </c>
      <c r="N436" t="str">
        <f>LEFT(Tabla11[[#This Row],[Minuscula]],6)</f>
        <v xml:space="preserve">pablo </v>
      </c>
    </row>
    <row r="437" spans="1:14">
      <c r="A437" s="226">
        <v>1436</v>
      </c>
      <c r="B437" s="224">
        <v>44588</v>
      </c>
      <c r="C437" s="207" t="s">
        <v>1496</v>
      </c>
      <c r="D437" s="207" t="s">
        <v>1502</v>
      </c>
      <c r="E437" s="207" t="s">
        <v>534</v>
      </c>
      <c r="F437" s="225">
        <v>9</v>
      </c>
      <c r="G437" s="225">
        <v>1.89</v>
      </c>
      <c r="H437" s="225">
        <v>10.89</v>
      </c>
      <c r="I437" s="24" t="str">
        <f>UPPER(Tabla11[[#This Row],[Comercial]])</f>
        <v>PABLO LOPEZ 7384</v>
      </c>
      <c r="J437" s="24" t="str">
        <f>LOWER(Tabla11[[#This Row],[Comercial]])</f>
        <v>pablo lopez 7384</v>
      </c>
      <c r="K437" s="227" t="str">
        <f>PROPER(Tabla11[[#This Row],[Comercial]])</f>
        <v>Pablo Lopez 7384</v>
      </c>
      <c r="L437" t="s">
        <v>1508</v>
      </c>
      <c r="M437" t="str">
        <f>RIGHT(Tabla11[[#This Row],[Comercial]],4)</f>
        <v>7384</v>
      </c>
      <c r="N437" t="str">
        <f>LEFT(Tabla11[[#This Row],[Minuscula]],6)</f>
        <v xml:space="preserve">pablo </v>
      </c>
    </row>
    <row r="438" spans="1:14">
      <c r="A438" s="226">
        <v>1437</v>
      </c>
      <c r="B438" s="224">
        <v>44588</v>
      </c>
      <c r="C438" s="207" t="s">
        <v>1496</v>
      </c>
      <c r="D438" s="207" t="s">
        <v>1499</v>
      </c>
      <c r="E438" s="207" t="s">
        <v>518</v>
      </c>
      <c r="F438" s="225">
        <v>58</v>
      </c>
      <c r="G438" s="225">
        <v>12.18</v>
      </c>
      <c r="H438" s="225">
        <v>70.180000000000007</v>
      </c>
      <c r="I438" s="24" t="str">
        <f>UPPER(Tabla11[[#This Row],[Comercial]])</f>
        <v>PABLO LOPEZ 7384</v>
      </c>
      <c r="J438" s="24" t="str">
        <f>LOWER(Tabla11[[#This Row],[Comercial]])</f>
        <v>pablo lopez 7384</v>
      </c>
      <c r="K438" s="227" t="str">
        <f>PROPER(Tabla11[[#This Row],[Comercial]])</f>
        <v>Pablo Lopez 7384</v>
      </c>
      <c r="L438" t="s">
        <v>1508</v>
      </c>
      <c r="M438" t="str">
        <f>RIGHT(Tabla11[[#This Row],[Comercial]],4)</f>
        <v>7384</v>
      </c>
      <c r="N438" t="str">
        <f>LEFT(Tabla11[[#This Row],[Minuscula]],6)</f>
        <v xml:space="preserve">pablo </v>
      </c>
    </row>
    <row r="439" spans="1:14">
      <c r="A439" s="226">
        <v>1438</v>
      </c>
      <c r="B439" s="224">
        <v>44590</v>
      </c>
      <c r="C439" s="207" t="s">
        <v>1496</v>
      </c>
      <c r="D439" s="207" t="s">
        <v>1503</v>
      </c>
      <c r="E439" s="207" t="s">
        <v>525</v>
      </c>
      <c r="F439" s="225">
        <v>48</v>
      </c>
      <c r="G439" s="225">
        <v>10.08</v>
      </c>
      <c r="H439" s="225">
        <v>58.08</v>
      </c>
      <c r="I439" s="24" t="str">
        <f>UPPER(Tabla11[[#This Row],[Comercial]])</f>
        <v>PABLO LOPEZ 7384</v>
      </c>
      <c r="J439" s="24" t="str">
        <f>LOWER(Tabla11[[#This Row],[Comercial]])</f>
        <v>pablo lopez 7384</v>
      </c>
      <c r="K439" s="227" t="str">
        <f>PROPER(Tabla11[[#This Row],[Comercial]])</f>
        <v>Pablo Lopez 7384</v>
      </c>
      <c r="L439" t="s">
        <v>1508</v>
      </c>
      <c r="M439" t="str">
        <f>RIGHT(Tabla11[[#This Row],[Comercial]],4)</f>
        <v>7384</v>
      </c>
      <c r="N439" t="str">
        <f>LEFT(Tabla11[[#This Row],[Minuscula]],6)</f>
        <v xml:space="preserve">pablo </v>
      </c>
    </row>
    <row r="440" spans="1:14">
      <c r="A440" s="226">
        <v>1439</v>
      </c>
      <c r="B440" s="224">
        <v>44591</v>
      </c>
      <c r="C440" s="207" t="s">
        <v>1501</v>
      </c>
      <c r="D440" s="207" t="s">
        <v>1499</v>
      </c>
      <c r="E440" s="207" t="s">
        <v>530</v>
      </c>
      <c r="F440" s="225">
        <v>15</v>
      </c>
      <c r="G440" s="225">
        <v>3.15</v>
      </c>
      <c r="H440" s="225">
        <v>18.149999999999999</v>
      </c>
      <c r="I440" s="24" t="str">
        <f>UPPER(Tabla11[[#This Row],[Comercial]])</f>
        <v>MARIO PEREZ 1123</v>
      </c>
      <c r="J440" s="24" t="str">
        <f>LOWER(Tabla11[[#This Row],[Comercial]])</f>
        <v>mario perez 1123</v>
      </c>
      <c r="K440" s="227" t="str">
        <f>PROPER(Tabla11[[#This Row],[Comercial]])</f>
        <v>Mario Perez 1123</v>
      </c>
      <c r="L440" t="s">
        <v>1510</v>
      </c>
      <c r="M440" t="str">
        <f>RIGHT(Tabla11[[#This Row],[Comercial]],4)</f>
        <v>1123</v>
      </c>
      <c r="N440" t="str">
        <f>LEFT(Tabla11[[#This Row],[Minuscula]],6)</f>
        <v xml:space="preserve">mario </v>
      </c>
    </row>
    <row r="441" spans="1:14">
      <c r="A441" s="226">
        <v>1440</v>
      </c>
      <c r="B441" s="224">
        <v>44591</v>
      </c>
      <c r="C441" s="207" t="s">
        <v>1504</v>
      </c>
      <c r="D441" s="207" t="s">
        <v>1497</v>
      </c>
      <c r="E441" s="207" t="s">
        <v>525</v>
      </c>
      <c r="F441" s="225">
        <v>6</v>
      </c>
      <c r="G441" s="225">
        <v>1.26</v>
      </c>
      <c r="H441" s="225">
        <v>7.26</v>
      </c>
      <c r="I441" s="24" t="str">
        <f>UPPER(Tabla11[[#This Row],[Comercial]])</f>
        <v>MARIA GARCIA 1254</v>
      </c>
      <c r="J441" s="24" t="str">
        <f>LOWER(Tabla11[[#This Row],[Comercial]])</f>
        <v>maria garcia 1254</v>
      </c>
      <c r="K441" s="227" t="str">
        <f>PROPER(Tabla11[[#This Row],[Comercial]])</f>
        <v>Maria Garcia 1254</v>
      </c>
      <c r="L441" t="s">
        <v>1506</v>
      </c>
      <c r="M441" t="str">
        <f>RIGHT(Tabla11[[#This Row],[Comercial]],4)</f>
        <v>1254</v>
      </c>
      <c r="N441" t="str">
        <f>LEFT(Tabla11[[#This Row],[Minuscula]],6)</f>
        <v xml:space="preserve">maria </v>
      </c>
    </row>
    <row r="442" spans="1:14">
      <c r="A442" s="226">
        <v>1441</v>
      </c>
      <c r="B442" s="224">
        <v>44593</v>
      </c>
      <c r="C442" s="207" t="s">
        <v>1501</v>
      </c>
      <c r="D442" s="207" t="s">
        <v>1499</v>
      </c>
      <c r="E442" s="207" t="s">
        <v>518</v>
      </c>
      <c r="F442" s="225">
        <v>63</v>
      </c>
      <c r="G442" s="225">
        <v>13.23</v>
      </c>
      <c r="H442" s="225">
        <v>76.23</v>
      </c>
      <c r="I442" s="24" t="str">
        <f>UPPER(Tabla11[[#This Row],[Comercial]])</f>
        <v>MARIO PEREZ 1123</v>
      </c>
      <c r="J442" s="24" t="str">
        <f>LOWER(Tabla11[[#This Row],[Comercial]])</f>
        <v>mario perez 1123</v>
      </c>
      <c r="K442" s="227" t="str">
        <f>PROPER(Tabla11[[#This Row],[Comercial]])</f>
        <v>Mario Perez 1123</v>
      </c>
      <c r="L442" t="s">
        <v>1510</v>
      </c>
      <c r="M442" t="str">
        <f>RIGHT(Tabla11[[#This Row],[Comercial]],4)</f>
        <v>1123</v>
      </c>
      <c r="N442" t="str">
        <f>LEFT(Tabla11[[#This Row],[Minuscula]],6)</f>
        <v xml:space="preserve">mario </v>
      </c>
    </row>
    <row r="443" spans="1:14">
      <c r="A443" s="226">
        <v>1442</v>
      </c>
      <c r="B443" s="224">
        <v>44600</v>
      </c>
      <c r="C443" s="207" t="s">
        <v>1504</v>
      </c>
      <c r="D443" s="207" t="s">
        <v>1497</v>
      </c>
      <c r="E443" s="207" t="s">
        <v>530</v>
      </c>
      <c r="F443" s="225">
        <v>13</v>
      </c>
      <c r="G443" s="225">
        <v>2.73</v>
      </c>
      <c r="H443" s="225">
        <v>15.73</v>
      </c>
      <c r="I443" s="24" t="str">
        <f>UPPER(Tabla11[[#This Row],[Comercial]])</f>
        <v>MARIA GARCIA 1254</v>
      </c>
      <c r="J443" s="24" t="str">
        <f>LOWER(Tabla11[[#This Row],[Comercial]])</f>
        <v>maria garcia 1254</v>
      </c>
      <c r="K443" s="227" t="str">
        <f>PROPER(Tabla11[[#This Row],[Comercial]])</f>
        <v>Maria Garcia 1254</v>
      </c>
      <c r="L443" t="s">
        <v>1506</v>
      </c>
      <c r="M443" t="str">
        <f>RIGHT(Tabla11[[#This Row],[Comercial]],4)</f>
        <v>1254</v>
      </c>
      <c r="N443" t="str">
        <f>LEFT(Tabla11[[#This Row],[Minuscula]],6)</f>
        <v xml:space="preserve">maria </v>
      </c>
    </row>
    <row r="444" spans="1:14">
      <c r="A444" s="226">
        <v>1443</v>
      </c>
      <c r="B444" s="224">
        <v>44600</v>
      </c>
      <c r="C444" s="207" t="s">
        <v>1501</v>
      </c>
      <c r="D444" s="207" t="s">
        <v>1499</v>
      </c>
      <c r="E444" s="207" t="s">
        <v>520</v>
      </c>
      <c r="F444" s="225">
        <v>471</v>
      </c>
      <c r="G444" s="225">
        <v>98.91</v>
      </c>
      <c r="H444" s="225">
        <v>569.91</v>
      </c>
      <c r="I444" s="24" t="str">
        <f>UPPER(Tabla11[[#This Row],[Comercial]])</f>
        <v>MARIO PEREZ 1123</v>
      </c>
      <c r="J444" s="24" t="str">
        <f>LOWER(Tabla11[[#This Row],[Comercial]])</f>
        <v>mario perez 1123</v>
      </c>
      <c r="K444" s="227" t="str">
        <f>PROPER(Tabla11[[#This Row],[Comercial]])</f>
        <v>Mario Perez 1123</v>
      </c>
      <c r="L444" t="s">
        <v>1510</v>
      </c>
      <c r="M444" t="str">
        <f>RIGHT(Tabla11[[#This Row],[Comercial]],4)</f>
        <v>1123</v>
      </c>
      <c r="N444" t="str">
        <f>LEFT(Tabla11[[#This Row],[Minuscula]],6)</f>
        <v xml:space="preserve">mario </v>
      </c>
    </row>
    <row r="445" spans="1:14">
      <c r="A445" s="226">
        <v>1444</v>
      </c>
      <c r="B445" s="224">
        <v>44600</v>
      </c>
      <c r="C445" s="207" t="s">
        <v>1496</v>
      </c>
      <c r="D445" s="207" t="s">
        <v>1494</v>
      </c>
      <c r="E445" s="207" t="s">
        <v>534</v>
      </c>
      <c r="F445" s="225">
        <v>8</v>
      </c>
      <c r="G445" s="225">
        <v>1.68</v>
      </c>
      <c r="H445" s="225">
        <v>9.68</v>
      </c>
      <c r="I445" s="24" t="str">
        <f>UPPER(Tabla11[[#This Row],[Comercial]])</f>
        <v>PABLO LOPEZ 7384</v>
      </c>
      <c r="J445" s="24" t="str">
        <f>LOWER(Tabla11[[#This Row],[Comercial]])</f>
        <v>pablo lopez 7384</v>
      </c>
      <c r="K445" s="227" t="str">
        <f>PROPER(Tabla11[[#This Row],[Comercial]])</f>
        <v>Pablo Lopez 7384</v>
      </c>
      <c r="L445" t="s">
        <v>1508</v>
      </c>
      <c r="M445" t="str">
        <f>RIGHT(Tabla11[[#This Row],[Comercial]],4)</f>
        <v>7384</v>
      </c>
      <c r="N445" t="str">
        <f>LEFT(Tabla11[[#This Row],[Minuscula]],6)</f>
        <v xml:space="preserve">pablo </v>
      </c>
    </row>
    <row r="446" spans="1:14">
      <c r="A446" s="226">
        <v>1445</v>
      </c>
      <c r="B446" s="224">
        <v>44601</v>
      </c>
      <c r="C446" s="207" t="s">
        <v>1495</v>
      </c>
      <c r="D446" s="207" t="s">
        <v>1499</v>
      </c>
      <c r="E446" s="207" t="s">
        <v>518</v>
      </c>
      <c r="F446" s="225">
        <v>63</v>
      </c>
      <c r="G446" s="225">
        <v>13.23</v>
      </c>
      <c r="H446" s="225">
        <v>76.23</v>
      </c>
      <c r="I446" s="24" t="str">
        <f>UPPER(Tabla11[[#This Row],[Comercial]])</f>
        <v>LUIS VALLE 5431</v>
      </c>
      <c r="J446" s="24" t="str">
        <f>LOWER(Tabla11[[#This Row],[Comercial]])</f>
        <v>luis valle 5431</v>
      </c>
      <c r="K446" s="227" t="str">
        <f>PROPER(Tabla11[[#This Row],[Comercial]])</f>
        <v>Luis Valle 5431</v>
      </c>
      <c r="L446" t="s">
        <v>1507</v>
      </c>
      <c r="M446" t="str">
        <f>RIGHT(Tabla11[[#This Row],[Comercial]],4)</f>
        <v>5431</v>
      </c>
      <c r="N446" t="str">
        <f>LEFT(Tabla11[[#This Row],[Minuscula]],6)</f>
        <v>luis v</v>
      </c>
    </row>
    <row r="447" spans="1:14">
      <c r="A447" s="226">
        <v>1446</v>
      </c>
      <c r="B447" s="224">
        <v>44604</v>
      </c>
      <c r="C447" s="207" t="s">
        <v>1495</v>
      </c>
      <c r="D447" s="207" t="s">
        <v>1499</v>
      </c>
      <c r="E447" s="207" t="s">
        <v>518</v>
      </c>
      <c r="F447" s="225">
        <v>81</v>
      </c>
      <c r="G447" s="225">
        <v>17.010000000000002</v>
      </c>
      <c r="H447" s="225">
        <v>98.01</v>
      </c>
      <c r="I447" s="24" t="str">
        <f>UPPER(Tabla11[[#This Row],[Comercial]])</f>
        <v>LUIS VALLE 5431</v>
      </c>
      <c r="J447" s="24" t="str">
        <f>LOWER(Tabla11[[#This Row],[Comercial]])</f>
        <v>luis valle 5431</v>
      </c>
      <c r="K447" s="227" t="str">
        <f>PROPER(Tabla11[[#This Row],[Comercial]])</f>
        <v>Luis Valle 5431</v>
      </c>
      <c r="L447" t="s">
        <v>1507</v>
      </c>
      <c r="M447" t="str">
        <f>RIGHT(Tabla11[[#This Row],[Comercial]],4)</f>
        <v>5431</v>
      </c>
      <c r="N447" t="str">
        <f>LEFT(Tabla11[[#This Row],[Minuscula]],6)</f>
        <v>luis v</v>
      </c>
    </row>
    <row r="448" spans="1:14">
      <c r="A448" s="226">
        <v>1447</v>
      </c>
      <c r="B448" s="224">
        <v>44607</v>
      </c>
      <c r="C448" s="207" t="s">
        <v>1501</v>
      </c>
      <c r="D448" s="207" t="s">
        <v>1497</v>
      </c>
      <c r="E448" s="207" t="s">
        <v>520</v>
      </c>
      <c r="F448" s="225">
        <v>402</v>
      </c>
      <c r="G448" s="225">
        <v>84.42</v>
      </c>
      <c r="H448" s="225">
        <v>486.42</v>
      </c>
      <c r="I448" s="24" t="str">
        <f>UPPER(Tabla11[[#This Row],[Comercial]])</f>
        <v>MARIO PEREZ 1123</v>
      </c>
      <c r="J448" s="24" t="str">
        <f>LOWER(Tabla11[[#This Row],[Comercial]])</f>
        <v>mario perez 1123</v>
      </c>
      <c r="K448" s="227" t="str">
        <f>PROPER(Tabla11[[#This Row],[Comercial]])</f>
        <v>Mario Perez 1123</v>
      </c>
      <c r="L448" t="s">
        <v>1510</v>
      </c>
      <c r="M448" t="str">
        <f>RIGHT(Tabla11[[#This Row],[Comercial]],4)</f>
        <v>1123</v>
      </c>
      <c r="N448" t="str">
        <f>LEFT(Tabla11[[#This Row],[Minuscula]],6)</f>
        <v xml:space="preserve">mario </v>
      </c>
    </row>
    <row r="449" spans="1:14">
      <c r="A449" s="226">
        <v>1448</v>
      </c>
      <c r="B449" s="224">
        <v>44608</v>
      </c>
      <c r="C449" s="207" t="s">
        <v>1501</v>
      </c>
      <c r="D449" s="207" t="s">
        <v>1494</v>
      </c>
      <c r="E449" s="207" t="s">
        <v>518</v>
      </c>
      <c r="F449" s="225">
        <v>174</v>
      </c>
      <c r="G449" s="225">
        <v>36.54</v>
      </c>
      <c r="H449" s="225">
        <v>210.54</v>
      </c>
      <c r="I449" s="24" t="str">
        <f>UPPER(Tabla11[[#This Row],[Comercial]])</f>
        <v>MARIO PEREZ 1123</v>
      </c>
      <c r="J449" s="24" t="str">
        <f>LOWER(Tabla11[[#This Row],[Comercial]])</f>
        <v>mario perez 1123</v>
      </c>
      <c r="K449" s="227" t="str">
        <f>PROPER(Tabla11[[#This Row],[Comercial]])</f>
        <v>Mario Perez 1123</v>
      </c>
      <c r="L449" t="s">
        <v>1510</v>
      </c>
      <c r="M449" t="str">
        <f>RIGHT(Tabla11[[#This Row],[Comercial]],4)</f>
        <v>1123</v>
      </c>
      <c r="N449" t="str">
        <f>LEFT(Tabla11[[#This Row],[Minuscula]],6)</f>
        <v xml:space="preserve">mario </v>
      </c>
    </row>
    <row r="450" spans="1:14">
      <c r="A450" s="226">
        <v>1449</v>
      </c>
      <c r="B450" s="224">
        <v>44608</v>
      </c>
      <c r="C450" s="207" t="s">
        <v>1501</v>
      </c>
      <c r="D450" s="207" t="s">
        <v>1497</v>
      </c>
      <c r="E450" s="207" t="s">
        <v>520</v>
      </c>
      <c r="F450" s="225">
        <v>217</v>
      </c>
      <c r="G450" s="225">
        <v>45.57</v>
      </c>
      <c r="H450" s="225">
        <v>262.57</v>
      </c>
      <c r="I450" s="24" t="str">
        <f>UPPER(Tabla11[[#This Row],[Comercial]])</f>
        <v>MARIO PEREZ 1123</v>
      </c>
      <c r="J450" s="24" t="str">
        <f>LOWER(Tabla11[[#This Row],[Comercial]])</f>
        <v>mario perez 1123</v>
      </c>
      <c r="K450" s="227" t="str">
        <f>PROPER(Tabla11[[#This Row],[Comercial]])</f>
        <v>Mario Perez 1123</v>
      </c>
      <c r="L450" t="s">
        <v>1510</v>
      </c>
      <c r="M450" t="str">
        <f>RIGHT(Tabla11[[#This Row],[Comercial]],4)</f>
        <v>1123</v>
      </c>
      <c r="N450" t="str">
        <f>LEFT(Tabla11[[#This Row],[Minuscula]],6)</f>
        <v xml:space="preserve">mario </v>
      </c>
    </row>
    <row r="451" spans="1:14">
      <c r="A451" s="226">
        <v>1450</v>
      </c>
      <c r="B451" s="224">
        <v>44610</v>
      </c>
      <c r="C451" s="207" t="s">
        <v>1504</v>
      </c>
      <c r="D451" s="207" t="s">
        <v>1499</v>
      </c>
      <c r="E451" s="207" t="s">
        <v>520</v>
      </c>
      <c r="F451" s="225">
        <v>385</v>
      </c>
      <c r="G451" s="225">
        <v>80.849999999999994</v>
      </c>
      <c r="H451" s="225">
        <v>465.85</v>
      </c>
      <c r="I451" s="24" t="str">
        <f>UPPER(Tabla11[[#This Row],[Comercial]])</f>
        <v>MARIA GARCIA 1254</v>
      </c>
      <c r="J451" s="24" t="str">
        <f>LOWER(Tabla11[[#This Row],[Comercial]])</f>
        <v>maria garcia 1254</v>
      </c>
      <c r="K451" s="227" t="str">
        <f>PROPER(Tabla11[[#This Row],[Comercial]])</f>
        <v>Maria Garcia 1254</v>
      </c>
      <c r="L451" t="s">
        <v>1506</v>
      </c>
      <c r="M451" t="str">
        <f>RIGHT(Tabla11[[#This Row],[Comercial]],4)</f>
        <v>1254</v>
      </c>
      <c r="N451" t="str">
        <f>LEFT(Tabla11[[#This Row],[Minuscula]],6)</f>
        <v xml:space="preserve">maria </v>
      </c>
    </row>
    <row r="452" spans="1:14">
      <c r="A452" s="226">
        <v>1451</v>
      </c>
      <c r="B452" s="224">
        <v>44611</v>
      </c>
      <c r="C452" s="207" t="s">
        <v>1495</v>
      </c>
      <c r="D452" s="207" t="s">
        <v>1499</v>
      </c>
      <c r="E452" s="207" t="s">
        <v>534</v>
      </c>
      <c r="F452" s="225">
        <v>8</v>
      </c>
      <c r="G452" s="225">
        <v>1.68</v>
      </c>
      <c r="H452" s="225">
        <v>9.68</v>
      </c>
      <c r="I452" s="24" t="str">
        <f>UPPER(Tabla11[[#This Row],[Comercial]])</f>
        <v>LUIS VALLE 5431</v>
      </c>
      <c r="J452" s="24" t="str">
        <f>LOWER(Tabla11[[#This Row],[Comercial]])</f>
        <v>luis valle 5431</v>
      </c>
      <c r="K452" s="227" t="str">
        <f>PROPER(Tabla11[[#This Row],[Comercial]])</f>
        <v>Luis Valle 5431</v>
      </c>
      <c r="L452" t="s">
        <v>1507</v>
      </c>
      <c r="M452" t="str">
        <f>RIGHT(Tabla11[[#This Row],[Comercial]],4)</f>
        <v>5431</v>
      </c>
      <c r="N452" t="str">
        <f>LEFT(Tabla11[[#This Row],[Minuscula]],6)</f>
        <v>luis v</v>
      </c>
    </row>
    <row r="453" spans="1:14">
      <c r="A453" s="226">
        <v>1452</v>
      </c>
      <c r="B453" s="224">
        <v>44611</v>
      </c>
      <c r="C453" s="207" t="s">
        <v>1495</v>
      </c>
      <c r="D453" s="207" t="s">
        <v>1502</v>
      </c>
      <c r="E453" s="207" t="s">
        <v>525</v>
      </c>
      <c r="F453" s="225">
        <v>9</v>
      </c>
      <c r="G453" s="225">
        <v>1.89</v>
      </c>
      <c r="H453" s="225">
        <v>10.89</v>
      </c>
      <c r="I453" s="24" t="str">
        <f>UPPER(Tabla11[[#This Row],[Comercial]])</f>
        <v>LUIS VALLE 5431</v>
      </c>
      <c r="J453" s="24" t="str">
        <f>LOWER(Tabla11[[#This Row],[Comercial]])</f>
        <v>luis valle 5431</v>
      </c>
      <c r="K453" s="227" t="str">
        <f>PROPER(Tabla11[[#This Row],[Comercial]])</f>
        <v>Luis Valle 5431</v>
      </c>
      <c r="L453" t="s">
        <v>1507</v>
      </c>
      <c r="M453" t="str">
        <f>RIGHT(Tabla11[[#This Row],[Comercial]],4)</f>
        <v>5431</v>
      </c>
      <c r="N453" t="str">
        <f>LEFT(Tabla11[[#This Row],[Minuscula]],6)</f>
        <v>luis v</v>
      </c>
    </row>
    <row r="454" spans="1:14">
      <c r="A454" s="226">
        <v>1453</v>
      </c>
      <c r="B454" s="224">
        <v>44612</v>
      </c>
      <c r="C454" s="207" t="s">
        <v>1496</v>
      </c>
      <c r="D454" s="207" t="s">
        <v>1502</v>
      </c>
      <c r="E454" s="207" t="s">
        <v>534</v>
      </c>
      <c r="F454" s="225">
        <v>9</v>
      </c>
      <c r="G454" s="225">
        <v>1.89</v>
      </c>
      <c r="H454" s="225">
        <v>10.89</v>
      </c>
      <c r="I454" s="24" t="str">
        <f>UPPER(Tabla11[[#This Row],[Comercial]])</f>
        <v>PABLO LOPEZ 7384</v>
      </c>
      <c r="J454" s="24" t="str">
        <f>LOWER(Tabla11[[#This Row],[Comercial]])</f>
        <v>pablo lopez 7384</v>
      </c>
      <c r="K454" s="227" t="str">
        <f>PROPER(Tabla11[[#This Row],[Comercial]])</f>
        <v>Pablo Lopez 7384</v>
      </c>
      <c r="L454" t="s">
        <v>1508</v>
      </c>
      <c r="M454" t="str">
        <f>RIGHT(Tabla11[[#This Row],[Comercial]],4)</f>
        <v>7384</v>
      </c>
      <c r="N454" t="str">
        <f>LEFT(Tabla11[[#This Row],[Minuscula]],6)</f>
        <v xml:space="preserve">pablo </v>
      </c>
    </row>
    <row r="455" spans="1:14">
      <c r="A455" s="226">
        <v>1454</v>
      </c>
      <c r="B455" s="224">
        <v>44613</v>
      </c>
      <c r="C455" s="207" t="s">
        <v>1496</v>
      </c>
      <c r="D455" s="207" t="s">
        <v>1497</v>
      </c>
      <c r="E455" s="207" t="s">
        <v>520</v>
      </c>
      <c r="F455" s="225">
        <v>804</v>
      </c>
      <c r="G455" s="225">
        <v>168.84</v>
      </c>
      <c r="H455" s="225">
        <v>972.84</v>
      </c>
      <c r="I455" s="24" t="str">
        <f>UPPER(Tabla11[[#This Row],[Comercial]])</f>
        <v>PABLO LOPEZ 7384</v>
      </c>
      <c r="J455" s="24" t="str">
        <f>LOWER(Tabla11[[#This Row],[Comercial]])</f>
        <v>pablo lopez 7384</v>
      </c>
      <c r="K455" s="227" t="str">
        <f>PROPER(Tabla11[[#This Row],[Comercial]])</f>
        <v>Pablo Lopez 7384</v>
      </c>
      <c r="L455" t="s">
        <v>1508</v>
      </c>
      <c r="M455" t="str">
        <f>RIGHT(Tabla11[[#This Row],[Comercial]],4)</f>
        <v>7384</v>
      </c>
      <c r="N455" t="str">
        <f>LEFT(Tabla11[[#This Row],[Minuscula]],6)</f>
        <v xml:space="preserve">pablo </v>
      </c>
    </row>
    <row r="456" spans="1:14">
      <c r="A456" s="226">
        <v>1455</v>
      </c>
      <c r="B456" s="224">
        <v>44613</v>
      </c>
      <c r="C456" s="207" t="s">
        <v>1501</v>
      </c>
      <c r="D456" s="207" t="s">
        <v>1499</v>
      </c>
      <c r="E456" s="207" t="s">
        <v>525</v>
      </c>
      <c r="F456" s="225">
        <v>12</v>
      </c>
      <c r="G456" s="225">
        <v>2.52</v>
      </c>
      <c r="H456" s="225">
        <v>14.52</v>
      </c>
      <c r="I456" s="24" t="str">
        <f>UPPER(Tabla11[[#This Row],[Comercial]])</f>
        <v>MARIO PEREZ 1123</v>
      </c>
      <c r="J456" s="24" t="str">
        <f>LOWER(Tabla11[[#This Row],[Comercial]])</f>
        <v>mario perez 1123</v>
      </c>
      <c r="K456" s="227" t="str">
        <f>PROPER(Tabla11[[#This Row],[Comercial]])</f>
        <v>Mario Perez 1123</v>
      </c>
      <c r="L456" t="s">
        <v>1510</v>
      </c>
      <c r="M456" t="str">
        <f>RIGHT(Tabla11[[#This Row],[Comercial]],4)</f>
        <v>1123</v>
      </c>
      <c r="N456" t="str">
        <f>LEFT(Tabla11[[#This Row],[Minuscula]],6)</f>
        <v xml:space="preserve">mario </v>
      </c>
    </row>
    <row r="457" spans="1:14">
      <c r="A457" s="226">
        <v>1456</v>
      </c>
      <c r="B457" s="224">
        <v>44613</v>
      </c>
      <c r="C457" s="207" t="s">
        <v>1504</v>
      </c>
      <c r="D457" s="207" t="s">
        <v>1499</v>
      </c>
      <c r="E457" s="207" t="s">
        <v>520</v>
      </c>
      <c r="F457" s="225">
        <v>425</v>
      </c>
      <c r="G457" s="225">
        <v>89.25</v>
      </c>
      <c r="H457" s="225">
        <v>514.25</v>
      </c>
      <c r="I457" s="24" t="str">
        <f>UPPER(Tabla11[[#This Row],[Comercial]])</f>
        <v>MARIA GARCIA 1254</v>
      </c>
      <c r="J457" s="24" t="str">
        <f>LOWER(Tabla11[[#This Row],[Comercial]])</f>
        <v>maria garcia 1254</v>
      </c>
      <c r="K457" s="227" t="str">
        <f>PROPER(Tabla11[[#This Row],[Comercial]])</f>
        <v>Maria Garcia 1254</v>
      </c>
      <c r="L457" t="s">
        <v>1506</v>
      </c>
      <c r="M457" t="str">
        <f>RIGHT(Tabla11[[#This Row],[Comercial]],4)</f>
        <v>1254</v>
      </c>
      <c r="N457" t="str">
        <f>LEFT(Tabla11[[#This Row],[Minuscula]],6)</f>
        <v xml:space="preserve">maria </v>
      </c>
    </row>
    <row r="458" spans="1:14">
      <c r="A458" s="226">
        <v>1457</v>
      </c>
      <c r="B458" s="224">
        <v>44613</v>
      </c>
      <c r="C458" s="207" t="s">
        <v>1500</v>
      </c>
      <c r="D458" s="207" t="s">
        <v>1503</v>
      </c>
      <c r="E458" s="207" t="s">
        <v>518</v>
      </c>
      <c r="F458" s="225">
        <v>113</v>
      </c>
      <c r="G458" s="225">
        <v>23.73</v>
      </c>
      <c r="H458" s="225">
        <v>136.72999999999999</v>
      </c>
      <c r="I458" s="24" t="str">
        <f>UPPER(Tabla11[[#This Row],[Comercial]])</f>
        <v>ANA FERNANDEZZ 4321</v>
      </c>
      <c r="J458" s="24" t="str">
        <f>LOWER(Tabla11[[#This Row],[Comercial]])</f>
        <v>ana fernandezz 4321</v>
      </c>
      <c r="K458" s="227" t="str">
        <f>PROPER(Tabla11[[#This Row],[Comercial]])</f>
        <v>Ana Fernandezz 4321</v>
      </c>
      <c r="L458" t="s">
        <v>1509</v>
      </c>
      <c r="M458" t="str">
        <f>RIGHT(Tabla11[[#This Row],[Comercial]],4)</f>
        <v>4321</v>
      </c>
      <c r="N458" t="str">
        <f>LEFT(Tabla11[[#This Row],[Minuscula]],6)</f>
        <v>ana fe</v>
      </c>
    </row>
    <row r="459" spans="1:14">
      <c r="A459" s="226">
        <v>1458</v>
      </c>
      <c r="B459" s="224">
        <v>44614</v>
      </c>
      <c r="C459" s="207" t="s">
        <v>1500</v>
      </c>
      <c r="D459" s="207" t="s">
        <v>1499</v>
      </c>
      <c r="E459" s="207" t="s">
        <v>525</v>
      </c>
      <c r="F459" s="225">
        <v>5</v>
      </c>
      <c r="G459" s="225">
        <v>1.05</v>
      </c>
      <c r="H459" s="225">
        <v>6.05</v>
      </c>
      <c r="I459" s="24" t="str">
        <f>UPPER(Tabla11[[#This Row],[Comercial]])</f>
        <v>ANA FERNANDEZZ 4321</v>
      </c>
      <c r="J459" s="24" t="str">
        <f>LOWER(Tabla11[[#This Row],[Comercial]])</f>
        <v>ana fernandezz 4321</v>
      </c>
      <c r="K459" s="227" t="str">
        <f>PROPER(Tabla11[[#This Row],[Comercial]])</f>
        <v>Ana Fernandezz 4321</v>
      </c>
      <c r="L459" t="s">
        <v>1509</v>
      </c>
      <c r="M459" t="str">
        <f>RIGHT(Tabla11[[#This Row],[Comercial]],4)</f>
        <v>4321</v>
      </c>
      <c r="N459" t="str">
        <f>LEFT(Tabla11[[#This Row],[Minuscula]],6)</f>
        <v>ana fe</v>
      </c>
    </row>
    <row r="460" spans="1:14">
      <c r="A460" s="226">
        <v>1459</v>
      </c>
      <c r="B460" s="224">
        <v>44614</v>
      </c>
      <c r="C460" s="207" t="s">
        <v>1504</v>
      </c>
      <c r="D460" s="207" t="s">
        <v>1503</v>
      </c>
      <c r="E460" s="207" t="s">
        <v>525</v>
      </c>
      <c r="F460" s="225">
        <v>34</v>
      </c>
      <c r="G460" s="225">
        <v>7.14</v>
      </c>
      <c r="H460" s="225">
        <v>41.14</v>
      </c>
      <c r="I460" s="24" t="str">
        <f>UPPER(Tabla11[[#This Row],[Comercial]])</f>
        <v>MARIA GARCIA 1254</v>
      </c>
      <c r="J460" s="24" t="str">
        <f>LOWER(Tabla11[[#This Row],[Comercial]])</f>
        <v>maria garcia 1254</v>
      </c>
      <c r="K460" s="227" t="str">
        <f>PROPER(Tabla11[[#This Row],[Comercial]])</f>
        <v>Maria Garcia 1254</v>
      </c>
      <c r="L460" t="s">
        <v>1506</v>
      </c>
      <c r="M460" t="str">
        <f>RIGHT(Tabla11[[#This Row],[Comercial]],4)</f>
        <v>1254</v>
      </c>
      <c r="N460" t="str">
        <f>LEFT(Tabla11[[#This Row],[Minuscula]],6)</f>
        <v xml:space="preserve">maria </v>
      </c>
    </row>
    <row r="461" spans="1:14">
      <c r="A461" s="226">
        <v>1460</v>
      </c>
      <c r="B461" s="224">
        <v>44614</v>
      </c>
      <c r="C461" s="207" t="s">
        <v>1496</v>
      </c>
      <c r="D461" s="207" t="s">
        <v>1503</v>
      </c>
      <c r="E461" s="207" t="s">
        <v>530</v>
      </c>
      <c r="F461" s="225">
        <v>21</v>
      </c>
      <c r="G461" s="225">
        <v>4.41</v>
      </c>
      <c r="H461" s="225">
        <v>25.41</v>
      </c>
      <c r="I461" s="24" t="str">
        <f>UPPER(Tabla11[[#This Row],[Comercial]])</f>
        <v>PABLO LOPEZ 7384</v>
      </c>
      <c r="J461" s="24" t="str">
        <f>LOWER(Tabla11[[#This Row],[Comercial]])</f>
        <v>pablo lopez 7384</v>
      </c>
      <c r="K461" s="227" t="str">
        <f>PROPER(Tabla11[[#This Row],[Comercial]])</f>
        <v>Pablo Lopez 7384</v>
      </c>
      <c r="L461" t="s">
        <v>1508</v>
      </c>
      <c r="M461" t="str">
        <f>RIGHT(Tabla11[[#This Row],[Comercial]],4)</f>
        <v>7384</v>
      </c>
      <c r="N461" t="str">
        <f>LEFT(Tabla11[[#This Row],[Minuscula]],6)</f>
        <v xml:space="preserve">pablo </v>
      </c>
    </row>
    <row r="462" spans="1:14">
      <c r="A462" s="226">
        <v>1461</v>
      </c>
      <c r="B462" s="224">
        <v>44615</v>
      </c>
      <c r="C462" s="207" t="s">
        <v>1501</v>
      </c>
      <c r="D462" s="207" t="s">
        <v>1503</v>
      </c>
      <c r="E462" s="207" t="s">
        <v>534</v>
      </c>
      <c r="F462" s="225">
        <v>7</v>
      </c>
      <c r="G462" s="225">
        <v>1.47</v>
      </c>
      <c r="H462" s="225">
        <v>8.4700000000000006</v>
      </c>
      <c r="I462" s="24" t="str">
        <f>UPPER(Tabla11[[#This Row],[Comercial]])</f>
        <v>MARIO PEREZ 1123</v>
      </c>
      <c r="J462" s="24" t="str">
        <f>LOWER(Tabla11[[#This Row],[Comercial]])</f>
        <v>mario perez 1123</v>
      </c>
      <c r="K462" s="227" t="str">
        <f>PROPER(Tabla11[[#This Row],[Comercial]])</f>
        <v>Mario Perez 1123</v>
      </c>
      <c r="L462" t="s">
        <v>1510</v>
      </c>
      <c r="M462" t="str">
        <f>RIGHT(Tabla11[[#This Row],[Comercial]],4)</f>
        <v>1123</v>
      </c>
      <c r="N462" t="str">
        <f>LEFT(Tabla11[[#This Row],[Minuscula]],6)</f>
        <v xml:space="preserve">mario </v>
      </c>
    </row>
    <row r="463" spans="1:14">
      <c r="A463" s="226">
        <v>1462</v>
      </c>
      <c r="B463" s="224">
        <v>44616</v>
      </c>
      <c r="C463" s="207" t="s">
        <v>1501</v>
      </c>
      <c r="D463" s="207" t="s">
        <v>1494</v>
      </c>
      <c r="E463" s="207" t="s">
        <v>520</v>
      </c>
      <c r="F463" s="225">
        <v>836</v>
      </c>
      <c r="G463" s="225">
        <v>175.56</v>
      </c>
      <c r="H463" s="225">
        <v>1011.56</v>
      </c>
      <c r="I463" s="24" t="str">
        <f>UPPER(Tabla11[[#This Row],[Comercial]])</f>
        <v>MARIO PEREZ 1123</v>
      </c>
      <c r="J463" s="24" t="str">
        <f>LOWER(Tabla11[[#This Row],[Comercial]])</f>
        <v>mario perez 1123</v>
      </c>
      <c r="K463" s="227" t="str">
        <f>PROPER(Tabla11[[#This Row],[Comercial]])</f>
        <v>Mario Perez 1123</v>
      </c>
      <c r="L463" t="s">
        <v>1510</v>
      </c>
      <c r="M463" t="str">
        <f>RIGHT(Tabla11[[#This Row],[Comercial]],4)</f>
        <v>1123</v>
      </c>
      <c r="N463" t="str">
        <f>LEFT(Tabla11[[#This Row],[Minuscula]],6)</f>
        <v xml:space="preserve">mario </v>
      </c>
    </row>
    <row r="464" spans="1:14">
      <c r="A464" s="226">
        <v>1463</v>
      </c>
      <c r="B464" s="224">
        <v>44616</v>
      </c>
      <c r="C464" s="207" t="s">
        <v>1496</v>
      </c>
      <c r="D464" s="207" t="s">
        <v>1494</v>
      </c>
      <c r="E464" s="207" t="s">
        <v>534</v>
      </c>
      <c r="F464" s="225">
        <v>7</v>
      </c>
      <c r="G464" s="225">
        <v>1.47</v>
      </c>
      <c r="H464" s="225">
        <v>8.4700000000000006</v>
      </c>
      <c r="I464" s="24" t="str">
        <f>UPPER(Tabla11[[#This Row],[Comercial]])</f>
        <v>PABLO LOPEZ 7384</v>
      </c>
      <c r="J464" s="24" t="str">
        <f>LOWER(Tabla11[[#This Row],[Comercial]])</f>
        <v>pablo lopez 7384</v>
      </c>
      <c r="K464" s="227" t="str">
        <f>PROPER(Tabla11[[#This Row],[Comercial]])</f>
        <v>Pablo Lopez 7384</v>
      </c>
      <c r="L464" t="s">
        <v>1508</v>
      </c>
      <c r="M464" t="str">
        <f>RIGHT(Tabla11[[#This Row],[Comercial]],4)</f>
        <v>7384</v>
      </c>
      <c r="N464" t="str">
        <f>LEFT(Tabla11[[#This Row],[Minuscula]],6)</f>
        <v xml:space="preserve">pablo </v>
      </c>
    </row>
    <row r="465" spans="1:14">
      <c r="A465" s="226">
        <v>1464</v>
      </c>
      <c r="B465" s="224">
        <v>44617</v>
      </c>
      <c r="C465" s="207" t="s">
        <v>1495</v>
      </c>
      <c r="D465" s="207" t="s">
        <v>1497</v>
      </c>
      <c r="E465" s="207" t="s">
        <v>525</v>
      </c>
      <c r="F465" s="225">
        <v>17</v>
      </c>
      <c r="G465" s="225">
        <v>3.57</v>
      </c>
      <c r="H465" s="225">
        <v>20.57</v>
      </c>
      <c r="I465" s="24" t="str">
        <f>UPPER(Tabla11[[#This Row],[Comercial]])</f>
        <v>LUIS VALLE 5431</v>
      </c>
      <c r="J465" s="24" t="str">
        <f>LOWER(Tabla11[[#This Row],[Comercial]])</f>
        <v>luis valle 5431</v>
      </c>
      <c r="K465" s="227" t="str">
        <f>PROPER(Tabla11[[#This Row],[Comercial]])</f>
        <v>Luis Valle 5431</v>
      </c>
      <c r="L465" t="s">
        <v>1507</v>
      </c>
      <c r="M465" t="str">
        <f>RIGHT(Tabla11[[#This Row],[Comercial]],4)</f>
        <v>5431</v>
      </c>
      <c r="N465" t="str">
        <f>LEFT(Tabla11[[#This Row],[Minuscula]],6)</f>
        <v>luis v</v>
      </c>
    </row>
    <row r="466" spans="1:14">
      <c r="A466" s="226">
        <v>1465</v>
      </c>
      <c r="B466" s="224">
        <v>44619</v>
      </c>
      <c r="C466" s="207" t="s">
        <v>1496</v>
      </c>
      <c r="D466" s="207" t="s">
        <v>1499</v>
      </c>
      <c r="E466" s="207" t="s">
        <v>525</v>
      </c>
      <c r="F466" s="225">
        <v>9</v>
      </c>
      <c r="G466" s="225">
        <v>1.89</v>
      </c>
      <c r="H466" s="225">
        <v>10.89</v>
      </c>
      <c r="I466" s="24" t="str">
        <f>UPPER(Tabla11[[#This Row],[Comercial]])</f>
        <v>PABLO LOPEZ 7384</v>
      </c>
      <c r="J466" s="24" t="str">
        <f>LOWER(Tabla11[[#This Row],[Comercial]])</f>
        <v>pablo lopez 7384</v>
      </c>
      <c r="K466" s="227" t="str">
        <f>PROPER(Tabla11[[#This Row],[Comercial]])</f>
        <v>Pablo Lopez 7384</v>
      </c>
      <c r="L466" t="s">
        <v>1508</v>
      </c>
      <c r="M466" t="str">
        <f>RIGHT(Tabla11[[#This Row],[Comercial]],4)</f>
        <v>7384</v>
      </c>
      <c r="N466" t="str">
        <f>LEFT(Tabla11[[#This Row],[Minuscula]],6)</f>
        <v xml:space="preserve">pablo </v>
      </c>
    </row>
    <row r="467" spans="1:14">
      <c r="A467" s="226">
        <v>1466</v>
      </c>
      <c r="B467" s="224">
        <v>44619</v>
      </c>
      <c r="C467" s="207" t="s">
        <v>1504</v>
      </c>
      <c r="D467" s="207" t="s">
        <v>1497</v>
      </c>
      <c r="E467" s="207" t="s">
        <v>525</v>
      </c>
      <c r="F467" s="225">
        <v>20</v>
      </c>
      <c r="G467" s="225">
        <v>4.2</v>
      </c>
      <c r="H467" s="225">
        <v>24.2</v>
      </c>
      <c r="I467" s="24" t="str">
        <f>UPPER(Tabla11[[#This Row],[Comercial]])</f>
        <v>MARIA GARCIA 1254</v>
      </c>
      <c r="J467" s="24" t="str">
        <f>LOWER(Tabla11[[#This Row],[Comercial]])</f>
        <v>maria garcia 1254</v>
      </c>
      <c r="K467" s="227" t="str">
        <f>PROPER(Tabla11[[#This Row],[Comercial]])</f>
        <v>Maria Garcia 1254</v>
      </c>
      <c r="L467" t="s">
        <v>1506</v>
      </c>
      <c r="M467" t="str">
        <f>RIGHT(Tabla11[[#This Row],[Comercial]],4)</f>
        <v>1254</v>
      </c>
      <c r="N467" t="str">
        <f>LEFT(Tabla11[[#This Row],[Minuscula]],6)</f>
        <v xml:space="preserve">maria </v>
      </c>
    </row>
    <row r="468" spans="1:14">
      <c r="A468" s="226">
        <v>1467</v>
      </c>
      <c r="B468" s="224">
        <v>44621</v>
      </c>
      <c r="C468" s="207" t="s">
        <v>1504</v>
      </c>
      <c r="D468" s="207" t="s">
        <v>1502</v>
      </c>
      <c r="E468" s="207" t="s">
        <v>518</v>
      </c>
      <c r="F468" s="225">
        <v>11</v>
      </c>
      <c r="G468" s="225">
        <v>2.31</v>
      </c>
      <c r="H468" s="225">
        <v>13.31</v>
      </c>
      <c r="I468" s="24" t="str">
        <f>UPPER(Tabla11[[#This Row],[Comercial]])</f>
        <v>MARIA GARCIA 1254</v>
      </c>
      <c r="J468" s="24" t="str">
        <f>LOWER(Tabla11[[#This Row],[Comercial]])</f>
        <v>maria garcia 1254</v>
      </c>
      <c r="K468" s="227" t="str">
        <f>PROPER(Tabla11[[#This Row],[Comercial]])</f>
        <v>Maria Garcia 1254</v>
      </c>
      <c r="L468" t="s">
        <v>1506</v>
      </c>
      <c r="M468" t="str">
        <f>RIGHT(Tabla11[[#This Row],[Comercial]],4)</f>
        <v>1254</v>
      </c>
      <c r="N468" t="str">
        <f>LEFT(Tabla11[[#This Row],[Minuscula]],6)</f>
        <v xml:space="preserve">maria </v>
      </c>
    </row>
    <row r="469" spans="1:14">
      <c r="A469" s="226">
        <v>1468</v>
      </c>
      <c r="B469" s="224">
        <v>44621</v>
      </c>
      <c r="C469" s="207" t="s">
        <v>1501</v>
      </c>
      <c r="D469" s="207" t="s">
        <v>1502</v>
      </c>
      <c r="E469" s="207" t="s">
        <v>534</v>
      </c>
      <c r="F469" s="225">
        <v>9</v>
      </c>
      <c r="G469" s="225">
        <v>1.89</v>
      </c>
      <c r="H469" s="225">
        <v>10.89</v>
      </c>
      <c r="I469" s="24" t="str">
        <f>UPPER(Tabla11[[#This Row],[Comercial]])</f>
        <v>MARIO PEREZ 1123</v>
      </c>
      <c r="J469" s="24" t="str">
        <f>LOWER(Tabla11[[#This Row],[Comercial]])</f>
        <v>mario perez 1123</v>
      </c>
      <c r="K469" s="227" t="str">
        <f>PROPER(Tabla11[[#This Row],[Comercial]])</f>
        <v>Mario Perez 1123</v>
      </c>
      <c r="L469" t="s">
        <v>1510</v>
      </c>
      <c r="M469" t="str">
        <f>RIGHT(Tabla11[[#This Row],[Comercial]],4)</f>
        <v>1123</v>
      </c>
      <c r="N469" t="str">
        <f>LEFT(Tabla11[[#This Row],[Minuscula]],6)</f>
        <v xml:space="preserve">mario </v>
      </c>
    </row>
    <row r="470" spans="1:14">
      <c r="A470" s="226">
        <v>1469</v>
      </c>
      <c r="B470" s="224">
        <v>44622</v>
      </c>
      <c r="C470" s="207" t="s">
        <v>1496</v>
      </c>
      <c r="D470" s="207" t="s">
        <v>1502</v>
      </c>
      <c r="E470" s="207" t="s">
        <v>520</v>
      </c>
      <c r="F470" s="225">
        <v>361</v>
      </c>
      <c r="G470" s="225">
        <v>75.81</v>
      </c>
      <c r="H470" s="225">
        <v>436.81</v>
      </c>
      <c r="I470" s="24" t="str">
        <f>UPPER(Tabla11[[#This Row],[Comercial]])</f>
        <v>PABLO LOPEZ 7384</v>
      </c>
      <c r="J470" s="24" t="str">
        <f>LOWER(Tabla11[[#This Row],[Comercial]])</f>
        <v>pablo lopez 7384</v>
      </c>
      <c r="K470" s="227" t="str">
        <f>PROPER(Tabla11[[#This Row],[Comercial]])</f>
        <v>Pablo Lopez 7384</v>
      </c>
      <c r="L470" t="s">
        <v>1508</v>
      </c>
      <c r="M470" t="str">
        <f>RIGHT(Tabla11[[#This Row],[Comercial]],4)</f>
        <v>7384</v>
      </c>
      <c r="N470" t="str">
        <f>LEFT(Tabla11[[#This Row],[Minuscula]],6)</f>
        <v xml:space="preserve">pablo </v>
      </c>
    </row>
    <row r="471" spans="1:14">
      <c r="A471" s="226">
        <v>1470</v>
      </c>
      <c r="B471" s="224">
        <v>44623</v>
      </c>
      <c r="C471" s="207" t="s">
        <v>1500</v>
      </c>
      <c r="D471" s="207" t="s">
        <v>1499</v>
      </c>
      <c r="E471" s="207" t="s">
        <v>534</v>
      </c>
      <c r="F471" s="225">
        <v>7</v>
      </c>
      <c r="G471" s="225">
        <v>1.47</v>
      </c>
      <c r="H471" s="225">
        <v>8.4700000000000006</v>
      </c>
      <c r="I471" s="24" t="str">
        <f>UPPER(Tabla11[[#This Row],[Comercial]])</f>
        <v>ANA FERNANDEZZ 4321</v>
      </c>
      <c r="J471" s="24" t="str">
        <f>LOWER(Tabla11[[#This Row],[Comercial]])</f>
        <v>ana fernandezz 4321</v>
      </c>
      <c r="K471" s="227" t="str">
        <f>PROPER(Tabla11[[#This Row],[Comercial]])</f>
        <v>Ana Fernandezz 4321</v>
      </c>
      <c r="L471" t="s">
        <v>1509</v>
      </c>
      <c r="M471" t="str">
        <f>RIGHT(Tabla11[[#This Row],[Comercial]],4)</f>
        <v>4321</v>
      </c>
      <c r="N471" t="str">
        <f>LEFT(Tabla11[[#This Row],[Minuscula]],6)</f>
        <v>ana fe</v>
      </c>
    </row>
    <row r="472" spans="1:14">
      <c r="A472" s="226">
        <v>1471</v>
      </c>
      <c r="B472" s="224">
        <v>44625</v>
      </c>
      <c r="C472" s="207" t="s">
        <v>1501</v>
      </c>
      <c r="D472" s="207" t="s">
        <v>1497</v>
      </c>
      <c r="E472" s="207" t="s">
        <v>534</v>
      </c>
      <c r="F472" s="225">
        <v>6</v>
      </c>
      <c r="G472" s="225">
        <v>1.26</v>
      </c>
      <c r="H472" s="225">
        <v>7.26</v>
      </c>
      <c r="I472" s="24" t="str">
        <f>UPPER(Tabla11[[#This Row],[Comercial]])</f>
        <v>MARIO PEREZ 1123</v>
      </c>
      <c r="J472" s="24" t="str">
        <f>LOWER(Tabla11[[#This Row],[Comercial]])</f>
        <v>mario perez 1123</v>
      </c>
      <c r="K472" s="227" t="str">
        <f>PROPER(Tabla11[[#This Row],[Comercial]])</f>
        <v>Mario Perez 1123</v>
      </c>
      <c r="L472" t="s">
        <v>1510</v>
      </c>
      <c r="M472" t="str">
        <f>RIGHT(Tabla11[[#This Row],[Comercial]],4)</f>
        <v>1123</v>
      </c>
      <c r="N472" t="str">
        <f>LEFT(Tabla11[[#This Row],[Minuscula]],6)</f>
        <v xml:space="preserve">mario </v>
      </c>
    </row>
    <row r="473" spans="1:14">
      <c r="A473" s="226">
        <v>1472</v>
      </c>
      <c r="B473" s="224">
        <v>44625</v>
      </c>
      <c r="C473" s="207" t="s">
        <v>1500</v>
      </c>
      <c r="D473" s="207" t="s">
        <v>1494</v>
      </c>
      <c r="E473" s="207" t="s">
        <v>518</v>
      </c>
      <c r="F473" s="225">
        <v>146</v>
      </c>
      <c r="G473" s="225">
        <v>30.66</v>
      </c>
      <c r="H473" s="225">
        <v>176.66</v>
      </c>
      <c r="I473" s="24" t="str">
        <f>UPPER(Tabla11[[#This Row],[Comercial]])</f>
        <v>ANA FERNANDEZZ 4321</v>
      </c>
      <c r="J473" s="24" t="str">
        <f>LOWER(Tabla11[[#This Row],[Comercial]])</f>
        <v>ana fernandezz 4321</v>
      </c>
      <c r="K473" s="227" t="str">
        <f>PROPER(Tabla11[[#This Row],[Comercial]])</f>
        <v>Ana Fernandezz 4321</v>
      </c>
      <c r="L473" t="s">
        <v>1509</v>
      </c>
      <c r="M473" t="str">
        <f>RIGHT(Tabla11[[#This Row],[Comercial]],4)</f>
        <v>4321</v>
      </c>
      <c r="N473" t="str">
        <f>LEFT(Tabla11[[#This Row],[Minuscula]],6)</f>
        <v>ana fe</v>
      </c>
    </row>
    <row r="474" spans="1:14">
      <c r="A474" s="226">
        <v>1473</v>
      </c>
      <c r="B474" s="224">
        <v>44628</v>
      </c>
      <c r="C474" s="207" t="s">
        <v>1500</v>
      </c>
      <c r="D474" s="207" t="s">
        <v>1494</v>
      </c>
      <c r="E474" s="207" t="s">
        <v>518</v>
      </c>
      <c r="F474" s="225">
        <v>116</v>
      </c>
      <c r="G474" s="225">
        <v>24.36</v>
      </c>
      <c r="H474" s="225">
        <v>140.36000000000001</v>
      </c>
      <c r="I474" s="24" t="str">
        <f>UPPER(Tabla11[[#This Row],[Comercial]])</f>
        <v>ANA FERNANDEZZ 4321</v>
      </c>
      <c r="J474" s="24" t="str">
        <f>LOWER(Tabla11[[#This Row],[Comercial]])</f>
        <v>ana fernandezz 4321</v>
      </c>
      <c r="K474" s="227" t="str">
        <f>PROPER(Tabla11[[#This Row],[Comercial]])</f>
        <v>Ana Fernandezz 4321</v>
      </c>
      <c r="L474" t="s">
        <v>1509</v>
      </c>
      <c r="M474" t="str">
        <f>RIGHT(Tabla11[[#This Row],[Comercial]],4)</f>
        <v>4321</v>
      </c>
      <c r="N474" t="str">
        <f>LEFT(Tabla11[[#This Row],[Minuscula]],6)</f>
        <v>ana fe</v>
      </c>
    </row>
    <row r="475" spans="1:14">
      <c r="A475" s="226">
        <v>1474</v>
      </c>
      <c r="B475" s="224">
        <v>44628</v>
      </c>
      <c r="C475" s="207" t="s">
        <v>1504</v>
      </c>
      <c r="D475" s="207" t="s">
        <v>1502</v>
      </c>
      <c r="E475" s="207" t="s">
        <v>520</v>
      </c>
      <c r="F475" s="225">
        <v>457</v>
      </c>
      <c r="G475" s="225">
        <v>95.97</v>
      </c>
      <c r="H475" s="225">
        <v>552.97</v>
      </c>
      <c r="I475" s="24" t="str">
        <f>UPPER(Tabla11[[#This Row],[Comercial]])</f>
        <v>MARIA GARCIA 1254</v>
      </c>
      <c r="J475" s="24" t="str">
        <f>LOWER(Tabla11[[#This Row],[Comercial]])</f>
        <v>maria garcia 1254</v>
      </c>
      <c r="K475" s="227" t="str">
        <f>PROPER(Tabla11[[#This Row],[Comercial]])</f>
        <v>Maria Garcia 1254</v>
      </c>
      <c r="L475" t="s">
        <v>1506</v>
      </c>
      <c r="M475" t="str">
        <f>RIGHT(Tabla11[[#This Row],[Comercial]],4)</f>
        <v>1254</v>
      </c>
      <c r="N475" t="str">
        <f>LEFT(Tabla11[[#This Row],[Minuscula]],6)</f>
        <v xml:space="preserve">maria </v>
      </c>
    </row>
    <row r="476" spans="1:14">
      <c r="A476" s="226">
        <v>1475</v>
      </c>
      <c r="B476" s="224">
        <v>44628</v>
      </c>
      <c r="C476" s="207" t="s">
        <v>1501</v>
      </c>
      <c r="D476" s="207" t="s">
        <v>1499</v>
      </c>
      <c r="E476" s="207" t="s">
        <v>525</v>
      </c>
      <c r="F476" s="225">
        <v>8</v>
      </c>
      <c r="G476" s="225">
        <v>1.68</v>
      </c>
      <c r="H476" s="225">
        <v>9.68</v>
      </c>
      <c r="I476" s="24" t="str">
        <f>UPPER(Tabla11[[#This Row],[Comercial]])</f>
        <v>MARIO PEREZ 1123</v>
      </c>
      <c r="J476" s="24" t="str">
        <f>LOWER(Tabla11[[#This Row],[Comercial]])</f>
        <v>mario perez 1123</v>
      </c>
      <c r="K476" s="227" t="str">
        <f>PROPER(Tabla11[[#This Row],[Comercial]])</f>
        <v>Mario Perez 1123</v>
      </c>
      <c r="L476" t="s">
        <v>1510</v>
      </c>
      <c r="M476" t="str">
        <f>RIGHT(Tabla11[[#This Row],[Comercial]],4)</f>
        <v>1123</v>
      </c>
      <c r="N476" t="str">
        <f>LEFT(Tabla11[[#This Row],[Minuscula]],6)</f>
        <v xml:space="preserve">mario </v>
      </c>
    </row>
    <row r="477" spans="1:14">
      <c r="A477" s="226">
        <v>1476</v>
      </c>
      <c r="B477" s="224">
        <v>44629</v>
      </c>
      <c r="C477" s="207" t="s">
        <v>1495</v>
      </c>
      <c r="D477" s="207" t="s">
        <v>1497</v>
      </c>
      <c r="E477" s="207" t="s">
        <v>534</v>
      </c>
      <c r="F477" s="225">
        <v>5</v>
      </c>
      <c r="G477" s="225">
        <v>1.05</v>
      </c>
      <c r="H477" s="225">
        <v>6.05</v>
      </c>
      <c r="I477" s="24" t="str">
        <f>UPPER(Tabla11[[#This Row],[Comercial]])</f>
        <v>LUIS VALLE 5431</v>
      </c>
      <c r="J477" s="24" t="str">
        <f>LOWER(Tabla11[[#This Row],[Comercial]])</f>
        <v>luis valle 5431</v>
      </c>
      <c r="K477" s="227" t="str">
        <f>PROPER(Tabla11[[#This Row],[Comercial]])</f>
        <v>Luis Valle 5431</v>
      </c>
      <c r="L477" t="s">
        <v>1507</v>
      </c>
      <c r="M477" t="str">
        <f>RIGHT(Tabla11[[#This Row],[Comercial]],4)</f>
        <v>5431</v>
      </c>
      <c r="N477" t="str">
        <f>LEFT(Tabla11[[#This Row],[Minuscula]],6)</f>
        <v>luis v</v>
      </c>
    </row>
    <row r="478" spans="1:14">
      <c r="A478" s="226">
        <v>1477</v>
      </c>
      <c r="B478" s="224">
        <v>44630</v>
      </c>
      <c r="C478" s="207" t="s">
        <v>1495</v>
      </c>
      <c r="D478" s="207" t="s">
        <v>1494</v>
      </c>
      <c r="E478" s="207" t="s">
        <v>534</v>
      </c>
      <c r="F478" s="225">
        <v>7</v>
      </c>
      <c r="G478" s="225">
        <v>1.47</v>
      </c>
      <c r="H478" s="225">
        <v>8.4700000000000006</v>
      </c>
      <c r="I478" s="24" t="str">
        <f>UPPER(Tabla11[[#This Row],[Comercial]])</f>
        <v>LUIS VALLE 5431</v>
      </c>
      <c r="J478" s="24" t="str">
        <f>LOWER(Tabla11[[#This Row],[Comercial]])</f>
        <v>luis valle 5431</v>
      </c>
      <c r="K478" s="227" t="str">
        <f>PROPER(Tabla11[[#This Row],[Comercial]])</f>
        <v>Luis Valle 5431</v>
      </c>
      <c r="L478" t="s">
        <v>1507</v>
      </c>
      <c r="M478" t="str">
        <f>RIGHT(Tabla11[[#This Row],[Comercial]],4)</f>
        <v>5431</v>
      </c>
      <c r="N478" t="str">
        <f>LEFT(Tabla11[[#This Row],[Minuscula]],6)</f>
        <v>luis v</v>
      </c>
    </row>
    <row r="479" spans="1:14">
      <c r="A479" s="226">
        <v>1478</v>
      </c>
      <c r="B479" s="224">
        <v>44631</v>
      </c>
      <c r="C479" s="207" t="s">
        <v>1501</v>
      </c>
      <c r="D479" s="207" t="s">
        <v>1502</v>
      </c>
      <c r="E479" s="207" t="s">
        <v>530</v>
      </c>
      <c r="F479" s="225">
        <v>20</v>
      </c>
      <c r="G479" s="225">
        <v>4.2</v>
      </c>
      <c r="H479" s="225">
        <v>24.2</v>
      </c>
      <c r="I479" s="24" t="str">
        <f>UPPER(Tabla11[[#This Row],[Comercial]])</f>
        <v>MARIO PEREZ 1123</v>
      </c>
      <c r="J479" s="24" t="str">
        <f>LOWER(Tabla11[[#This Row],[Comercial]])</f>
        <v>mario perez 1123</v>
      </c>
      <c r="K479" s="227" t="str">
        <f>PROPER(Tabla11[[#This Row],[Comercial]])</f>
        <v>Mario Perez 1123</v>
      </c>
      <c r="L479" t="s">
        <v>1510</v>
      </c>
      <c r="M479" t="str">
        <f>RIGHT(Tabla11[[#This Row],[Comercial]],4)</f>
        <v>1123</v>
      </c>
      <c r="N479" t="str">
        <f>LEFT(Tabla11[[#This Row],[Minuscula]],6)</f>
        <v xml:space="preserve">mario </v>
      </c>
    </row>
    <row r="480" spans="1:14">
      <c r="A480" s="226">
        <v>1479</v>
      </c>
      <c r="B480" s="224">
        <v>44632</v>
      </c>
      <c r="C480" s="207" t="s">
        <v>1504</v>
      </c>
      <c r="D480" s="207" t="s">
        <v>1499</v>
      </c>
      <c r="E480" s="207" t="s">
        <v>534</v>
      </c>
      <c r="F480" s="225">
        <v>9</v>
      </c>
      <c r="G480" s="225">
        <v>1.89</v>
      </c>
      <c r="H480" s="225">
        <v>10.89</v>
      </c>
      <c r="I480" s="24" t="str">
        <f>UPPER(Tabla11[[#This Row],[Comercial]])</f>
        <v>MARIA GARCIA 1254</v>
      </c>
      <c r="J480" s="24" t="str">
        <f>LOWER(Tabla11[[#This Row],[Comercial]])</f>
        <v>maria garcia 1254</v>
      </c>
      <c r="K480" s="227" t="str">
        <f>PROPER(Tabla11[[#This Row],[Comercial]])</f>
        <v>Maria Garcia 1254</v>
      </c>
      <c r="L480" t="s">
        <v>1506</v>
      </c>
      <c r="M480" t="str">
        <f>RIGHT(Tabla11[[#This Row],[Comercial]],4)</f>
        <v>1254</v>
      </c>
      <c r="N480" t="str">
        <f>LEFT(Tabla11[[#This Row],[Minuscula]],6)</f>
        <v xml:space="preserve">maria </v>
      </c>
    </row>
    <row r="481" spans="1:14">
      <c r="A481" s="226">
        <v>1480</v>
      </c>
      <c r="B481" s="224">
        <v>44633</v>
      </c>
      <c r="C481" s="207" t="s">
        <v>1501</v>
      </c>
      <c r="D481" s="207" t="s">
        <v>1499</v>
      </c>
      <c r="E481" s="207" t="s">
        <v>525</v>
      </c>
      <c r="F481" s="225">
        <v>7</v>
      </c>
      <c r="G481" s="225">
        <v>1.47</v>
      </c>
      <c r="H481" s="225">
        <v>8.4700000000000006</v>
      </c>
      <c r="I481" s="24" t="str">
        <f>UPPER(Tabla11[[#This Row],[Comercial]])</f>
        <v>MARIO PEREZ 1123</v>
      </c>
      <c r="J481" s="24" t="str">
        <f>LOWER(Tabla11[[#This Row],[Comercial]])</f>
        <v>mario perez 1123</v>
      </c>
      <c r="K481" s="227" t="str">
        <f>PROPER(Tabla11[[#This Row],[Comercial]])</f>
        <v>Mario Perez 1123</v>
      </c>
      <c r="L481" t="s">
        <v>1510</v>
      </c>
      <c r="M481" t="str">
        <f>RIGHT(Tabla11[[#This Row],[Comercial]],4)</f>
        <v>1123</v>
      </c>
      <c r="N481" t="str">
        <f>LEFT(Tabla11[[#This Row],[Minuscula]],6)</f>
        <v xml:space="preserve">mario </v>
      </c>
    </row>
    <row r="482" spans="1:14">
      <c r="A482" s="226">
        <v>1481</v>
      </c>
      <c r="B482" s="224">
        <v>44636</v>
      </c>
      <c r="C482" s="207" t="s">
        <v>1504</v>
      </c>
      <c r="D482" s="207" t="s">
        <v>1494</v>
      </c>
      <c r="E482" s="207" t="s">
        <v>518</v>
      </c>
      <c r="F482" s="225">
        <v>170</v>
      </c>
      <c r="G482" s="225">
        <v>35.700000000000003</v>
      </c>
      <c r="H482" s="225">
        <v>205.7</v>
      </c>
      <c r="I482" s="24" t="str">
        <f>UPPER(Tabla11[[#This Row],[Comercial]])</f>
        <v>MARIA GARCIA 1254</v>
      </c>
      <c r="J482" s="24" t="str">
        <f>LOWER(Tabla11[[#This Row],[Comercial]])</f>
        <v>maria garcia 1254</v>
      </c>
      <c r="K482" s="227" t="str">
        <f>PROPER(Tabla11[[#This Row],[Comercial]])</f>
        <v>Maria Garcia 1254</v>
      </c>
      <c r="L482" t="s">
        <v>1506</v>
      </c>
      <c r="M482" t="str">
        <f>RIGHT(Tabla11[[#This Row],[Comercial]],4)</f>
        <v>1254</v>
      </c>
      <c r="N482" t="str">
        <f>LEFT(Tabla11[[#This Row],[Minuscula]],6)</f>
        <v xml:space="preserve">maria </v>
      </c>
    </row>
    <row r="483" spans="1:14">
      <c r="A483" s="226">
        <v>1482</v>
      </c>
      <c r="B483" s="224">
        <v>44638</v>
      </c>
      <c r="C483" s="207" t="s">
        <v>1500</v>
      </c>
      <c r="D483" s="207" t="s">
        <v>1499</v>
      </c>
      <c r="E483" s="207" t="s">
        <v>520</v>
      </c>
      <c r="F483" s="225">
        <v>456</v>
      </c>
      <c r="G483" s="225">
        <v>95.76</v>
      </c>
      <c r="H483" s="225">
        <v>551.76</v>
      </c>
      <c r="I483" s="24" t="str">
        <f>UPPER(Tabla11[[#This Row],[Comercial]])</f>
        <v>ANA FERNANDEZZ 4321</v>
      </c>
      <c r="J483" s="24" t="str">
        <f>LOWER(Tabla11[[#This Row],[Comercial]])</f>
        <v>ana fernandezz 4321</v>
      </c>
      <c r="K483" s="227" t="str">
        <f>PROPER(Tabla11[[#This Row],[Comercial]])</f>
        <v>Ana Fernandezz 4321</v>
      </c>
      <c r="L483" t="s">
        <v>1509</v>
      </c>
      <c r="M483" t="str">
        <f>RIGHT(Tabla11[[#This Row],[Comercial]],4)</f>
        <v>4321</v>
      </c>
      <c r="N483" t="str">
        <f>LEFT(Tabla11[[#This Row],[Minuscula]],6)</f>
        <v>ana fe</v>
      </c>
    </row>
    <row r="484" spans="1:14">
      <c r="A484" s="226">
        <v>1483</v>
      </c>
      <c r="B484" s="224">
        <v>44638</v>
      </c>
      <c r="C484" s="207" t="s">
        <v>1501</v>
      </c>
      <c r="D484" s="207" t="s">
        <v>1503</v>
      </c>
      <c r="E484" s="207" t="s">
        <v>520</v>
      </c>
      <c r="F484" s="225">
        <v>715</v>
      </c>
      <c r="G484" s="225">
        <v>150.15</v>
      </c>
      <c r="H484" s="225">
        <v>865.15</v>
      </c>
      <c r="I484" s="24" t="str">
        <f>UPPER(Tabla11[[#This Row],[Comercial]])</f>
        <v>MARIO PEREZ 1123</v>
      </c>
      <c r="J484" s="24" t="str">
        <f>LOWER(Tabla11[[#This Row],[Comercial]])</f>
        <v>mario perez 1123</v>
      </c>
      <c r="K484" s="227" t="str">
        <f>PROPER(Tabla11[[#This Row],[Comercial]])</f>
        <v>Mario Perez 1123</v>
      </c>
      <c r="L484" t="s">
        <v>1510</v>
      </c>
      <c r="M484" t="str">
        <f>RIGHT(Tabla11[[#This Row],[Comercial]],4)</f>
        <v>1123</v>
      </c>
      <c r="N484" t="str">
        <f>LEFT(Tabla11[[#This Row],[Minuscula]],6)</f>
        <v xml:space="preserve">mario </v>
      </c>
    </row>
    <row r="485" spans="1:14">
      <c r="A485" s="226">
        <v>1484</v>
      </c>
      <c r="B485" s="224">
        <v>44639</v>
      </c>
      <c r="C485" s="207" t="s">
        <v>1495</v>
      </c>
      <c r="D485" s="207" t="s">
        <v>1503</v>
      </c>
      <c r="E485" s="207" t="s">
        <v>525</v>
      </c>
      <c r="F485" s="225">
        <v>32</v>
      </c>
      <c r="G485" s="225">
        <v>6.72</v>
      </c>
      <c r="H485" s="225">
        <v>38.72</v>
      </c>
      <c r="I485" s="24" t="str">
        <f>UPPER(Tabla11[[#This Row],[Comercial]])</f>
        <v>LUIS VALLE 5431</v>
      </c>
      <c r="J485" s="24" t="str">
        <f>LOWER(Tabla11[[#This Row],[Comercial]])</f>
        <v>luis valle 5431</v>
      </c>
      <c r="K485" s="227" t="str">
        <f>PROPER(Tabla11[[#This Row],[Comercial]])</f>
        <v>Luis Valle 5431</v>
      </c>
      <c r="L485" t="s">
        <v>1507</v>
      </c>
      <c r="M485" t="str">
        <f>RIGHT(Tabla11[[#This Row],[Comercial]],4)</f>
        <v>5431</v>
      </c>
      <c r="N485" t="str">
        <f>LEFT(Tabla11[[#This Row],[Minuscula]],6)</f>
        <v>luis v</v>
      </c>
    </row>
    <row r="486" spans="1:14">
      <c r="A486" s="226">
        <v>1485</v>
      </c>
      <c r="B486" s="224">
        <v>44640</v>
      </c>
      <c r="C486" s="207" t="s">
        <v>1496</v>
      </c>
      <c r="D486" s="207" t="s">
        <v>1494</v>
      </c>
      <c r="E486" s="207" t="s">
        <v>520</v>
      </c>
      <c r="F486" s="225">
        <v>472</v>
      </c>
      <c r="G486" s="225">
        <v>99.12</v>
      </c>
      <c r="H486" s="225">
        <v>571.12</v>
      </c>
      <c r="I486" s="24" t="str">
        <f>UPPER(Tabla11[[#This Row],[Comercial]])</f>
        <v>PABLO LOPEZ 7384</v>
      </c>
      <c r="J486" s="24" t="str">
        <f>LOWER(Tabla11[[#This Row],[Comercial]])</f>
        <v>pablo lopez 7384</v>
      </c>
      <c r="K486" s="227" t="str">
        <f>PROPER(Tabla11[[#This Row],[Comercial]])</f>
        <v>Pablo Lopez 7384</v>
      </c>
      <c r="L486" t="s">
        <v>1508</v>
      </c>
      <c r="M486" t="str">
        <f>RIGHT(Tabla11[[#This Row],[Comercial]],4)</f>
        <v>7384</v>
      </c>
      <c r="N486" t="str">
        <f>LEFT(Tabla11[[#This Row],[Minuscula]],6)</f>
        <v xml:space="preserve">pablo </v>
      </c>
    </row>
    <row r="487" spans="1:14">
      <c r="A487" s="226">
        <v>1486</v>
      </c>
      <c r="B487" s="224">
        <v>44641</v>
      </c>
      <c r="C487" s="207" t="s">
        <v>1495</v>
      </c>
      <c r="D487" s="207" t="s">
        <v>1497</v>
      </c>
      <c r="E487" s="207" t="s">
        <v>518</v>
      </c>
      <c r="F487" s="225">
        <v>31</v>
      </c>
      <c r="G487" s="225">
        <v>6.51</v>
      </c>
      <c r="H487" s="225">
        <v>37.51</v>
      </c>
      <c r="I487" s="24" t="str">
        <f>UPPER(Tabla11[[#This Row],[Comercial]])</f>
        <v>LUIS VALLE 5431</v>
      </c>
      <c r="J487" s="24" t="str">
        <f>LOWER(Tabla11[[#This Row],[Comercial]])</f>
        <v>luis valle 5431</v>
      </c>
      <c r="K487" s="227" t="str">
        <f>PROPER(Tabla11[[#This Row],[Comercial]])</f>
        <v>Luis Valle 5431</v>
      </c>
      <c r="L487" t="s">
        <v>1507</v>
      </c>
      <c r="M487" t="str">
        <f>RIGHT(Tabla11[[#This Row],[Comercial]],4)</f>
        <v>5431</v>
      </c>
      <c r="N487" t="str">
        <f>LEFT(Tabla11[[#This Row],[Minuscula]],6)</f>
        <v>luis v</v>
      </c>
    </row>
    <row r="488" spans="1:14">
      <c r="A488" s="226">
        <v>1487</v>
      </c>
      <c r="B488" s="224">
        <v>44642</v>
      </c>
      <c r="C488" s="207" t="s">
        <v>1495</v>
      </c>
      <c r="D488" s="207" t="s">
        <v>1499</v>
      </c>
      <c r="E488" s="207" t="s">
        <v>534</v>
      </c>
      <c r="F488" s="225">
        <v>9</v>
      </c>
      <c r="G488" s="225">
        <v>1.89</v>
      </c>
      <c r="H488" s="225">
        <v>10.89</v>
      </c>
      <c r="I488" s="24" t="str">
        <f>UPPER(Tabla11[[#This Row],[Comercial]])</f>
        <v>LUIS VALLE 5431</v>
      </c>
      <c r="J488" s="24" t="str">
        <f>LOWER(Tabla11[[#This Row],[Comercial]])</f>
        <v>luis valle 5431</v>
      </c>
      <c r="K488" s="227" t="str">
        <f>PROPER(Tabla11[[#This Row],[Comercial]])</f>
        <v>Luis Valle 5431</v>
      </c>
      <c r="L488" t="s">
        <v>1507</v>
      </c>
      <c r="M488" t="str">
        <f>RIGHT(Tabla11[[#This Row],[Comercial]],4)</f>
        <v>5431</v>
      </c>
      <c r="N488" t="str">
        <f>LEFT(Tabla11[[#This Row],[Minuscula]],6)</f>
        <v>luis v</v>
      </c>
    </row>
    <row r="489" spans="1:14">
      <c r="A489" s="226">
        <v>1488</v>
      </c>
      <c r="B489" s="224">
        <v>44643</v>
      </c>
      <c r="C489" s="207" t="s">
        <v>1495</v>
      </c>
      <c r="D489" s="207" t="s">
        <v>1503</v>
      </c>
      <c r="E489" s="207" t="s">
        <v>518</v>
      </c>
      <c r="F489" s="225">
        <v>192</v>
      </c>
      <c r="G489" s="225">
        <v>40.32</v>
      </c>
      <c r="H489" s="225">
        <v>232.32</v>
      </c>
      <c r="I489" s="24" t="str">
        <f>UPPER(Tabla11[[#This Row],[Comercial]])</f>
        <v>LUIS VALLE 5431</v>
      </c>
      <c r="J489" s="24" t="str">
        <f>LOWER(Tabla11[[#This Row],[Comercial]])</f>
        <v>luis valle 5431</v>
      </c>
      <c r="K489" s="227" t="str">
        <f>PROPER(Tabla11[[#This Row],[Comercial]])</f>
        <v>Luis Valle 5431</v>
      </c>
      <c r="L489" t="s">
        <v>1507</v>
      </c>
      <c r="M489" t="str">
        <f>RIGHT(Tabla11[[#This Row],[Comercial]],4)</f>
        <v>5431</v>
      </c>
      <c r="N489" t="str">
        <f>LEFT(Tabla11[[#This Row],[Minuscula]],6)</f>
        <v>luis v</v>
      </c>
    </row>
    <row r="490" spans="1:14">
      <c r="A490" s="226">
        <v>1489</v>
      </c>
      <c r="B490" s="224">
        <v>44643</v>
      </c>
      <c r="C490" s="207" t="s">
        <v>1504</v>
      </c>
      <c r="D490" s="207" t="s">
        <v>1499</v>
      </c>
      <c r="E490" s="207" t="s">
        <v>534</v>
      </c>
      <c r="F490" s="225">
        <v>10</v>
      </c>
      <c r="G490" s="225">
        <v>2.1</v>
      </c>
      <c r="H490" s="225">
        <v>12.1</v>
      </c>
      <c r="I490" s="24" t="str">
        <f>UPPER(Tabla11[[#This Row],[Comercial]])</f>
        <v>MARIA GARCIA 1254</v>
      </c>
      <c r="J490" s="24" t="str">
        <f>LOWER(Tabla11[[#This Row],[Comercial]])</f>
        <v>maria garcia 1254</v>
      </c>
      <c r="K490" s="227" t="str">
        <f>PROPER(Tabla11[[#This Row],[Comercial]])</f>
        <v>Maria Garcia 1254</v>
      </c>
      <c r="L490" t="s">
        <v>1506</v>
      </c>
      <c r="M490" t="str">
        <f>RIGHT(Tabla11[[#This Row],[Comercial]],4)</f>
        <v>1254</v>
      </c>
      <c r="N490" t="str">
        <f>LEFT(Tabla11[[#This Row],[Minuscula]],6)</f>
        <v xml:space="preserve">maria </v>
      </c>
    </row>
    <row r="491" spans="1:14">
      <c r="A491" s="226">
        <v>1490</v>
      </c>
      <c r="B491" s="224">
        <v>44644</v>
      </c>
      <c r="C491" s="207" t="s">
        <v>1504</v>
      </c>
      <c r="D491" s="207" t="s">
        <v>1503</v>
      </c>
      <c r="E491" s="207" t="s">
        <v>525</v>
      </c>
      <c r="F491" s="225">
        <v>19</v>
      </c>
      <c r="G491" s="225">
        <v>3.99</v>
      </c>
      <c r="H491" s="225">
        <v>22.99</v>
      </c>
      <c r="I491" s="24" t="str">
        <f>UPPER(Tabla11[[#This Row],[Comercial]])</f>
        <v>MARIA GARCIA 1254</v>
      </c>
      <c r="J491" s="24" t="str">
        <f>LOWER(Tabla11[[#This Row],[Comercial]])</f>
        <v>maria garcia 1254</v>
      </c>
      <c r="K491" s="227" t="str">
        <f>PROPER(Tabla11[[#This Row],[Comercial]])</f>
        <v>Maria Garcia 1254</v>
      </c>
      <c r="L491" t="s">
        <v>1506</v>
      </c>
      <c r="M491" t="str">
        <f>RIGHT(Tabla11[[#This Row],[Comercial]],4)</f>
        <v>1254</v>
      </c>
      <c r="N491" t="str">
        <f>LEFT(Tabla11[[#This Row],[Minuscula]],6)</f>
        <v xml:space="preserve">maria </v>
      </c>
    </row>
    <row r="492" spans="1:14">
      <c r="A492" s="226">
        <v>1491</v>
      </c>
      <c r="B492" s="224">
        <v>44645</v>
      </c>
      <c r="C492" s="207" t="s">
        <v>1495</v>
      </c>
      <c r="D492" s="207" t="s">
        <v>1497</v>
      </c>
      <c r="E492" s="207" t="s">
        <v>525</v>
      </c>
      <c r="F492" s="225">
        <v>23</v>
      </c>
      <c r="G492" s="225">
        <v>4.83</v>
      </c>
      <c r="H492" s="225">
        <v>27.83</v>
      </c>
      <c r="I492" s="24" t="str">
        <f>UPPER(Tabla11[[#This Row],[Comercial]])</f>
        <v>LUIS VALLE 5431</v>
      </c>
      <c r="J492" s="24" t="str">
        <f>LOWER(Tabla11[[#This Row],[Comercial]])</f>
        <v>luis valle 5431</v>
      </c>
      <c r="K492" s="227" t="str">
        <f>PROPER(Tabla11[[#This Row],[Comercial]])</f>
        <v>Luis Valle 5431</v>
      </c>
      <c r="L492" t="s">
        <v>1507</v>
      </c>
      <c r="M492" t="str">
        <f>RIGHT(Tabla11[[#This Row],[Comercial]],4)</f>
        <v>5431</v>
      </c>
      <c r="N492" t="str">
        <f>LEFT(Tabla11[[#This Row],[Minuscula]],6)</f>
        <v>luis v</v>
      </c>
    </row>
    <row r="493" spans="1:14">
      <c r="A493" s="226">
        <v>1492</v>
      </c>
      <c r="B493" s="224">
        <v>44646</v>
      </c>
      <c r="C493" s="207" t="s">
        <v>1501</v>
      </c>
      <c r="D493" s="207" t="s">
        <v>1499</v>
      </c>
      <c r="E493" s="207" t="s">
        <v>525</v>
      </c>
      <c r="F493" s="225">
        <v>10</v>
      </c>
      <c r="G493" s="225">
        <v>2.1</v>
      </c>
      <c r="H493" s="225">
        <v>12.1</v>
      </c>
      <c r="I493" s="24" t="str">
        <f>UPPER(Tabla11[[#This Row],[Comercial]])</f>
        <v>MARIO PEREZ 1123</v>
      </c>
      <c r="J493" s="24" t="str">
        <f>LOWER(Tabla11[[#This Row],[Comercial]])</f>
        <v>mario perez 1123</v>
      </c>
      <c r="K493" s="227" t="str">
        <f>PROPER(Tabla11[[#This Row],[Comercial]])</f>
        <v>Mario Perez 1123</v>
      </c>
      <c r="L493" t="s">
        <v>1510</v>
      </c>
      <c r="M493" t="str">
        <f>RIGHT(Tabla11[[#This Row],[Comercial]],4)</f>
        <v>1123</v>
      </c>
      <c r="N493" t="str">
        <f>LEFT(Tabla11[[#This Row],[Minuscula]],6)</f>
        <v xml:space="preserve">mario </v>
      </c>
    </row>
    <row r="494" spans="1:14">
      <c r="A494" s="226">
        <v>1493</v>
      </c>
      <c r="B494" s="224">
        <v>44647</v>
      </c>
      <c r="C494" s="207" t="s">
        <v>1501</v>
      </c>
      <c r="D494" s="207" t="s">
        <v>1494</v>
      </c>
      <c r="E494" s="207" t="s">
        <v>518</v>
      </c>
      <c r="F494" s="225">
        <v>180</v>
      </c>
      <c r="G494" s="225">
        <v>37.799999999999997</v>
      </c>
      <c r="H494" s="225">
        <v>217.8</v>
      </c>
      <c r="I494" s="24" t="str">
        <f>UPPER(Tabla11[[#This Row],[Comercial]])</f>
        <v>MARIO PEREZ 1123</v>
      </c>
      <c r="J494" s="24" t="str">
        <f>LOWER(Tabla11[[#This Row],[Comercial]])</f>
        <v>mario perez 1123</v>
      </c>
      <c r="K494" s="227" t="str">
        <f>PROPER(Tabla11[[#This Row],[Comercial]])</f>
        <v>Mario Perez 1123</v>
      </c>
      <c r="L494" t="s">
        <v>1510</v>
      </c>
      <c r="M494" t="str">
        <f>RIGHT(Tabla11[[#This Row],[Comercial]],4)</f>
        <v>1123</v>
      </c>
      <c r="N494" t="str">
        <f>LEFT(Tabla11[[#This Row],[Minuscula]],6)</f>
        <v xml:space="preserve">mario </v>
      </c>
    </row>
    <row r="495" spans="1:14">
      <c r="A495" s="226">
        <v>1494</v>
      </c>
      <c r="B495" s="224">
        <v>44647</v>
      </c>
      <c r="C495" s="207" t="s">
        <v>1495</v>
      </c>
      <c r="D495" s="207" t="s">
        <v>1503</v>
      </c>
      <c r="E495" s="207" t="s">
        <v>518</v>
      </c>
      <c r="F495" s="225">
        <v>250</v>
      </c>
      <c r="G495" s="225">
        <v>52.5</v>
      </c>
      <c r="H495" s="225">
        <v>302.5</v>
      </c>
      <c r="I495" s="24" t="str">
        <f>UPPER(Tabla11[[#This Row],[Comercial]])</f>
        <v>LUIS VALLE 5431</v>
      </c>
      <c r="J495" s="24" t="str">
        <f>LOWER(Tabla11[[#This Row],[Comercial]])</f>
        <v>luis valle 5431</v>
      </c>
      <c r="K495" s="227" t="str">
        <f>PROPER(Tabla11[[#This Row],[Comercial]])</f>
        <v>Luis Valle 5431</v>
      </c>
      <c r="L495" t="s">
        <v>1507</v>
      </c>
      <c r="M495" t="str">
        <f>RIGHT(Tabla11[[#This Row],[Comercial]],4)</f>
        <v>5431</v>
      </c>
      <c r="N495" t="str">
        <f>LEFT(Tabla11[[#This Row],[Minuscula]],6)</f>
        <v>luis v</v>
      </c>
    </row>
    <row r="496" spans="1:14">
      <c r="A496" s="226">
        <v>1495</v>
      </c>
      <c r="B496" s="224">
        <v>44647</v>
      </c>
      <c r="C496" s="207" t="s">
        <v>1504</v>
      </c>
      <c r="D496" s="207" t="s">
        <v>1494</v>
      </c>
      <c r="E496" s="207" t="s">
        <v>520</v>
      </c>
      <c r="F496" s="225">
        <v>565</v>
      </c>
      <c r="G496" s="225">
        <v>118.65</v>
      </c>
      <c r="H496" s="225">
        <v>683.65</v>
      </c>
      <c r="I496" s="24" t="str">
        <f>UPPER(Tabla11[[#This Row],[Comercial]])</f>
        <v>MARIA GARCIA 1254</v>
      </c>
      <c r="J496" s="24" t="str">
        <f>LOWER(Tabla11[[#This Row],[Comercial]])</f>
        <v>maria garcia 1254</v>
      </c>
      <c r="K496" s="227" t="str">
        <f>PROPER(Tabla11[[#This Row],[Comercial]])</f>
        <v>Maria Garcia 1254</v>
      </c>
      <c r="L496" t="s">
        <v>1506</v>
      </c>
      <c r="M496" t="str">
        <f>RIGHT(Tabla11[[#This Row],[Comercial]],4)</f>
        <v>1254</v>
      </c>
      <c r="N496" t="str">
        <f>LEFT(Tabla11[[#This Row],[Minuscula]],6)</f>
        <v xml:space="preserve">maria </v>
      </c>
    </row>
    <row r="497" spans="1:14">
      <c r="A497" s="226">
        <v>1496</v>
      </c>
      <c r="B497" s="224">
        <v>44648</v>
      </c>
      <c r="C497" s="207" t="s">
        <v>1500</v>
      </c>
      <c r="D497" s="207" t="s">
        <v>1494</v>
      </c>
      <c r="E497" s="207" t="s">
        <v>525</v>
      </c>
      <c r="F497" s="225">
        <v>36</v>
      </c>
      <c r="G497" s="225">
        <v>7.56</v>
      </c>
      <c r="H497" s="225">
        <v>43.56</v>
      </c>
      <c r="I497" s="24" t="str">
        <f>UPPER(Tabla11[[#This Row],[Comercial]])</f>
        <v>ANA FERNANDEZZ 4321</v>
      </c>
      <c r="J497" s="24" t="str">
        <f>LOWER(Tabla11[[#This Row],[Comercial]])</f>
        <v>ana fernandezz 4321</v>
      </c>
      <c r="K497" s="227" t="str">
        <f>PROPER(Tabla11[[#This Row],[Comercial]])</f>
        <v>Ana Fernandezz 4321</v>
      </c>
      <c r="L497" t="s">
        <v>1509</v>
      </c>
      <c r="M497" t="str">
        <f>RIGHT(Tabla11[[#This Row],[Comercial]],4)</f>
        <v>4321</v>
      </c>
      <c r="N497" t="str">
        <f>LEFT(Tabla11[[#This Row],[Minuscula]],6)</f>
        <v>ana fe</v>
      </c>
    </row>
    <row r="498" spans="1:14">
      <c r="A498" s="226">
        <v>1497</v>
      </c>
      <c r="B498" s="224">
        <v>44649</v>
      </c>
      <c r="C498" s="207" t="s">
        <v>1501</v>
      </c>
      <c r="D498" s="207" t="s">
        <v>1494</v>
      </c>
      <c r="E498" s="207" t="s">
        <v>518</v>
      </c>
      <c r="F498" s="225">
        <v>134</v>
      </c>
      <c r="G498" s="225">
        <v>28.14</v>
      </c>
      <c r="H498" s="225">
        <v>162.13999999999999</v>
      </c>
      <c r="I498" s="24" t="str">
        <f>UPPER(Tabla11[[#This Row],[Comercial]])</f>
        <v>MARIO PEREZ 1123</v>
      </c>
      <c r="J498" s="24" t="str">
        <f>LOWER(Tabla11[[#This Row],[Comercial]])</f>
        <v>mario perez 1123</v>
      </c>
      <c r="K498" s="227" t="str">
        <f>PROPER(Tabla11[[#This Row],[Comercial]])</f>
        <v>Mario Perez 1123</v>
      </c>
      <c r="L498" t="s">
        <v>1510</v>
      </c>
      <c r="M498" t="str">
        <f>RIGHT(Tabla11[[#This Row],[Comercial]],4)</f>
        <v>1123</v>
      </c>
      <c r="N498" t="str">
        <f>LEFT(Tabla11[[#This Row],[Minuscula]],6)</f>
        <v xml:space="preserve">mario </v>
      </c>
    </row>
    <row r="499" spans="1:14">
      <c r="A499" s="226">
        <v>1498</v>
      </c>
      <c r="B499" s="224">
        <v>44650</v>
      </c>
      <c r="C499" s="207" t="s">
        <v>1496</v>
      </c>
      <c r="D499" s="207" t="s">
        <v>1499</v>
      </c>
      <c r="E499" s="207" t="s">
        <v>530</v>
      </c>
      <c r="F499" s="225">
        <v>11</v>
      </c>
      <c r="G499" s="225">
        <v>2.31</v>
      </c>
      <c r="H499" s="225">
        <v>13.31</v>
      </c>
      <c r="I499" s="24" t="str">
        <f>UPPER(Tabla11[[#This Row],[Comercial]])</f>
        <v>PABLO LOPEZ 7384</v>
      </c>
      <c r="J499" s="24" t="str">
        <f>LOWER(Tabla11[[#This Row],[Comercial]])</f>
        <v>pablo lopez 7384</v>
      </c>
      <c r="K499" s="227" t="str">
        <f>PROPER(Tabla11[[#This Row],[Comercial]])</f>
        <v>Pablo Lopez 7384</v>
      </c>
      <c r="L499" t="s">
        <v>1508</v>
      </c>
      <c r="M499" t="str">
        <f>RIGHT(Tabla11[[#This Row],[Comercial]],4)</f>
        <v>7384</v>
      </c>
      <c r="N499" t="str">
        <f>LEFT(Tabla11[[#This Row],[Minuscula]],6)</f>
        <v xml:space="preserve">pablo </v>
      </c>
    </row>
    <row r="500" spans="1:14">
      <c r="A500" s="226">
        <v>1499</v>
      </c>
      <c r="B500" s="224">
        <v>44652</v>
      </c>
      <c r="C500" s="207" t="s">
        <v>1504</v>
      </c>
      <c r="D500" s="207" t="s">
        <v>1499</v>
      </c>
      <c r="E500" s="207" t="s">
        <v>520</v>
      </c>
      <c r="F500" s="225">
        <v>417</v>
      </c>
      <c r="G500" s="225">
        <v>87.57</v>
      </c>
      <c r="H500" s="225">
        <v>504.57</v>
      </c>
      <c r="I500" s="24" t="str">
        <f>UPPER(Tabla11[[#This Row],[Comercial]])</f>
        <v>MARIA GARCIA 1254</v>
      </c>
      <c r="J500" s="24" t="str">
        <f>LOWER(Tabla11[[#This Row],[Comercial]])</f>
        <v>maria garcia 1254</v>
      </c>
      <c r="K500" s="227" t="str">
        <f>PROPER(Tabla11[[#This Row],[Comercial]])</f>
        <v>Maria Garcia 1254</v>
      </c>
      <c r="L500" t="s">
        <v>1506</v>
      </c>
      <c r="M500" t="str">
        <f>RIGHT(Tabla11[[#This Row],[Comercial]],4)</f>
        <v>1254</v>
      </c>
      <c r="N500" t="str">
        <f>LEFT(Tabla11[[#This Row],[Minuscula]],6)</f>
        <v xml:space="preserve">maria </v>
      </c>
    </row>
    <row r="501" spans="1:14">
      <c r="A501" s="226">
        <v>1500</v>
      </c>
      <c r="B501" s="224">
        <v>44655</v>
      </c>
      <c r="C501" s="207" t="s">
        <v>1495</v>
      </c>
      <c r="D501" s="207" t="s">
        <v>1502</v>
      </c>
      <c r="E501" s="207" t="s">
        <v>534</v>
      </c>
      <c r="F501" s="225">
        <v>6</v>
      </c>
      <c r="G501" s="225">
        <v>1.26</v>
      </c>
      <c r="H501" s="225">
        <v>7.26</v>
      </c>
      <c r="I501" s="24" t="str">
        <f>UPPER(Tabla11[[#This Row],[Comercial]])</f>
        <v>LUIS VALLE 5431</v>
      </c>
      <c r="J501" s="24" t="str">
        <f>LOWER(Tabla11[[#This Row],[Comercial]])</f>
        <v>luis valle 5431</v>
      </c>
      <c r="K501" s="227" t="str">
        <f>PROPER(Tabla11[[#This Row],[Comercial]])</f>
        <v>Luis Valle 5431</v>
      </c>
      <c r="L501" t="s">
        <v>1507</v>
      </c>
      <c r="M501" t="str">
        <f>RIGHT(Tabla11[[#This Row],[Comercial]],4)</f>
        <v>5431</v>
      </c>
      <c r="N501" t="str">
        <f>LEFT(Tabla11[[#This Row],[Minuscula]],6)</f>
        <v>luis v</v>
      </c>
    </row>
    <row r="502" spans="1:14">
      <c r="A502" s="226">
        <v>1501</v>
      </c>
      <c r="B502" s="224">
        <v>44655</v>
      </c>
      <c r="C502" s="207" t="s">
        <v>1501</v>
      </c>
      <c r="D502" s="207" t="s">
        <v>1494</v>
      </c>
      <c r="E502" s="207" t="s">
        <v>534</v>
      </c>
      <c r="F502" s="225">
        <v>8</v>
      </c>
      <c r="G502" s="225">
        <v>1.68</v>
      </c>
      <c r="H502" s="225">
        <v>9.68</v>
      </c>
      <c r="I502" s="24" t="str">
        <f>UPPER(Tabla11[[#This Row],[Comercial]])</f>
        <v>MARIO PEREZ 1123</v>
      </c>
      <c r="J502" s="24" t="str">
        <f>LOWER(Tabla11[[#This Row],[Comercial]])</f>
        <v>mario perez 1123</v>
      </c>
      <c r="K502" s="227" t="str">
        <f>PROPER(Tabla11[[#This Row],[Comercial]])</f>
        <v>Mario Perez 1123</v>
      </c>
      <c r="L502" t="s">
        <v>1510</v>
      </c>
      <c r="M502" t="str">
        <f>RIGHT(Tabla11[[#This Row],[Comercial]],4)</f>
        <v>1123</v>
      </c>
      <c r="N502" t="str">
        <f>LEFT(Tabla11[[#This Row],[Minuscula]],6)</f>
        <v xml:space="preserve">mario </v>
      </c>
    </row>
    <row r="503" spans="1:14">
      <c r="A503" s="226">
        <v>1502</v>
      </c>
      <c r="B503" s="224">
        <v>44656</v>
      </c>
      <c r="C503" s="207" t="s">
        <v>1501</v>
      </c>
      <c r="D503" s="207" t="s">
        <v>1497</v>
      </c>
      <c r="E503" s="207" t="s">
        <v>534</v>
      </c>
      <c r="F503" s="225">
        <v>9</v>
      </c>
      <c r="G503" s="225">
        <v>1.89</v>
      </c>
      <c r="H503" s="225">
        <v>10.89</v>
      </c>
      <c r="I503" s="24" t="str">
        <f>UPPER(Tabla11[[#This Row],[Comercial]])</f>
        <v>MARIO PEREZ 1123</v>
      </c>
      <c r="J503" s="24" t="str">
        <f>LOWER(Tabla11[[#This Row],[Comercial]])</f>
        <v>mario perez 1123</v>
      </c>
      <c r="K503" s="227" t="str">
        <f>PROPER(Tabla11[[#This Row],[Comercial]])</f>
        <v>Mario Perez 1123</v>
      </c>
      <c r="L503" t="s">
        <v>1510</v>
      </c>
      <c r="M503" t="str">
        <f>RIGHT(Tabla11[[#This Row],[Comercial]],4)</f>
        <v>1123</v>
      </c>
      <c r="N503" t="str">
        <f>LEFT(Tabla11[[#This Row],[Minuscula]],6)</f>
        <v xml:space="preserve">mario </v>
      </c>
    </row>
    <row r="504" spans="1:14">
      <c r="A504" s="226">
        <v>1503</v>
      </c>
      <c r="B504" s="224">
        <v>44658</v>
      </c>
      <c r="C504" s="207" t="s">
        <v>1496</v>
      </c>
      <c r="D504" s="207" t="s">
        <v>1494</v>
      </c>
      <c r="E504" s="207" t="s">
        <v>530</v>
      </c>
      <c r="F504" s="225">
        <v>38</v>
      </c>
      <c r="G504" s="225">
        <v>7.98</v>
      </c>
      <c r="H504" s="225">
        <v>45.98</v>
      </c>
      <c r="I504" s="24" t="str">
        <f>UPPER(Tabla11[[#This Row],[Comercial]])</f>
        <v>PABLO LOPEZ 7384</v>
      </c>
      <c r="J504" s="24" t="str">
        <f>LOWER(Tabla11[[#This Row],[Comercial]])</f>
        <v>pablo lopez 7384</v>
      </c>
      <c r="K504" s="227" t="str">
        <f>PROPER(Tabla11[[#This Row],[Comercial]])</f>
        <v>Pablo Lopez 7384</v>
      </c>
      <c r="L504" t="s">
        <v>1508</v>
      </c>
      <c r="M504" t="str">
        <f>RIGHT(Tabla11[[#This Row],[Comercial]],4)</f>
        <v>7384</v>
      </c>
      <c r="N504" t="str">
        <f>LEFT(Tabla11[[#This Row],[Minuscula]],6)</f>
        <v xml:space="preserve">pablo </v>
      </c>
    </row>
    <row r="505" spans="1:14">
      <c r="A505" s="226">
        <v>1504</v>
      </c>
      <c r="B505" s="224">
        <v>44660</v>
      </c>
      <c r="C505" s="207" t="s">
        <v>1495</v>
      </c>
      <c r="D505" s="207" t="s">
        <v>1503</v>
      </c>
      <c r="E505" s="207" t="s">
        <v>520</v>
      </c>
      <c r="F505" s="225">
        <v>763</v>
      </c>
      <c r="G505" s="225">
        <v>160.22999999999999</v>
      </c>
      <c r="H505" s="225">
        <v>923.23</v>
      </c>
      <c r="I505" s="24" t="str">
        <f>UPPER(Tabla11[[#This Row],[Comercial]])</f>
        <v>LUIS VALLE 5431</v>
      </c>
      <c r="J505" s="24" t="str">
        <f>LOWER(Tabla11[[#This Row],[Comercial]])</f>
        <v>luis valle 5431</v>
      </c>
      <c r="K505" s="227" t="str">
        <f>PROPER(Tabla11[[#This Row],[Comercial]])</f>
        <v>Luis Valle 5431</v>
      </c>
      <c r="L505" t="s">
        <v>1507</v>
      </c>
      <c r="M505" t="str">
        <f>RIGHT(Tabla11[[#This Row],[Comercial]],4)</f>
        <v>5431</v>
      </c>
      <c r="N505" t="str">
        <f>LEFT(Tabla11[[#This Row],[Minuscula]],6)</f>
        <v>luis v</v>
      </c>
    </row>
    <row r="506" spans="1:14">
      <c r="A506" s="226">
        <v>1505</v>
      </c>
      <c r="B506" s="224">
        <v>44660</v>
      </c>
      <c r="C506" s="207" t="s">
        <v>1496</v>
      </c>
      <c r="D506" s="207" t="s">
        <v>1502</v>
      </c>
      <c r="E506" s="207" t="s">
        <v>518</v>
      </c>
      <c r="F506" s="225">
        <v>25</v>
      </c>
      <c r="G506" s="225">
        <v>5.25</v>
      </c>
      <c r="H506" s="225">
        <v>30.25</v>
      </c>
      <c r="I506" s="24" t="str">
        <f>UPPER(Tabla11[[#This Row],[Comercial]])</f>
        <v>PABLO LOPEZ 7384</v>
      </c>
      <c r="J506" s="24" t="str">
        <f>LOWER(Tabla11[[#This Row],[Comercial]])</f>
        <v>pablo lopez 7384</v>
      </c>
      <c r="K506" s="227" t="str">
        <f>PROPER(Tabla11[[#This Row],[Comercial]])</f>
        <v>Pablo Lopez 7384</v>
      </c>
      <c r="L506" t="s">
        <v>1508</v>
      </c>
      <c r="M506" t="str">
        <f>RIGHT(Tabla11[[#This Row],[Comercial]],4)</f>
        <v>7384</v>
      </c>
      <c r="N506" t="str">
        <f>LEFT(Tabla11[[#This Row],[Minuscula]],6)</f>
        <v xml:space="preserve">pablo </v>
      </c>
    </row>
    <row r="507" spans="1:14">
      <c r="A507" s="226">
        <v>1506</v>
      </c>
      <c r="B507" s="224">
        <v>44661</v>
      </c>
      <c r="C507" s="207" t="s">
        <v>1504</v>
      </c>
      <c r="D507" s="207" t="s">
        <v>1499</v>
      </c>
      <c r="E507" s="207" t="s">
        <v>530</v>
      </c>
      <c r="F507" s="225">
        <v>10</v>
      </c>
      <c r="G507" s="225">
        <v>2.1</v>
      </c>
      <c r="H507" s="225">
        <v>12.1</v>
      </c>
      <c r="I507" s="24" t="str">
        <f>UPPER(Tabla11[[#This Row],[Comercial]])</f>
        <v>MARIA GARCIA 1254</v>
      </c>
      <c r="J507" s="24" t="str">
        <f>LOWER(Tabla11[[#This Row],[Comercial]])</f>
        <v>maria garcia 1254</v>
      </c>
      <c r="K507" s="227" t="str">
        <f>PROPER(Tabla11[[#This Row],[Comercial]])</f>
        <v>Maria Garcia 1254</v>
      </c>
      <c r="L507" t="s">
        <v>1506</v>
      </c>
      <c r="M507" t="str">
        <f>RIGHT(Tabla11[[#This Row],[Comercial]],4)</f>
        <v>1254</v>
      </c>
      <c r="N507" t="str">
        <f>LEFT(Tabla11[[#This Row],[Minuscula]],6)</f>
        <v xml:space="preserve">maria </v>
      </c>
    </row>
    <row r="508" spans="1:14">
      <c r="A508" s="226">
        <v>1507</v>
      </c>
      <c r="B508" s="224">
        <v>44661</v>
      </c>
      <c r="C508" s="207" t="s">
        <v>1496</v>
      </c>
      <c r="D508" s="207" t="s">
        <v>1503</v>
      </c>
      <c r="E508" s="207" t="s">
        <v>518</v>
      </c>
      <c r="F508" s="225">
        <v>268</v>
      </c>
      <c r="G508" s="225">
        <v>56.28</v>
      </c>
      <c r="H508" s="225">
        <v>324.27999999999997</v>
      </c>
      <c r="I508" s="24" t="str">
        <f>UPPER(Tabla11[[#This Row],[Comercial]])</f>
        <v>PABLO LOPEZ 7384</v>
      </c>
      <c r="J508" s="24" t="str">
        <f>LOWER(Tabla11[[#This Row],[Comercial]])</f>
        <v>pablo lopez 7384</v>
      </c>
      <c r="K508" s="227" t="str">
        <f>PROPER(Tabla11[[#This Row],[Comercial]])</f>
        <v>Pablo Lopez 7384</v>
      </c>
      <c r="L508" t="s">
        <v>1508</v>
      </c>
      <c r="M508" t="str">
        <f>RIGHT(Tabla11[[#This Row],[Comercial]],4)</f>
        <v>7384</v>
      </c>
      <c r="N508" t="str">
        <f>LEFT(Tabla11[[#This Row],[Minuscula]],6)</f>
        <v xml:space="preserve">pablo </v>
      </c>
    </row>
    <row r="509" spans="1:14">
      <c r="A509" s="226">
        <v>1508</v>
      </c>
      <c r="B509" s="224">
        <v>44662</v>
      </c>
      <c r="C509" s="207" t="s">
        <v>1504</v>
      </c>
      <c r="D509" s="207" t="s">
        <v>1497</v>
      </c>
      <c r="E509" s="207" t="s">
        <v>525</v>
      </c>
      <c r="F509" s="225">
        <v>18</v>
      </c>
      <c r="G509" s="225">
        <v>3.78</v>
      </c>
      <c r="H509" s="225">
        <v>21.78</v>
      </c>
      <c r="I509" s="24" t="str">
        <f>UPPER(Tabla11[[#This Row],[Comercial]])</f>
        <v>MARIA GARCIA 1254</v>
      </c>
      <c r="J509" s="24" t="str">
        <f>LOWER(Tabla11[[#This Row],[Comercial]])</f>
        <v>maria garcia 1254</v>
      </c>
      <c r="K509" s="227" t="str">
        <f>PROPER(Tabla11[[#This Row],[Comercial]])</f>
        <v>Maria Garcia 1254</v>
      </c>
      <c r="L509" t="s">
        <v>1506</v>
      </c>
      <c r="M509" t="str">
        <f>RIGHT(Tabla11[[#This Row],[Comercial]],4)</f>
        <v>1254</v>
      </c>
      <c r="N509" t="str">
        <f>LEFT(Tabla11[[#This Row],[Minuscula]],6)</f>
        <v xml:space="preserve">maria </v>
      </c>
    </row>
    <row r="510" spans="1:14">
      <c r="A510" s="226">
        <v>1509</v>
      </c>
      <c r="B510" s="224">
        <v>44663</v>
      </c>
      <c r="C510" s="207" t="s">
        <v>1496</v>
      </c>
      <c r="D510" s="207" t="s">
        <v>1499</v>
      </c>
      <c r="E510" s="207" t="s">
        <v>520</v>
      </c>
      <c r="F510" s="225">
        <v>496</v>
      </c>
      <c r="G510" s="225">
        <v>104.16</v>
      </c>
      <c r="H510" s="225">
        <v>600.16</v>
      </c>
      <c r="I510" s="24" t="str">
        <f>UPPER(Tabla11[[#This Row],[Comercial]])</f>
        <v>PABLO LOPEZ 7384</v>
      </c>
      <c r="J510" s="24" t="str">
        <f>LOWER(Tabla11[[#This Row],[Comercial]])</f>
        <v>pablo lopez 7384</v>
      </c>
      <c r="K510" s="227" t="str">
        <f>PROPER(Tabla11[[#This Row],[Comercial]])</f>
        <v>Pablo Lopez 7384</v>
      </c>
      <c r="L510" t="s">
        <v>1508</v>
      </c>
      <c r="M510" t="str">
        <f>RIGHT(Tabla11[[#This Row],[Comercial]],4)</f>
        <v>7384</v>
      </c>
      <c r="N510" t="str">
        <f>LEFT(Tabla11[[#This Row],[Minuscula]],6)</f>
        <v xml:space="preserve">pablo </v>
      </c>
    </row>
    <row r="511" spans="1:14">
      <c r="A511" s="226">
        <v>1510</v>
      </c>
      <c r="B511" s="224">
        <v>44664</v>
      </c>
      <c r="C511" s="207" t="s">
        <v>1504</v>
      </c>
      <c r="D511" s="207" t="s">
        <v>1497</v>
      </c>
      <c r="E511" s="207" t="s">
        <v>530</v>
      </c>
      <c r="F511" s="225">
        <v>12</v>
      </c>
      <c r="G511" s="225">
        <v>2.52</v>
      </c>
      <c r="H511" s="225">
        <v>14.52</v>
      </c>
      <c r="I511" s="24" t="str">
        <f>UPPER(Tabla11[[#This Row],[Comercial]])</f>
        <v>MARIA GARCIA 1254</v>
      </c>
      <c r="J511" s="24" t="str">
        <f>LOWER(Tabla11[[#This Row],[Comercial]])</f>
        <v>maria garcia 1254</v>
      </c>
      <c r="K511" s="227" t="str">
        <f>PROPER(Tabla11[[#This Row],[Comercial]])</f>
        <v>Maria Garcia 1254</v>
      </c>
      <c r="L511" t="s">
        <v>1506</v>
      </c>
      <c r="M511" t="str">
        <f>RIGHT(Tabla11[[#This Row],[Comercial]],4)</f>
        <v>1254</v>
      </c>
      <c r="N511" t="str">
        <f>LEFT(Tabla11[[#This Row],[Minuscula]],6)</f>
        <v xml:space="preserve">maria </v>
      </c>
    </row>
    <row r="512" spans="1:14">
      <c r="A512" s="226">
        <v>1511</v>
      </c>
      <c r="B512" s="224">
        <v>44665</v>
      </c>
      <c r="C512" s="207" t="s">
        <v>1500</v>
      </c>
      <c r="D512" s="207" t="s">
        <v>1502</v>
      </c>
      <c r="E512" s="207" t="s">
        <v>525</v>
      </c>
      <c r="F512" s="225">
        <v>10</v>
      </c>
      <c r="G512" s="225">
        <v>2.1</v>
      </c>
      <c r="H512" s="225">
        <v>12.1</v>
      </c>
      <c r="I512" s="24" t="str">
        <f>UPPER(Tabla11[[#This Row],[Comercial]])</f>
        <v>ANA FERNANDEZZ 4321</v>
      </c>
      <c r="J512" s="24" t="str">
        <f>LOWER(Tabla11[[#This Row],[Comercial]])</f>
        <v>ana fernandezz 4321</v>
      </c>
      <c r="K512" s="227" t="str">
        <f>PROPER(Tabla11[[#This Row],[Comercial]])</f>
        <v>Ana Fernandezz 4321</v>
      </c>
      <c r="L512" t="s">
        <v>1509</v>
      </c>
      <c r="M512" t="str">
        <f>RIGHT(Tabla11[[#This Row],[Comercial]],4)</f>
        <v>4321</v>
      </c>
      <c r="N512" t="str">
        <f>LEFT(Tabla11[[#This Row],[Minuscula]],6)</f>
        <v>ana fe</v>
      </c>
    </row>
    <row r="513" spans="1:14">
      <c r="A513" s="226">
        <v>1512</v>
      </c>
      <c r="B513" s="224">
        <v>44666</v>
      </c>
      <c r="C513" s="207" t="s">
        <v>1501</v>
      </c>
      <c r="D513" s="207" t="s">
        <v>1497</v>
      </c>
      <c r="E513" s="207" t="s">
        <v>518</v>
      </c>
      <c r="F513" s="225">
        <v>10</v>
      </c>
      <c r="G513" s="225">
        <v>2.1</v>
      </c>
      <c r="H513" s="225">
        <v>12.1</v>
      </c>
      <c r="I513" s="24" t="str">
        <f>UPPER(Tabla11[[#This Row],[Comercial]])</f>
        <v>MARIO PEREZ 1123</v>
      </c>
      <c r="J513" s="24" t="str">
        <f>LOWER(Tabla11[[#This Row],[Comercial]])</f>
        <v>mario perez 1123</v>
      </c>
      <c r="K513" s="227" t="str">
        <f>PROPER(Tabla11[[#This Row],[Comercial]])</f>
        <v>Mario Perez 1123</v>
      </c>
      <c r="L513" t="s">
        <v>1510</v>
      </c>
      <c r="M513" t="str">
        <f>RIGHT(Tabla11[[#This Row],[Comercial]],4)</f>
        <v>1123</v>
      </c>
      <c r="N513" t="str">
        <f>LEFT(Tabla11[[#This Row],[Minuscula]],6)</f>
        <v xml:space="preserve">mario </v>
      </c>
    </row>
    <row r="514" spans="1:14">
      <c r="A514" s="226">
        <v>1513</v>
      </c>
      <c r="B514" s="224">
        <v>44666</v>
      </c>
      <c r="C514" s="207" t="s">
        <v>1501</v>
      </c>
      <c r="D514" s="207" t="s">
        <v>1502</v>
      </c>
      <c r="E514" s="207" t="s">
        <v>530</v>
      </c>
      <c r="F514" s="225">
        <v>29</v>
      </c>
      <c r="G514" s="225">
        <v>6.09</v>
      </c>
      <c r="H514" s="225">
        <v>35.090000000000003</v>
      </c>
      <c r="I514" s="24" t="str">
        <f>UPPER(Tabla11[[#This Row],[Comercial]])</f>
        <v>MARIO PEREZ 1123</v>
      </c>
      <c r="J514" s="24" t="str">
        <f>LOWER(Tabla11[[#This Row],[Comercial]])</f>
        <v>mario perez 1123</v>
      </c>
      <c r="K514" s="227" t="str">
        <f>PROPER(Tabla11[[#This Row],[Comercial]])</f>
        <v>Mario Perez 1123</v>
      </c>
      <c r="L514" t="s">
        <v>1510</v>
      </c>
      <c r="M514" t="str">
        <f>RIGHT(Tabla11[[#This Row],[Comercial]],4)</f>
        <v>1123</v>
      </c>
      <c r="N514" t="str">
        <f>LEFT(Tabla11[[#This Row],[Minuscula]],6)</f>
        <v xml:space="preserve">mario </v>
      </c>
    </row>
    <row r="515" spans="1:14">
      <c r="A515" s="226">
        <v>1514</v>
      </c>
      <c r="B515" s="224">
        <v>44666</v>
      </c>
      <c r="C515" s="207" t="s">
        <v>1496</v>
      </c>
      <c r="D515" s="207" t="s">
        <v>1502</v>
      </c>
      <c r="E515" s="207" t="s">
        <v>520</v>
      </c>
      <c r="F515" s="225">
        <v>166</v>
      </c>
      <c r="G515" s="225">
        <v>34.86</v>
      </c>
      <c r="H515" s="225">
        <v>200.86</v>
      </c>
      <c r="I515" s="24" t="str">
        <f>UPPER(Tabla11[[#This Row],[Comercial]])</f>
        <v>PABLO LOPEZ 7384</v>
      </c>
      <c r="J515" s="24" t="str">
        <f>LOWER(Tabla11[[#This Row],[Comercial]])</f>
        <v>pablo lopez 7384</v>
      </c>
      <c r="K515" s="227" t="str">
        <f>PROPER(Tabla11[[#This Row],[Comercial]])</f>
        <v>Pablo Lopez 7384</v>
      </c>
      <c r="L515" t="s">
        <v>1508</v>
      </c>
      <c r="M515" t="str">
        <f>RIGHT(Tabla11[[#This Row],[Comercial]],4)</f>
        <v>7384</v>
      </c>
      <c r="N515" t="str">
        <f>LEFT(Tabla11[[#This Row],[Minuscula]],6)</f>
        <v xml:space="preserve">pablo </v>
      </c>
    </row>
    <row r="516" spans="1:14">
      <c r="A516" s="226">
        <v>1515</v>
      </c>
      <c r="B516" s="224">
        <v>44668</v>
      </c>
      <c r="C516" s="207" t="s">
        <v>1495</v>
      </c>
      <c r="D516" s="207" t="s">
        <v>1499</v>
      </c>
      <c r="E516" s="207" t="s">
        <v>534</v>
      </c>
      <c r="F516" s="225">
        <v>5</v>
      </c>
      <c r="G516" s="225">
        <v>1.05</v>
      </c>
      <c r="H516" s="225">
        <v>6.05</v>
      </c>
      <c r="I516" s="24" t="str">
        <f>UPPER(Tabla11[[#This Row],[Comercial]])</f>
        <v>LUIS VALLE 5431</v>
      </c>
      <c r="J516" s="24" t="str">
        <f>LOWER(Tabla11[[#This Row],[Comercial]])</f>
        <v>luis valle 5431</v>
      </c>
      <c r="K516" s="227" t="str">
        <f>PROPER(Tabla11[[#This Row],[Comercial]])</f>
        <v>Luis Valle 5431</v>
      </c>
      <c r="L516" t="s">
        <v>1507</v>
      </c>
      <c r="M516" t="str">
        <f>RIGHT(Tabla11[[#This Row],[Comercial]],4)</f>
        <v>5431</v>
      </c>
      <c r="N516" t="str">
        <f>LEFT(Tabla11[[#This Row],[Minuscula]],6)</f>
        <v>luis v</v>
      </c>
    </row>
    <row r="517" spans="1:14">
      <c r="A517" s="226">
        <v>1516</v>
      </c>
      <c r="B517" s="224">
        <v>44668</v>
      </c>
      <c r="C517" s="207" t="s">
        <v>1504</v>
      </c>
      <c r="D517" s="207" t="s">
        <v>1499</v>
      </c>
      <c r="E517" s="207" t="s">
        <v>534</v>
      </c>
      <c r="F517" s="225">
        <v>9</v>
      </c>
      <c r="G517" s="225">
        <v>1.89</v>
      </c>
      <c r="H517" s="225">
        <v>10.89</v>
      </c>
      <c r="I517" s="24" t="str">
        <f>UPPER(Tabla11[[#This Row],[Comercial]])</f>
        <v>MARIA GARCIA 1254</v>
      </c>
      <c r="J517" s="24" t="str">
        <f>LOWER(Tabla11[[#This Row],[Comercial]])</f>
        <v>maria garcia 1254</v>
      </c>
      <c r="K517" s="227" t="str">
        <f>PROPER(Tabla11[[#This Row],[Comercial]])</f>
        <v>Maria Garcia 1254</v>
      </c>
      <c r="L517" t="s">
        <v>1506</v>
      </c>
      <c r="M517" t="str">
        <f>RIGHT(Tabla11[[#This Row],[Comercial]],4)</f>
        <v>1254</v>
      </c>
      <c r="N517" t="str">
        <f>LEFT(Tabla11[[#This Row],[Minuscula]],6)</f>
        <v xml:space="preserve">maria </v>
      </c>
    </row>
    <row r="518" spans="1:14">
      <c r="A518" s="226">
        <v>1517</v>
      </c>
      <c r="B518" s="224">
        <v>44669</v>
      </c>
      <c r="C518" s="207" t="s">
        <v>1501</v>
      </c>
      <c r="D518" s="207" t="s">
        <v>1497</v>
      </c>
      <c r="E518" s="207" t="s">
        <v>518</v>
      </c>
      <c r="F518" s="225">
        <v>45</v>
      </c>
      <c r="G518" s="225">
        <v>9.4499999999999993</v>
      </c>
      <c r="H518" s="225">
        <v>54.45</v>
      </c>
      <c r="I518" s="24" t="str">
        <f>UPPER(Tabla11[[#This Row],[Comercial]])</f>
        <v>MARIO PEREZ 1123</v>
      </c>
      <c r="J518" s="24" t="str">
        <f>LOWER(Tabla11[[#This Row],[Comercial]])</f>
        <v>mario perez 1123</v>
      </c>
      <c r="K518" s="227" t="str">
        <f>PROPER(Tabla11[[#This Row],[Comercial]])</f>
        <v>Mario Perez 1123</v>
      </c>
      <c r="L518" t="s">
        <v>1510</v>
      </c>
      <c r="M518" t="str">
        <f>RIGHT(Tabla11[[#This Row],[Comercial]],4)</f>
        <v>1123</v>
      </c>
      <c r="N518" t="str">
        <f>LEFT(Tabla11[[#This Row],[Minuscula]],6)</f>
        <v xml:space="preserve">mario </v>
      </c>
    </row>
    <row r="519" spans="1:14">
      <c r="A519" s="226">
        <v>1518</v>
      </c>
      <c r="B519" s="224">
        <v>44669</v>
      </c>
      <c r="C519" s="207" t="s">
        <v>1504</v>
      </c>
      <c r="D519" s="207" t="s">
        <v>1494</v>
      </c>
      <c r="E519" s="207" t="s">
        <v>534</v>
      </c>
      <c r="F519" s="225">
        <v>9</v>
      </c>
      <c r="G519" s="225">
        <v>1.89</v>
      </c>
      <c r="H519" s="225">
        <v>10.89</v>
      </c>
      <c r="I519" s="24" t="str">
        <f>UPPER(Tabla11[[#This Row],[Comercial]])</f>
        <v>MARIA GARCIA 1254</v>
      </c>
      <c r="J519" s="24" t="str">
        <f>LOWER(Tabla11[[#This Row],[Comercial]])</f>
        <v>maria garcia 1254</v>
      </c>
      <c r="K519" s="227" t="str">
        <f>PROPER(Tabla11[[#This Row],[Comercial]])</f>
        <v>Maria Garcia 1254</v>
      </c>
      <c r="L519" t="s">
        <v>1506</v>
      </c>
      <c r="M519" t="str">
        <f>RIGHT(Tabla11[[#This Row],[Comercial]],4)</f>
        <v>1254</v>
      </c>
      <c r="N519" t="str">
        <f>LEFT(Tabla11[[#This Row],[Minuscula]],6)</f>
        <v xml:space="preserve">maria </v>
      </c>
    </row>
    <row r="520" spans="1:14">
      <c r="A520" s="226">
        <v>1519</v>
      </c>
      <c r="B520" s="224">
        <v>44672</v>
      </c>
      <c r="C520" s="207" t="s">
        <v>1504</v>
      </c>
      <c r="D520" s="207" t="s">
        <v>1499</v>
      </c>
      <c r="E520" s="207" t="s">
        <v>530</v>
      </c>
      <c r="F520" s="225">
        <v>18</v>
      </c>
      <c r="G520" s="225">
        <v>3.78</v>
      </c>
      <c r="H520" s="225">
        <v>21.78</v>
      </c>
      <c r="I520" s="24" t="str">
        <f>UPPER(Tabla11[[#This Row],[Comercial]])</f>
        <v>MARIA GARCIA 1254</v>
      </c>
      <c r="J520" s="24" t="str">
        <f>LOWER(Tabla11[[#This Row],[Comercial]])</f>
        <v>maria garcia 1254</v>
      </c>
      <c r="K520" s="227" t="str">
        <f>PROPER(Tabla11[[#This Row],[Comercial]])</f>
        <v>Maria Garcia 1254</v>
      </c>
      <c r="L520" t="s">
        <v>1506</v>
      </c>
      <c r="M520" t="str">
        <f>RIGHT(Tabla11[[#This Row],[Comercial]],4)</f>
        <v>1254</v>
      </c>
      <c r="N520" t="str">
        <f>LEFT(Tabla11[[#This Row],[Minuscula]],6)</f>
        <v xml:space="preserve">maria </v>
      </c>
    </row>
    <row r="521" spans="1:14">
      <c r="A521" s="226">
        <v>1520</v>
      </c>
      <c r="B521" s="224">
        <v>44672</v>
      </c>
      <c r="C521" s="207" t="s">
        <v>1504</v>
      </c>
      <c r="D521" s="207" t="s">
        <v>1503</v>
      </c>
      <c r="E521" s="207" t="s">
        <v>520</v>
      </c>
      <c r="F521" s="225">
        <v>892</v>
      </c>
      <c r="G521" s="225">
        <v>187.32</v>
      </c>
      <c r="H521" s="225">
        <v>1079.32</v>
      </c>
      <c r="I521" s="24" t="str">
        <f>UPPER(Tabla11[[#This Row],[Comercial]])</f>
        <v>MARIA GARCIA 1254</v>
      </c>
      <c r="J521" s="24" t="str">
        <f>LOWER(Tabla11[[#This Row],[Comercial]])</f>
        <v>maria garcia 1254</v>
      </c>
      <c r="K521" s="227" t="str">
        <f>PROPER(Tabla11[[#This Row],[Comercial]])</f>
        <v>Maria Garcia 1254</v>
      </c>
      <c r="L521" t="s">
        <v>1506</v>
      </c>
      <c r="M521" t="str">
        <f>RIGHT(Tabla11[[#This Row],[Comercial]],4)</f>
        <v>1254</v>
      </c>
      <c r="N521" t="str">
        <f>LEFT(Tabla11[[#This Row],[Minuscula]],6)</f>
        <v xml:space="preserve">maria </v>
      </c>
    </row>
    <row r="522" spans="1:14">
      <c r="A522" s="226">
        <v>1521</v>
      </c>
      <c r="B522" s="224">
        <v>44672</v>
      </c>
      <c r="C522" s="207" t="s">
        <v>1501</v>
      </c>
      <c r="D522" s="207" t="s">
        <v>1494</v>
      </c>
      <c r="E522" s="207" t="s">
        <v>520</v>
      </c>
      <c r="F522" s="225">
        <v>418</v>
      </c>
      <c r="G522" s="225">
        <v>87.78</v>
      </c>
      <c r="H522" s="225">
        <v>505.78</v>
      </c>
      <c r="I522" s="24" t="str">
        <f>UPPER(Tabla11[[#This Row],[Comercial]])</f>
        <v>MARIO PEREZ 1123</v>
      </c>
      <c r="J522" s="24" t="str">
        <f>LOWER(Tabla11[[#This Row],[Comercial]])</f>
        <v>mario perez 1123</v>
      </c>
      <c r="K522" s="227" t="str">
        <f>PROPER(Tabla11[[#This Row],[Comercial]])</f>
        <v>Mario Perez 1123</v>
      </c>
      <c r="L522" t="s">
        <v>1510</v>
      </c>
      <c r="M522" t="str">
        <f>RIGHT(Tabla11[[#This Row],[Comercial]],4)</f>
        <v>1123</v>
      </c>
      <c r="N522" t="str">
        <f>LEFT(Tabla11[[#This Row],[Minuscula]],6)</f>
        <v xml:space="preserve">mario </v>
      </c>
    </row>
    <row r="523" spans="1:14">
      <c r="A523" s="226">
        <v>1522</v>
      </c>
      <c r="B523" s="224">
        <v>44672</v>
      </c>
      <c r="C523" s="207" t="s">
        <v>1496</v>
      </c>
      <c r="D523" s="207" t="s">
        <v>1502</v>
      </c>
      <c r="E523" s="207" t="s">
        <v>530</v>
      </c>
      <c r="F523" s="225">
        <v>10</v>
      </c>
      <c r="G523" s="225">
        <v>2.1</v>
      </c>
      <c r="H523" s="225">
        <v>12.1</v>
      </c>
      <c r="I523" s="24" t="str">
        <f>UPPER(Tabla11[[#This Row],[Comercial]])</f>
        <v>PABLO LOPEZ 7384</v>
      </c>
      <c r="J523" s="24" t="str">
        <f>LOWER(Tabla11[[#This Row],[Comercial]])</f>
        <v>pablo lopez 7384</v>
      </c>
      <c r="K523" s="227" t="str">
        <f>PROPER(Tabla11[[#This Row],[Comercial]])</f>
        <v>Pablo Lopez 7384</v>
      </c>
      <c r="L523" t="s">
        <v>1508</v>
      </c>
      <c r="M523" t="str">
        <f>RIGHT(Tabla11[[#This Row],[Comercial]],4)</f>
        <v>7384</v>
      </c>
      <c r="N523" t="str">
        <f>LEFT(Tabla11[[#This Row],[Minuscula]],6)</f>
        <v xml:space="preserve">pablo </v>
      </c>
    </row>
    <row r="524" spans="1:14">
      <c r="A524" s="226">
        <v>1523</v>
      </c>
      <c r="B524" s="224">
        <v>44673</v>
      </c>
      <c r="C524" s="207" t="s">
        <v>1496</v>
      </c>
      <c r="D524" s="207" t="s">
        <v>1494</v>
      </c>
      <c r="E524" s="207" t="s">
        <v>530</v>
      </c>
      <c r="F524" s="225">
        <v>42</v>
      </c>
      <c r="G524" s="225">
        <v>8.82</v>
      </c>
      <c r="H524" s="225">
        <v>50.82</v>
      </c>
      <c r="I524" s="24" t="str">
        <f>UPPER(Tabla11[[#This Row],[Comercial]])</f>
        <v>PABLO LOPEZ 7384</v>
      </c>
      <c r="J524" s="24" t="str">
        <f>LOWER(Tabla11[[#This Row],[Comercial]])</f>
        <v>pablo lopez 7384</v>
      </c>
      <c r="K524" s="227" t="str">
        <f>PROPER(Tabla11[[#This Row],[Comercial]])</f>
        <v>Pablo Lopez 7384</v>
      </c>
      <c r="L524" t="s">
        <v>1508</v>
      </c>
      <c r="M524" t="str">
        <f>RIGHT(Tabla11[[#This Row],[Comercial]],4)</f>
        <v>7384</v>
      </c>
      <c r="N524" t="str">
        <f>LEFT(Tabla11[[#This Row],[Minuscula]],6)</f>
        <v xml:space="preserve">pablo </v>
      </c>
    </row>
    <row r="525" spans="1:14">
      <c r="A525" s="226">
        <v>1524</v>
      </c>
      <c r="B525" s="224">
        <v>44673</v>
      </c>
      <c r="C525" s="207" t="s">
        <v>1501</v>
      </c>
      <c r="D525" s="207" t="s">
        <v>1502</v>
      </c>
      <c r="E525" s="207" t="s">
        <v>518</v>
      </c>
      <c r="F525" s="225">
        <v>24</v>
      </c>
      <c r="G525" s="225">
        <v>5.04</v>
      </c>
      <c r="H525" s="225">
        <v>29.04</v>
      </c>
      <c r="I525" s="24" t="str">
        <f>UPPER(Tabla11[[#This Row],[Comercial]])</f>
        <v>MARIO PEREZ 1123</v>
      </c>
      <c r="J525" s="24" t="str">
        <f>LOWER(Tabla11[[#This Row],[Comercial]])</f>
        <v>mario perez 1123</v>
      </c>
      <c r="K525" s="227" t="str">
        <f>PROPER(Tabla11[[#This Row],[Comercial]])</f>
        <v>Mario Perez 1123</v>
      </c>
      <c r="L525" t="s">
        <v>1510</v>
      </c>
      <c r="M525" t="str">
        <f>RIGHT(Tabla11[[#This Row],[Comercial]],4)</f>
        <v>1123</v>
      </c>
      <c r="N525" t="str">
        <f>LEFT(Tabla11[[#This Row],[Minuscula]],6)</f>
        <v xml:space="preserve">mario </v>
      </c>
    </row>
    <row r="526" spans="1:14">
      <c r="A526" s="226">
        <v>1525</v>
      </c>
      <c r="B526" s="224">
        <v>44674</v>
      </c>
      <c r="C526" s="207" t="s">
        <v>1495</v>
      </c>
      <c r="D526" s="207" t="s">
        <v>1494</v>
      </c>
      <c r="E526" s="207" t="s">
        <v>530</v>
      </c>
      <c r="F526" s="225">
        <v>44</v>
      </c>
      <c r="G526" s="225">
        <v>9.24</v>
      </c>
      <c r="H526" s="225">
        <v>53.24</v>
      </c>
      <c r="I526" s="24" t="str">
        <f>UPPER(Tabla11[[#This Row],[Comercial]])</f>
        <v>LUIS VALLE 5431</v>
      </c>
      <c r="J526" s="24" t="str">
        <f>LOWER(Tabla11[[#This Row],[Comercial]])</f>
        <v>luis valle 5431</v>
      </c>
      <c r="K526" s="227" t="str">
        <f>PROPER(Tabla11[[#This Row],[Comercial]])</f>
        <v>Luis Valle 5431</v>
      </c>
      <c r="L526" t="s">
        <v>1507</v>
      </c>
      <c r="M526" t="str">
        <f>RIGHT(Tabla11[[#This Row],[Comercial]],4)</f>
        <v>5431</v>
      </c>
      <c r="N526" t="str">
        <f>LEFT(Tabla11[[#This Row],[Minuscula]],6)</f>
        <v>luis v</v>
      </c>
    </row>
    <row r="527" spans="1:14">
      <c r="A527" s="226">
        <v>1526</v>
      </c>
      <c r="B527" s="224">
        <v>44675</v>
      </c>
      <c r="C527" s="207" t="s">
        <v>1495</v>
      </c>
      <c r="D527" s="207" t="s">
        <v>1503</v>
      </c>
      <c r="E527" s="207" t="s">
        <v>520</v>
      </c>
      <c r="F527" s="225">
        <v>702</v>
      </c>
      <c r="G527" s="225">
        <v>147.41999999999999</v>
      </c>
      <c r="H527" s="225">
        <v>849.42</v>
      </c>
      <c r="I527" s="24" t="str">
        <f>UPPER(Tabla11[[#This Row],[Comercial]])</f>
        <v>LUIS VALLE 5431</v>
      </c>
      <c r="J527" s="24" t="str">
        <f>LOWER(Tabla11[[#This Row],[Comercial]])</f>
        <v>luis valle 5431</v>
      </c>
      <c r="K527" s="227" t="str">
        <f>PROPER(Tabla11[[#This Row],[Comercial]])</f>
        <v>Luis Valle 5431</v>
      </c>
      <c r="L527" t="s">
        <v>1507</v>
      </c>
      <c r="M527" t="str">
        <f>RIGHT(Tabla11[[#This Row],[Comercial]],4)</f>
        <v>5431</v>
      </c>
      <c r="N527" t="str">
        <f>LEFT(Tabla11[[#This Row],[Minuscula]],6)</f>
        <v>luis v</v>
      </c>
    </row>
    <row r="528" spans="1:14">
      <c r="A528" s="226">
        <v>1527</v>
      </c>
      <c r="B528" s="224">
        <v>44676</v>
      </c>
      <c r="C528" s="207" t="s">
        <v>1500</v>
      </c>
      <c r="D528" s="207" t="s">
        <v>1502</v>
      </c>
      <c r="E528" s="207" t="s">
        <v>520</v>
      </c>
      <c r="F528" s="225">
        <v>187</v>
      </c>
      <c r="G528" s="225">
        <v>39.270000000000003</v>
      </c>
      <c r="H528" s="225">
        <v>226.27</v>
      </c>
      <c r="I528" s="24" t="str">
        <f>UPPER(Tabla11[[#This Row],[Comercial]])</f>
        <v>ANA FERNANDEZZ 4321</v>
      </c>
      <c r="J528" s="24" t="str">
        <f>LOWER(Tabla11[[#This Row],[Comercial]])</f>
        <v>ana fernandezz 4321</v>
      </c>
      <c r="K528" s="227" t="str">
        <f>PROPER(Tabla11[[#This Row],[Comercial]])</f>
        <v>Ana Fernandezz 4321</v>
      </c>
      <c r="L528" t="s">
        <v>1509</v>
      </c>
      <c r="M528" t="str">
        <f>RIGHT(Tabla11[[#This Row],[Comercial]],4)</f>
        <v>4321</v>
      </c>
      <c r="N528" t="str">
        <f>LEFT(Tabla11[[#This Row],[Minuscula]],6)</f>
        <v>ana fe</v>
      </c>
    </row>
    <row r="529" spans="1:14">
      <c r="A529" s="226">
        <v>1528</v>
      </c>
      <c r="B529" s="224">
        <v>44676</v>
      </c>
      <c r="C529" s="207" t="s">
        <v>1501</v>
      </c>
      <c r="D529" s="207" t="s">
        <v>1499</v>
      </c>
      <c r="E529" s="207" t="s">
        <v>518</v>
      </c>
      <c r="F529" s="225">
        <v>72</v>
      </c>
      <c r="G529" s="225">
        <v>15.12</v>
      </c>
      <c r="H529" s="225">
        <v>87.12</v>
      </c>
      <c r="I529" s="24" t="str">
        <f>UPPER(Tabla11[[#This Row],[Comercial]])</f>
        <v>MARIO PEREZ 1123</v>
      </c>
      <c r="J529" s="24" t="str">
        <f>LOWER(Tabla11[[#This Row],[Comercial]])</f>
        <v>mario perez 1123</v>
      </c>
      <c r="K529" s="227" t="str">
        <f>PROPER(Tabla11[[#This Row],[Comercial]])</f>
        <v>Mario Perez 1123</v>
      </c>
      <c r="L529" t="s">
        <v>1510</v>
      </c>
      <c r="M529" t="str">
        <f>RIGHT(Tabla11[[#This Row],[Comercial]],4)</f>
        <v>1123</v>
      </c>
      <c r="N529" t="str">
        <f>LEFT(Tabla11[[#This Row],[Minuscula]],6)</f>
        <v xml:space="preserve">mario </v>
      </c>
    </row>
    <row r="530" spans="1:14">
      <c r="A530" s="226">
        <v>1529</v>
      </c>
      <c r="B530" s="224">
        <v>44676</v>
      </c>
      <c r="C530" s="207" t="s">
        <v>1495</v>
      </c>
      <c r="D530" s="207" t="s">
        <v>1503</v>
      </c>
      <c r="E530" s="207" t="s">
        <v>530</v>
      </c>
      <c r="F530" s="225">
        <v>48</v>
      </c>
      <c r="G530" s="225">
        <v>10.08</v>
      </c>
      <c r="H530" s="225">
        <v>58.08</v>
      </c>
      <c r="I530" s="24" t="str">
        <f>UPPER(Tabla11[[#This Row],[Comercial]])</f>
        <v>LUIS VALLE 5431</v>
      </c>
      <c r="J530" s="24" t="str">
        <f>LOWER(Tabla11[[#This Row],[Comercial]])</f>
        <v>luis valle 5431</v>
      </c>
      <c r="K530" s="227" t="str">
        <f>PROPER(Tabla11[[#This Row],[Comercial]])</f>
        <v>Luis Valle 5431</v>
      </c>
      <c r="L530" t="s">
        <v>1507</v>
      </c>
      <c r="M530" t="str">
        <f>RIGHT(Tabla11[[#This Row],[Comercial]],4)</f>
        <v>5431</v>
      </c>
      <c r="N530" t="str">
        <f>LEFT(Tabla11[[#This Row],[Minuscula]],6)</f>
        <v>luis v</v>
      </c>
    </row>
    <row r="531" spans="1:14">
      <c r="A531" s="226">
        <v>1530</v>
      </c>
      <c r="B531" s="224">
        <v>44676</v>
      </c>
      <c r="C531" s="207" t="s">
        <v>1500</v>
      </c>
      <c r="D531" s="207" t="s">
        <v>1503</v>
      </c>
      <c r="E531" s="207" t="s">
        <v>525</v>
      </c>
      <c r="F531" s="225">
        <v>30</v>
      </c>
      <c r="G531" s="225">
        <v>6.3</v>
      </c>
      <c r="H531" s="225">
        <v>36.299999999999997</v>
      </c>
      <c r="I531" s="24" t="str">
        <f>UPPER(Tabla11[[#This Row],[Comercial]])</f>
        <v>ANA FERNANDEZZ 4321</v>
      </c>
      <c r="J531" s="24" t="str">
        <f>LOWER(Tabla11[[#This Row],[Comercial]])</f>
        <v>ana fernandezz 4321</v>
      </c>
      <c r="K531" s="227" t="str">
        <f>PROPER(Tabla11[[#This Row],[Comercial]])</f>
        <v>Ana Fernandezz 4321</v>
      </c>
      <c r="L531" t="s">
        <v>1509</v>
      </c>
      <c r="M531" t="str">
        <f>RIGHT(Tabla11[[#This Row],[Comercial]],4)</f>
        <v>4321</v>
      </c>
      <c r="N531" t="str">
        <f>LEFT(Tabla11[[#This Row],[Minuscula]],6)</f>
        <v>ana fe</v>
      </c>
    </row>
    <row r="532" spans="1:14">
      <c r="A532" s="226">
        <v>1531</v>
      </c>
      <c r="B532" s="224">
        <v>44677</v>
      </c>
      <c r="C532" s="207" t="s">
        <v>1501</v>
      </c>
      <c r="D532" s="207" t="s">
        <v>1499</v>
      </c>
      <c r="E532" s="207" t="s">
        <v>518</v>
      </c>
      <c r="F532" s="225">
        <v>62</v>
      </c>
      <c r="G532" s="225">
        <v>13.02</v>
      </c>
      <c r="H532" s="225">
        <v>75.02</v>
      </c>
      <c r="I532" s="24" t="str">
        <f>UPPER(Tabla11[[#This Row],[Comercial]])</f>
        <v>MARIO PEREZ 1123</v>
      </c>
      <c r="J532" s="24" t="str">
        <f>LOWER(Tabla11[[#This Row],[Comercial]])</f>
        <v>mario perez 1123</v>
      </c>
      <c r="K532" s="227" t="str">
        <f>PROPER(Tabla11[[#This Row],[Comercial]])</f>
        <v>Mario Perez 1123</v>
      </c>
      <c r="L532" t="s">
        <v>1510</v>
      </c>
      <c r="M532" t="str">
        <f>RIGHT(Tabla11[[#This Row],[Comercial]],4)</f>
        <v>1123</v>
      </c>
      <c r="N532" t="str">
        <f>LEFT(Tabla11[[#This Row],[Minuscula]],6)</f>
        <v xml:space="preserve">mario </v>
      </c>
    </row>
    <row r="533" spans="1:14">
      <c r="A533" s="226">
        <v>1532</v>
      </c>
      <c r="B533" s="224">
        <v>44677</v>
      </c>
      <c r="C533" s="207" t="s">
        <v>1500</v>
      </c>
      <c r="D533" s="207" t="s">
        <v>1503</v>
      </c>
      <c r="E533" s="207" t="s">
        <v>534</v>
      </c>
      <c r="F533" s="225">
        <v>9</v>
      </c>
      <c r="G533" s="225">
        <v>1.89</v>
      </c>
      <c r="H533" s="225">
        <v>10.89</v>
      </c>
      <c r="I533" s="24" t="str">
        <f>UPPER(Tabla11[[#This Row],[Comercial]])</f>
        <v>ANA FERNANDEZZ 4321</v>
      </c>
      <c r="J533" s="24" t="str">
        <f>LOWER(Tabla11[[#This Row],[Comercial]])</f>
        <v>ana fernandezz 4321</v>
      </c>
      <c r="K533" s="227" t="str">
        <f>PROPER(Tabla11[[#This Row],[Comercial]])</f>
        <v>Ana Fernandezz 4321</v>
      </c>
      <c r="L533" t="s">
        <v>1509</v>
      </c>
      <c r="M533" t="str">
        <f>RIGHT(Tabla11[[#This Row],[Comercial]],4)</f>
        <v>4321</v>
      </c>
      <c r="N533" t="str">
        <f>LEFT(Tabla11[[#This Row],[Minuscula]],6)</f>
        <v>ana fe</v>
      </c>
    </row>
    <row r="534" spans="1:14">
      <c r="A534" s="226">
        <v>1533</v>
      </c>
      <c r="B534" s="224">
        <v>44678</v>
      </c>
      <c r="C534" s="207" t="s">
        <v>1504</v>
      </c>
      <c r="D534" s="207" t="s">
        <v>1502</v>
      </c>
      <c r="E534" s="207" t="s">
        <v>520</v>
      </c>
      <c r="F534" s="225">
        <v>492</v>
      </c>
      <c r="G534" s="225">
        <v>103.32</v>
      </c>
      <c r="H534" s="225">
        <v>595.32000000000005</v>
      </c>
      <c r="I534" s="24" t="str">
        <f>UPPER(Tabla11[[#This Row],[Comercial]])</f>
        <v>MARIA GARCIA 1254</v>
      </c>
      <c r="J534" s="24" t="str">
        <f>LOWER(Tabla11[[#This Row],[Comercial]])</f>
        <v>maria garcia 1254</v>
      </c>
      <c r="K534" s="227" t="str">
        <f>PROPER(Tabla11[[#This Row],[Comercial]])</f>
        <v>Maria Garcia 1254</v>
      </c>
      <c r="L534" t="s">
        <v>1506</v>
      </c>
      <c r="M534" t="str">
        <f>RIGHT(Tabla11[[#This Row],[Comercial]],4)</f>
        <v>1254</v>
      </c>
      <c r="N534" t="str">
        <f>LEFT(Tabla11[[#This Row],[Minuscula]],6)</f>
        <v xml:space="preserve">maria </v>
      </c>
    </row>
    <row r="535" spans="1:14">
      <c r="A535" s="226">
        <v>1534</v>
      </c>
      <c r="B535" s="224">
        <v>44678</v>
      </c>
      <c r="C535" s="207" t="s">
        <v>1501</v>
      </c>
      <c r="D535" s="207" t="s">
        <v>1494</v>
      </c>
      <c r="E535" s="207" t="s">
        <v>518</v>
      </c>
      <c r="F535" s="225">
        <v>132</v>
      </c>
      <c r="G535" s="225">
        <v>27.72</v>
      </c>
      <c r="H535" s="225">
        <v>159.72</v>
      </c>
      <c r="I535" s="24" t="str">
        <f>UPPER(Tabla11[[#This Row],[Comercial]])</f>
        <v>MARIO PEREZ 1123</v>
      </c>
      <c r="J535" s="24" t="str">
        <f>LOWER(Tabla11[[#This Row],[Comercial]])</f>
        <v>mario perez 1123</v>
      </c>
      <c r="K535" s="227" t="str">
        <f>PROPER(Tabla11[[#This Row],[Comercial]])</f>
        <v>Mario Perez 1123</v>
      </c>
      <c r="L535" t="s">
        <v>1510</v>
      </c>
      <c r="M535" t="str">
        <f>RIGHT(Tabla11[[#This Row],[Comercial]],4)</f>
        <v>1123</v>
      </c>
      <c r="N535" t="str">
        <f>LEFT(Tabla11[[#This Row],[Minuscula]],6)</f>
        <v xml:space="preserve">mario </v>
      </c>
    </row>
    <row r="536" spans="1:14">
      <c r="A536" s="226">
        <v>1535</v>
      </c>
      <c r="B536" s="224">
        <v>44679</v>
      </c>
      <c r="C536" s="207" t="s">
        <v>1495</v>
      </c>
      <c r="D536" s="207" t="s">
        <v>1494</v>
      </c>
      <c r="E536" s="207" t="s">
        <v>520</v>
      </c>
      <c r="F536" s="225">
        <v>847</v>
      </c>
      <c r="G536" s="225">
        <v>177.87</v>
      </c>
      <c r="H536" s="225">
        <v>1024.8699999999999</v>
      </c>
      <c r="I536" s="24" t="str">
        <f>UPPER(Tabla11[[#This Row],[Comercial]])</f>
        <v>LUIS VALLE 5431</v>
      </c>
      <c r="J536" s="24" t="str">
        <f>LOWER(Tabla11[[#This Row],[Comercial]])</f>
        <v>luis valle 5431</v>
      </c>
      <c r="K536" s="227" t="str">
        <f>PROPER(Tabla11[[#This Row],[Comercial]])</f>
        <v>Luis Valle 5431</v>
      </c>
      <c r="L536" t="s">
        <v>1507</v>
      </c>
      <c r="M536" t="str">
        <f>RIGHT(Tabla11[[#This Row],[Comercial]],4)</f>
        <v>5431</v>
      </c>
      <c r="N536" t="str">
        <f>LEFT(Tabla11[[#This Row],[Minuscula]],6)</f>
        <v>luis v</v>
      </c>
    </row>
    <row r="537" spans="1:14">
      <c r="A537" s="226">
        <v>1536</v>
      </c>
      <c r="B537" s="224">
        <v>44682</v>
      </c>
      <c r="C537" s="207" t="s">
        <v>1495</v>
      </c>
      <c r="D537" s="207" t="s">
        <v>1494</v>
      </c>
      <c r="E537" s="207" t="s">
        <v>525</v>
      </c>
      <c r="F537" s="225">
        <v>34</v>
      </c>
      <c r="G537" s="225">
        <v>7.14</v>
      </c>
      <c r="H537" s="225">
        <v>41.14</v>
      </c>
      <c r="I537" s="24" t="str">
        <f>UPPER(Tabla11[[#This Row],[Comercial]])</f>
        <v>LUIS VALLE 5431</v>
      </c>
      <c r="J537" s="24" t="str">
        <f>LOWER(Tabla11[[#This Row],[Comercial]])</f>
        <v>luis valle 5431</v>
      </c>
      <c r="K537" s="227" t="str">
        <f>PROPER(Tabla11[[#This Row],[Comercial]])</f>
        <v>Luis Valle 5431</v>
      </c>
      <c r="L537" t="s">
        <v>1507</v>
      </c>
      <c r="M537" t="str">
        <f>RIGHT(Tabla11[[#This Row],[Comercial]],4)</f>
        <v>5431</v>
      </c>
      <c r="N537" t="str">
        <f>LEFT(Tabla11[[#This Row],[Minuscula]],6)</f>
        <v>luis v</v>
      </c>
    </row>
    <row r="538" spans="1:14">
      <c r="A538" s="226">
        <v>1537</v>
      </c>
      <c r="B538" s="224">
        <v>44683</v>
      </c>
      <c r="C538" s="207" t="s">
        <v>1496</v>
      </c>
      <c r="D538" s="207" t="s">
        <v>1497</v>
      </c>
      <c r="E538" s="207" t="s">
        <v>534</v>
      </c>
      <c r="F538" s="225">
        <v>5</v>
      </c>
      <c r="G538" s="225">
        <v>1.05</v>
      </c>
      <c r="H538" s="225">
        <v>6.05</v>
      </c>
      <c r="I538" s="24" t="str">
        <f>UPPER(Tabla11[[#This Row],[Comercial]])</f>
        <v>PABLO LOPEZ 7384</v>
      </c>
      <c r="J538" s="24" t="str">
        <f>LOWER(Tabla11[[#This Row],[Comercial]])</f>
        <v>pablo lopez 7384</v>
      </c>
      <c r="K538" s="227" t="str">
        <f>PROPER(Tabla11[[#This Row],[Comercial]])</f>
        <v>Pablo Lopez 7384</v>
      </c>
      <c r="L538" t="s">
        <v>1508</v>
      </c>
      <c r="M538" t="str">
        <f>RIGHT(Tabla11[[#This Row],[Comercial]],4)</f>
        <v>7384</v>
      </c>
      <c r="N538" t="str">
        <f>LEFT(Tabla11[[#This Row],[Minuscula]],6)</f>
        <v xml:space="preserve">pablo </v>
      </c>
    </row>
    <row r="539" spans="1:14">
      <c r="A539" s="226">
        <v>1538</v>
      </c>
      <c r="B539" s="224">
        <v>44684</v>
      </c>
      <c r="C539" s="207" t="s">
        <v>1496</v>
      </c>
      <c r="D539" s="207" t="s">
        <v>1497</v>
      </c>
      <c r="E539" s="207" t="s">
        <v>518</v>
      </c>
      <c r="F539" s="225">
        <v>28</v>
      </c>
      <c r="G539" s="225">
        <v>5.88</v>
      </c>
      <c r="H539" s="225">
        <v>33.880000000000003</v>
      </c>
      <c r="I539" s="24" t="str">
        <f>UPPER(Tabla11[[#This Row],[Comercial]])</f>
        <v>PABLO LOPEZ 7384</v>
      </c>
      <c r="J539" s="24" t="str">
        <f>LOWER(Tabla11[[#This Row],[Comercial]])</f>
        <v>pablo lopez 7384</v>
      </c>
      <c r="K539" s="227" t="str">
        <f>PROPER(Tabla11[[#This Row],[Comercial]])</f>
        <v>Pablo Lopez 7384</v>
      </c>
      <c r="L539" t="s">
        <v>1508</v>
      </c>
      <c r="M539" t="str">
        <f>RIGHT(Tabla11[[#This Row],[Comercial]],4)</f>
        <v>7384</v>
      </c>
      <c r="N539" t="str">
        <f>LEFT(Tabla11[[#This Row],[Minuscula]],6)</f>
        <v xml:space="preserve">pablo </v>
      </c>
    </row>
    <row r="540" spans="1:14">
      <c r="A540" s="226">
        <v>1539</v>
      </c>
      <c r="B540" s="224">
        <v>44685</v>
      </c>
      <c r="C540" s="207" t="s">
        <v>1496</v>
      </c>
      <c r="D540" s="207" t="s">
        <v>1494</v>
      </c>
      <c r="E540" s="207" t="s">
        <v>518</v>
      </c>
      <c r="F540" s="225">
        <v>156</v>
      </c>
      <c r="G540" s="225">
        <v>32.76</v>
      </c>
      <c r="H540" s="225">
        <v>188.76</v>
      </c>
      <c r="I540" s="24" t="str">
        <f>UPPER(Tabla11[[#This Row],[Comercial]])</f>
        <v>PABLO LOPEZ 7384</v>
      </c>
      <c r="J540" s="24" t="str">
        <f>LOWER(Tabla11[[#This Row],[Comercial]])</f>
        <v>pablo lopez 7384</v>
      </c>
      <c r="K540" s="227" t="str">
        <f>PROPER(Tabla11[[#This Row],[Comercial]])</f>
        <v>Pablo Lopez 7384</v>
      </c>
      <c r="L540" t="s">
        <v>1508</v>
      </c>
      <c r="M540" t="str">
        <f>RIGHT(Tabla11[[#This Row],[Comercial]],4)</f>
        <v>7384</v>
      </c>
      <c r="N540" t="str">
        <f>LEFT(Tabla11[[#This Row],[Minuscula]],6)</f>
        <v xml:space="preserve">pablo </v>
      </c>
    </row>
    <row r="541" spans="1:14">
      <c r="A541" s="226">
        <v>1540</v>
      </c>
      <c r="B541" s="224">
        <v>44685</v>
      </c>
      <c r="C541" s="207" t="s">
        <v>1504</v>
      </c>
      <c r="D541" s="207" t="s">
        <v>1497</v>
      </c>
      <c r="E541" s="207" t="s">
        <v>525</v>
      </c>
      <c r="F541" s="225">
        <v>21</v>
      </c>
      <c r="G541" s="225">
        <v>4.41</v>
      </c>
      <c r="H541" s="225">
        <v>25.41</v>
      </c>
      <c r="I541" s="24" t="str">
        <f>UPPER(Tabla11[[#This Row],[Comercial]])</f>
        <v>MARIA GARCIA 1254</v>
      </c>
      <c r="J541" s="24" t="str">
        <f>LOWER(Tabla11[[#This Row],[Comercial]])</f>
        <v>maria garcia 1254</v>
      </c>
      <c r="K541" s="227" t="str">
        <f>PROPER(Tabla11[[#This Row],[Comercial]])</f>
        <v>Maria Garcia 1254</v>
      </c>
      <c r="L541" t="s">
        <v>1506</v>
      </c>
      <c r="M541" t="str">
        <f>RIGHT(Tabla11[[#This Row],[Comercial]],4)</f>
        <v>1254</v>
      </c>
      <c r="N541" t="str">
        <f>LEFT(Tabla11[[#This Row],[Minuscula]],6)</f>
        <v xml:space="preserve">maria </v>
      </c>
    </row>
    <row r="542" spans="1:14">
      <c r="A542" s="226">
        <v>1541</v>
      </c>
      <c r="B542" s="224">
        <v>44685</v>
      </c>
      <c r="C542" s="207" t="s">
        <v>1500</v>
      </c>
      <c r="D542" s="207" t="s">
        <v>1499</v>
      </c>
      <c r="E542" s="207" t="s">
        <v>530</v>
      </c>
      <c r="F542" s="225">
        <v>16</v>
      </c>
      <c r="G542" s="225">
        <v>3.36</v>
      </c>
      <c r="H542" s="225">
        <v>19.36</v>
      </c>
      <c r="I542" s="24" t="str">
        <f>UPPER(Tabla11[[#This Row],[Comercial]])</f>
        <v>ANA FERNANDEZZ 4321</v>
      </c>
      <c r="J542" s="24" t="str">
        <f>LOWER(Tabla11[[#This Row],[Comercial]])</f>
        <v>ana fernandezz 4321</v>
      </c>
      <c r="K542" s="227" t="str">
        <f>PROPER(Tabla11[[#This Row],[Comercial]])</f>
        <v>Ana Fernandezz 4321</v>
      </c>
      <c r="L542" t="s">
        <v>1509</v>
      </c>
      <c r="M542" t="str">
        <f>RIGHT(Tabla11[[#This Row],[Comercial]],4)</f>
        <v>4321</v>
      </c>
      <c r="N542" t="str">
        <f>LEFT(Tabla11[[#This Row],[Minuscula]],6)</f>
        <v>ana fe</v>
      </c>
    </row>
    <row r="543" spans="1:14">
      <c r="A543" s="226">
        <v>1542</v>
      </c>
      <c r="B543" s="224">
        <v>44686</v>
      </c>
      <c r="C543" s="207" t="s">
        <v>1495</v>
      </c>
      <c r="D543" s="207" t="s">
        <v>1503</v>
      </c>
      <c r="E543" s="207" t="s">
        <v>534</v>
      </c>
      <c r="F543" s="225">
        <v>9</v>
      </c>
      <c r="G543" s="225">
        <v>1.89</v>
      </c>
      <c r="H543" s="225">
        <v>10.89</v>
      </c>
      <c r="I543" s="24" t="str">
        <f>UPPER(Tabla11[[#This Row],[Comercial]])</f>
        <v>LUIS VALLE 5431</v>
      </c>
      <c r="J543" s="24" t="str">
        <f>LOWER(Tabla11[[#This Row],[Comercial]])</f>
        <v>luis valle 5431</v>
      </c>
      <c r="K543" s="227" t="str">
        <f>PROPER(Tabla11[[#This Row],[Comercial]])</f>
        <v>Luis Valle 5431</v>
      </c>
      <c r="L543" t="s">
        <v>1507</v>
      </c>
      <c r="M543" t="str">
        <f>RIGHT(Tabla11[[#This Row],[Comercial]],4)</f>
        <v>5431</v>
      </c>
      <c r="N543" t="str">
        <f>LEFT(Tabla11[[#This Row],[Minuscula]],6)</f>
        <v>luis v</v>
      </c>
    </row>
    <row r="544" spans="1:14">
      <c r="A544" s="226">
        <v>1543</v>
      </c>
      <c r="B544" s="224">
        <v>44686</v>
      </c>
      <c r="C544" s="207" t="s">
        <v>1501</v>
      </c>
      <c r="D544" s="207" t="s">
        <v>1494</v>
      </c>
      <c r="E544" s="207" t="s">
        <v>534</v>
      </c>
      <c r="F544" s="225">
        <v>9</v>
      </c>
      <c r="G544" s="225">
        <v>1.89</v>
      </c>
      <c r="H544" s="225">
        <v>10.89</v>
      </c>
      <c r="I544" s="24" t="str">
        <f>UPPER(Tabla11[[#This Row],[Comercial]])</f>
        <v>MARIO PEREZ 1123</v>
      </c>
      <c r="J544" s="24" t="str">
        <f>LOWER(Tabla11[[#This Row],[Comercial]])</f>
        <v>mario perez 1123</v>
      </c>
      <c r="K544" s="227" t="str">
        <f>PROPER(Tabla11[[#This Row],[Comercial]])</f>
        <v>Mario Perez 1123</v>
      </c>
      <c r="L544" t="s">
        <v>1510</v>
      </c>
      <c r="M544" t="str">
        <f>RIGHT(Tabla11[[#This Row],[Comercial]],4)</f>
        <v>1123</v>
      </c>
      <c r="N544" t="str">
        <f>LEFT(Tabla11[[#This Row],[Minuscula]],6)</f>
        <v xml:space="preserve">mario </v>
      </c>
    </row>
    <row r="545" spans="1:14">
      <c r="A545" s="226">
        <v>1544</v>
      </c>
      <c r="B545" s="224">
        <v>44686</v>
      </c>
      <c r="C545" s="207" t="s">
        <v>1500</v>
      </c>
      <c r="D545" s="207" t="s">
        <v>1499</v>
      </c>
      <c r="E545" s="207" t="s">
        <v>520</v>
      </c>
      <c r="F545" s="225">
        <v>221</v>
      </c>
      <c r="G545" s="225">
        <v>46.41</v>
      </c>
      <c r="H545" s="225">
        <v>267.41000000000003</v>
      </c>
      <c r="I545" s="24" t="str">
        <f>UPPER(Tabla11[[#This Row],[Comercial]])</f>
        <v>ANA FERNANDEZZ 4321</v>
      </c>
      <c r="J545" s="24" t="str">
        <f>LOWER(Tabla11[[#This Row],[Comercial]])</f>
        <v>ana fernandezz 4321</v>
      </c>
      <c r="K545" s="227" t="str">
        <f>PROPER(Tabla11[[#This Row],[Comercial]])</f>
        <v>Ana Fernandezz 4321</v>
      </c>
      <c r="L545" t="s">
        <v>1509</v>
      </c>
      <c r="M545" t="str">
        <f>RIGHT(Tabla11[[#This Row],[Comercial]],4)</f>
        <v>4321</v>
      </c>
      <c r="N545" t="str">
        <f>LEFT(Tabla11[[#This Row],[Minuscula]],6)</f>
        <v>ana fe</v>
      </c>
    </row>
    <row r="546" spans="1:14">
      <c r="A546" s="226">
        <v>1545</v>
      </c>
      <c r="B546" s="224">
        <v>44687</v>
      </c>
      <c r="C546" s="207" t="s">
        <v>1495</v>
      </c>
      <c r="D546" s="207" t="s">
        <v>1494</v>
      </c>
      <c r="E546" s="207" t="s">
        <v>530</v>
      </c>
      <c r="F546" s="225">
        <v>49</v>
      </c>
      <c r="G546" s="225">
        <v>10.29</v>
      </c>
      <c r="H546" s="225">
        <v>59.29</v>
      </c>
      <c r="I546" s="24" t="str">
        <f>UPPER(Tabla11[[#This Row],[Comercial]])</f>
        <v>LUIS VALLE 5431</v>
      </c>
      <c r="J546" s="24" t="str">
        <f>LOWER(Tabla11[[#This Row],[Comercial]])</f>
        <v>luis valle 5431</v>
      </c>
      <c r="K546" s="227" t="str">
        <f>PROPER(Tabla11[[#This Row],[Comercial]])</f>
        <v>Luis Valle 5431</v>
      </c>
      <c r="L546" t="s">
        <v>1507</v>
      </c>
      <c r="M546" t="str">
        <f>RIGHT(Tabla11[[#This Row],[Comercial]],4)</f>
        <v>5431</v>
      </c>
      <c r="N546" t="str">
        <f>LEFT(Tabla11[[#This Row],[Minuscula]],6)</f>
        <v>luis v</v>
      </c>
    </row>
    <row r="547" spans="1:14">
      <c r="A547" s="226">
        <v>1546</v>
      </c>
      <c r="B547" s="224">
        <v>44688</v>
      </c>
      <c r="C547" s="207" t="s">
        <v>1504</v>
      </c>
      <c r="D547" s="207" t="s">
        <v>1502</v>
      </c>
      <c r="E547" s="207" t="s">
        <v>530</v>
      </c>
      <c r="F547" s="225">
        <v>21</v>
      </c>
      <c r="G547" s="225">
        <v>4.41</v>
      </c>
      <c r="H547" s="225">
        <v>25.41</v>
      </c>
      <c r="I547" s="24" t="str">
        <f>UPPER(Tabla11[[#This Row],[Comercial]])</f>
        <v>MARIA GARCIA 1254</v>
      </c>
      <c r="J547" s="24" t="str">
        <f>LOWER(Tabla11[[#This Row],[Comercial]])</f>
        <v>maria garcia 1254</v>
      </c>
      <c r="K547" s="227" t="str">
        <f>PROPER(Tabla11[[#This Row],[Comercial]])</f>
        <v>Maria Garcia 1254</v>
      </c>
      <c r="L547" t="s">
        <v>1506</v>
      </c>
      <c r="M547" t="str">
        <f>RIGHT(Tabla11[[#This Row],[Comercial]],4)</f>
        <v>1254</v>
      </c>
      <c r="N547" t="str">
        <f>LEFT(Tabla11[[#This Row],[Minuscula]],6)</f>
        <v xml:space="preserve">maria </v>
      </c>
    </row>
    <row r="548" spans="1:14">
      <c r="A548" s="226">
        <v>1547</v>
      </c>
      <c r="B548" s="224">
        <v>44689</v>
      </c>
      <c r="C548" s="207" t="s">
        <v>1504</v>
      </c>
      <c r="D548" s="207" t="s">
        <v>1499</v>
      </c>
      <c r="E548" s="207" t="s">
        <v>534</v>
      </c>
      <c r="F548" s="225">
        <v>8</v>
      </c>
      <c r="G548" s="225">
        <v>1.68</v>
      </c>
      <c r="H548" s="225">
        <v>9.68</v>
      </c>
      <c r="I548" s="24" t="str">
        <f>UPPER(Tabla11[[#This Row],[Comercial]])</f>
        <v>MARIA GARCIA 1254</v>
      </c>
      <c r="J548" s="24" t="str">
        <f>LOWER(Tabla11[[#This Row],[Comercial]])</f>
        <v>maria garcia 1254</v>
      </c>
      <c r="K548" s="227" t="str">
        <f>PROPER(Tabla11[[#This Row],[Comercial]])</f>
        <v>Maria Garcia 1254</v>
      </c>
      <c r="L548" t="s">
        <v>1506</v>
      </c>
      <c r="M548" t="str">
        <f>RIGHT(Tabla11[[#This Row],[Comercial]],4)</f>
        <v>1254</v>
      </c>
      <c r="N548" t="str">
        <f>LEFT(Tabla11[[#This Row],[Minuscula]],6)</f>
        <v xml:space="preserve">maria </v>
      </c>
    </row>
    <row r="549" spans="1:14">
      <c r="A549" s="226">
        <v>1548</v>
      </c>
      <c r="B549" s="224">
        <v>44689</v>
      </c>
      <c r="C549" s="207" t="s">
        <v>1504</v>
      </c>
      <c r="D549" s="207" t="s">
        <v>1503</v>
      </c>
      <c r="E549" s="207" t="s">
        <v>518</v>
      </c>
      <c r="F549" s="225">
        <v>229</v>
      </c>
      <c r="G549" s="225">
        <v>48.09</v>
      </c>
      <c r="H549" s="225">
        <v>277.08999999999997</v>
      </c>
      <c r="I549" s="24" t="str">
        <f>UPPER(Tabla11[[#This Row],[Comercial]])</f>
        <v>MARIA GARCIA 1254</v>
      </c>
      <c r="J549" s="24" t="str">
        <f>LOWER(Tabla11[[#This Row],[Comercial]])</f>
        <v>maria garcia 1254</v>
      </c>
      <c r="K549" s="227" t="str">
        <f>PROPER(Tabla11[[#This Row],[Comercial]])</f>
        <v>Maria Garcia 1254</v>
      </c>
      <c r="L549" t="s">
        <v>1506</v>
      </c>
      <c r="M549" t="str">
        <f>RIGHT(Tabla11[[#This Row],[Comercial]],4)</f>
        <v>1254</v>
      </c>
      <c r="N549" t="str">
        <f>LEFT(Tabla11[[#This Row],[Minuscula]],6)</f>
        <v xml:space="preserve">maria </v>
      </c>
    </row>
    <row r="550" spans="1:14">
      <c r="A550" s="226">
        <v>1549</v>
      </c>
      <c r="B550" s="224">
        <v>44689</v>
      </c>
      <c r="C550" s="207" t="s">
        <v>1500</v>
      </c>
      <c r="D550" s="207" t="s">
        <v>1497</v>
      </c>
      <c r="E550" s="207" t="s">
        <v>530</v>
      </c>
      <c r="F550" s="225">
        <v>19</v>
      </c>
      <c r="G550" s="225">
        <v>3.99</v>
      </c>
      <c r="H550" s="225">
        <v>22.99</v>
      </c>
      <c r="I550" s="24" t="str">
        <f>UPPER(Tabla11[[#This Row],[Comercial]])</f>
        <v>ANA FERNANDEZZ 4321</v>
      </c>
      <c r="J550" s="24" t="str">
        <f>LOWER(Tabla11[[#This Row],[Comercial]])</f>
        <v>ana fernandezz 4321</v>
      </c>
      <c r="K550" s="227" t="str">
        <f>PROPER(Tabla11[[#This Row],[Comercial]])</f>
        <v>Ana Fernandezz 4321</v>
      </c>
      <c r="L550" t="s">
        <v>1509</v>
      </c>
      <c r="M550" t="str">
        <f>RIGHT(Tabla11[[#This Row],[Comercial]],4)</f>
        <v>4321</v>
      </c>
      <c r="N550" t="str">
        <f>LEFT(Tabla11[[#This Row],[Minuscula]],6)</f>
        <v>ana fe</v>
      </c>
    </row>
    <row r="551" spans="1:14">
      <c r="A551" s="226">
        <v>1550</v>
      </c>
      <c r="B551" s="224">
        <v>44690</v>
      </c>
      <c r="C551" s="207" t="s">
        <v>1496</v>
      </c>
      <c r="D551" s="207" t="s">
        <v>1499</v>
      </c>
      <c r="E551" s="207" t="s">
        <v>518</v>
      </c>
      <c r="F551" s="225">
        <v>72</v>
      </c>
      <c r="G551" s="225">
        <v>15.12</v>
      </c>
      <c r="H551" s="225">
        <v>87.12</v>
      </c>
      <c r="I551" s="24" t="str">
        <f>UPPER(Tabla11[[#This Row],[Comercial]])</f>
        <v>PABLO LOPEZ 7384</v>
      </c>
      <c r="J551" s="24" t="str">
        <f>LOWER(Tabla11[[#This Row],[Comercial]])</f>
        <v>pablo lopez 7384</v>
      </c>
      <c r="K551" s="227" t="str">
        <f>PROPER(Tabla11[[#This Row],[Comercial]])</f>
        <v>Pablo Lopez 7384</v>
      </c>
      <c r="L551" t="s">
        <v>1508</v>
      </c>
      <c r="M551" t="str">
        <f>RIGHT(Tabla11[[#This Row],[Comercial]],4)</f>
        <v>7384</v>
      </c>
      <c r="N551" t="str">
        <f>LEFT(Tabla11[[#This Row],[Minuscula]],6)</f>
        <v xml:space="preserve">pablo </v>
      </c>
    </row>
    <row r="552" spans="1:14">
      <c r="A552" s="226">
        <v>1551</v>
      </c>
      <c r="B552" s="224">
        <v>44694</v>
      </c>
      <c r="C552" s="207" t="s">
        <v>1495</v>
      </c>
      <c r="D552" s="207" t="s">
        <v>1497</v>
      </c>
      <c r="E552" s="207" t="s">
        <v>520</v>
      </c>
      <c r="F552" s="225">
        <v>202</v>
      </c>
      <c r="G552" s="225">
        <v>42.42</v>
      </c>
      <c r="H552" s="225">
        <v>244.42</v>
      </c>
      <c r="I552" s="24" t="str">
        <f>UPPER(Tabla11[[#This Row],[Comercial]])</f>
        <v>LUIS VALLE 5431</v>
      </c>
      <c r="J552" s="24" t="str">
        <f>LOWER(Tabla11[[#This Row],[Comercial]])</f>
        <v>luis valle 5431</v>
      </c>
      <c r="K552" s="227" t="str">
        <f>PROPER(Tabla11[[#This Row],[Comercial]])</f>
        <v>Luis Valle 5431</v>
      </c>
      <c r="L552" t="s">
        <v>1507</v>
      </c>
      <c r="M552" t="str">
        <f>RIGHT(Tabla11[[#This Row],[Comercial]],4)</f>
        <v>5431</v>
      </c>
      <c r="N552" t="str">
        <f>LEFT(Tabla11[[#This Row],[Minuscula]],6)</f>
        <v>luis v</v>
      </c>
    </row>
    <row r="553" spans="1:14">
      <c r="A553" s="226">
        <v>1552</v>
      </c>
      <c r="B553" s="224">
        <v>44694</v>
      </c>
      <c r="C553" s="207" t="s">
        <v>1495</v>
      </c>
      <c r="D553" s="207" t="s">
        <v>1499</v>
      </c>
      <c r="E553" s="207" t="s">
        <v>525</v>
      </c>
      <c r="F553" s="225">
        <v>15</v>
      </c>
      <c r="G553" s="225">
        <v>3.15</v>
      </c>
      <c r="H553" s="225">
        <v>18.149999999999999</v>
      </c>
      <c r="I553" s="24" t="str">
        <f>UPPER(Tabla11[[#This Row],[Comercial]])</f>
        <v>LUIS VALLE 5431</v>
      </c>
      <c r="J553" s="24" t="str">
        <f>LOWER(Tabla11[[#This Row],[Comercial]])</f>
        <v>luis valle 5431</v>
      </c>
      <c r="K553" s="227" t="str">
        <f>PROPER(Tabla11[[#This Row],[Comercial]])</f>
        <v>Luis Valle 5431</v>
      </c>
      <c r="L553" t="s">
        <v>1507</v>
      </c>
      <c r="M553" t="str">
        <f>RIGHT(Tabla11[[#This Row],[Comercial]],4)</f>
        <v>5431</v>
      </c>
      <c r="N553" t="str">
        <f>LEFT(Tabla11[[#This Row],[Minuscula]],6)</f>
        <v>luis v</v>
      </c>
    </row>
    <row r="554" spans="1:14">
      <c r="A554" s="226">
        <v>1553</v>
      </c>
      <c r="B554" s="224">
        <v>44694</v>
      </c>
      <c r="C554" s="207" t="s">
        <v>1500</v>
      </c>
      <c r="D554" s="207" t="s">
        <v>1499</v>
      </c>
      <c r="E554" s="207" t="s">
        <v>525</v>
      </c>
      <c r="F554" s="225">
        <v>14</v>
      </c>
      <c r="G554" s="225">
        <v>2.94</v>
      </c>
      <c r="H554" s="225">
        <v>16.940000000000001</v>
      </c>
      <c r="I554" s="24" t="str">
        <f>UPPER(Tabla11[[#This Row],[Comercial]])</f>
        <v>ANA FERNANDEZZ 4321</v>
      </c>
      <c r="J554" s="24" t="str">
        <f>LOWER(Tabla11[[#This Row],[Comercial]])</f>
        <v>ana fernandezz 4321</v>
      </c>
      <c r="K554" s="227" t="str">
        <f>PROPER(Tabla11[[#This Row],[Comercial]])</f>
        <v>Ana Fernandezz 4321</v>
      </c>
      <c r="L554" t="s">
        <v>1509</v>
      </c>
      <c r="M554" t="str">
        <f>RIGHT(Tabla11[[#This Row],[Comercial]],4)</f>
        <v>4321</v>
      </c>
      <c r="N554" t="str">
        <f>LEFT(Tabla11[[#This Row],[Minuscula]],6)</f>
        <v>ana fe</v>
      </c>
    </row>
    <row r="555" spans="1:14">
      <c r="A555" s="226">
        <v>1554</v>
      </c>
      <c r="B555" s="224">
        <v>44694</v>
      </c>
      <c r="C555" s="207" t="s">
        <v>1495</v>
      </c>
      <c r="D555" s="207" t="s">
        <v>1503</v>
      </c>
      <c r="E555" s="207" t="s">
        <v>525</v>
      </c>
      <c r="F555" s="225">
        <v>44</v>
      </c>
      <c r="G555" s="225">
        <v>9.24</v>
      </c>
      <c r="H555" s="225">
        <v>53.24</v>
      </c>
      <c r="I555" s="24" t="str">
        <f>UPPER(Tabla11[[#This Row],[Comercial]])</f>
        <v>LUIS VALLE 5431</v>
      </c>
      <c r="J555" s="24" t="str">
        <f>LOWER(Tabla11[[#This Row],[Comercial]])</f>
        <v>luis valle 5431</v>
      </c>
      <c r="K555" s="227" t="str">
        <f>PROPER(Tabla11[[#This Row],[Comercial]])</f>
        <v>Luis Valle 5431</v>
      </c>
      <c r="L555" t="s">
        <v>1507</v>
      </c>
      <c r="M555" t="str">
        <f>RIGHT(Tabla11[[#This Row],[Comercial]],4)</f>
        <v>5431</v>
      </c>
      <c r="N555" t="str">
        <f>LEFT(Tabla11[[#This Row],[Minuscula]],6)</f>
        <v>luis v</v>
      </c>
    </row>
    <row r="556" spans="1:14">
      <c r="A556" s="226">
        <v>1555</v>
      </c>
      <c r="B556" s="224">
        <v>44695</v>
      </c>
      <c r="C556" s="207" t="s">
        <v>1495</v>
      </c>
      <c r="D556" s="207" t="s">
        <v>1494</v>
      </c>
      <c r="E556" s="207" t="s">
        <v>530</v>
      </c>
      <c r="F556" s="225">
        <v>34</v>
      </c>
      <c r="G556" s="225">
        <v>7.14</v>
      </c>
      <c r="H556" s="225">
        <v>41.14</v>
      </c>
      <c r="I556" s="24" t="str">
        <f>UPPER(Tabla11[[#This Row],[Comercial]])</f>
        <v>LUIS VALLE 5431</v>
      </c>
      <c r="J556" s="24" t="str">
        <f>LOWER(Tabla11[[#This Row],[Comercial]])</f>
        <v>luis valle 5431</v>
      </c>
      <c r="K556" s="227" t="str">
        <f>PROPER(Tabla11[[#This Row],[Comercial]])</f>
        <v>Luis Valle 5431</v>
      </c>
      <c r="L556" t="s">
        <v>1507</v>
      </c>
      <c r="M556" t="str">
        <f>RIGHT(Tabla11[[#This Row],[Comercial]],4)</f>
        <v>5431</v>
      </c>
      <c r="N556" t="str">
        <f>LEFT(Tabla11[[#This Row],[Minuscula]],6)</f>
        <v>luis v</v>
      </c>
    </row>
    <row r="557" spans="1:14">
      <c r="A557" s="226">
        <v>1556</v>
      </c>
      <c r="B557" s="224">
        <v>44695</v>
      </c>
      <c r="C557" s="207" t="s">
        <v>1500</v>
      </c>
      <c r="D557" s="207" t="s">
        <v>1497</v>
      </c>
      <c r="E557" s="207" t="s">
        <v>534</v>
      </c>
      <c r="F557" s="225">
        <v>7</v>
      </c>
      <c r="G557" s="225">
        <v>1.47</v>
      </c>
      <c r="H557" s="225">
        <v>8.4700000000000006</v>
      </c>
      <c r="I557" s="24" t="str">
        <f>UPPER(Tabla11[[#This Row],[Comercial]])</f>
        <v>ANA FERNANDEZZ 4321</v>
      </c>
      <c r="J557" s="24" t="str">
        <f>LOWER(Tabla11[[#This Row],[Comercial]])</f>
        <v>ana fernandezz 4321</v>
      </c>
      <c r="K557" s="227" t="str">
        <f>PROPER(Tabla11[[#This Row],[Comercial]])</f>
        <v>Ana Fernandezz 4321</v>
      </c>
      <c r="L557" t="s">
        <v>1509</v>
      </c>
      <c r="M557" t="str">
        <f>RIGHT(Tabla11[[#This Row],[Comercial]],4)</f>
        <v>4321</v>
      </c>
      <c r="N557" t="str">
        <f>LEFT(Tabla11[[#This Row],[Minuscula]],6)</f>
        <v>ana fe</v>
      </c>
    </row>
    <row r="558" spans="1:14">
      <c r="A558" s="226">
        <v>1557</v>
      </c>
      <c r="B558" s="224">
        <v>44696</v>
      </c>
      <c r="C558" s="207" t="s">
        <v>1500</v>
      </c>
      <c r="D558" s="207" t="s">
        <v>1497</v>
      </c>
      <c r="E558" s="207" t="s">
        <v>525</v>
      </c>
      <c r="F558" s="225">
        <v>15</v>
      </c>
      <c r="G558" s="225">
        <v>3.15</v>
      </c>
      <c r="H558" s="225">
        <v>18.149999999999999</v>
      </c>
      <c r="I558" s="24" t="str">
        <f>UPPER(Tabla11[[#This Row],[Comercial]])</f>
        <v>ANA FERNANDEZZ 4321</v>
      </c>
      <c r="J558" s="24" t="str">
        <f>LOWER(Tabla11[[#This Row],[Comercial]])</f>
        <v>ana fernandezz 4321</v>
      </c>
      <c r="K558" s="227" t="str">
        <f>PROPER(Tabla11[[#This Row],[Comercial]])</f>
        <v>Ana Fernandezz 4321</v>
      </c>
      <c r="L558" t="s">
        <v>1509</v>
      </c>
      <c r="M558" t="str">
        <f>RIGHT(Tabla11[[#This Row],[Comercial]],4)</f>
        <v>4321</v>
      </c>
      <c r="N558" t="str">
        <f>LEFT(Tabla11[[#This Row],[Minuscula]],6)</f>
        <v>ana fe</v>
      </c>
    </row>
    <row r="559" spans="1:14">
      <c r="A559" s="226">
        <v>1558</v>
      </c>
      <c r="B559" s="224">
        <v>44696</v>
      </c>
      <c r="C559" s="207" t="s">
        <v>1500</v>
      </c>
      <c r="D559" s="207" t="s">
        <v>1497</v>
      </c>
      <c r="E559" s="207" t="s">
        <v>534</v>
      </c>
      <c r="F559" s="225">
        <v>6</v>
      </c>
      <c r="G559" s="225">
        <v>1.26</v>
      </c>
      <c r="H559" s="225">
        <v>7.26</v>
      </c>
      <c r="I559" s="24" t="str">
        <f>UPPER(Tabla11[[#This Row],[Comercial]])</f>
        <v>ANA FERNANDEZZ 4321</v>
      </c>
      <c r="J559" s="24" t="str">
        <f>LOWER(Tabla11[[#This Row],[Comercial]])</f>
        <v>ana fernandezz 4321</v>
      </c>
      <c r="K559" s="227" t="str">
        <f>PROPER(Tabla11[[#This Row],[Comercial]])</f>
        <v>Ana Fernandezz 4321</v>
      </c>
      <c r="L559" t="s">
        <v>1509</v>
      </c>
      <c r="M559" t="str">
        <f>RIGHT(Tabla11[[#This Row],[Comercial]],4)</f>
        <v>4321</v>
      </c>
      <c r="N559" t="str">
        <f>LEFT(Tabla11[[#This Row],[Minuscula]],6)</f>
        <v>ana fe</v>
      </c>
    </row>
    <row r="560" spans="1:14">
      <c r="A560" s="226">
        <v>1559</v>
      </c>
      <c r="B560" s="224">
        <v>44699</v>
      </c>
      <c r="C560" s="207" t="s">
        <v>1504</v>
      </c>
      <c r="D560" s="207" t="s">
        <v>1497</v>
      </c>
      <c r="E560" s="207" t="s">
        <v>525</v>
      </c>
      <c r="F560" s="225">
        <v>9</v>
      </c>
      <c r="G560" s="225">
        <v>1.89</v>
      </c>
      <c r="H560" s="225">
        <v>10.89</v>
      </c>
      <c r="I560" s="24" t="str">
        <f>UPPER(Tabla11[[#This Row],[Comercial]])</f>
        <v>MARIA GARCIA 1254</v>
      </c>
      <c r="J560" s="24" t="str">
        <f>LOWER(Tabla11[[#This Row],[Comercial]])</f>
        <v>maria garcia 1254</v>
      </c>
      <c r="K560" s="227" t="str">
        <f>PROPER(Tabla11[[#This Row],[Comercial]])</f>
        <v>Maria Garcia 1254</v>
      </c>
      <c r="L560" t="s">
        <v>1506</v>
      </c>
      <c r="M560" t="str">
        <f>RIGHT(Tabla11[[#This Row],[Comercial]],4)</f>
        <v>1254</v>
      </c>
      <c r="N560" t="str">
        <f>LEFT(Tabla11[[#This Row],[Minuscula]],6)</f>
        <v xml:space="preserve">maria </v>
      </c>
    </row>
    <row r="561" spans="1:14">
      <c r="A561" s="226">
        <v>1560</v>
      </c>
      <c r="B561" s="224">
        <v>44699</v>
      </c>
      <c r="C561" s="207" t="s">
        <v>1504</v>
      </c>
      <c r="D561" s="207" t="s">
        <v>1499</v>
      </c>
      <c r="E561" s="207" t="s">
        <v>520</v>
      </c>
      <c r="F561" s="225">
        <v>262</v>
      </c>
      <c r="G561" s="225">
        <v>55.02</v>
      </c>
      <c r="H561" s="225">
        <v>317.02</v>
      </c>
      <c r="I561" s="24" t="str">
        <f>UPPER(Tabla11[[#This Row],[Comercial]])</f>
        <v>MARIA GARCIA 1254</v>
      </c>
      <c r="J561" s="24" t="str">
        <f>LOWER(Tabla11[[#This Row],[Comercial]])</f>
        <v>maria garcia 1254</v>
      </c>
      <c r="K561" s="227" t="str">
        <f>PROPER(Tabla11[[#This Row],[Comercial]])</f>
        <v>Maria Garcia 1254</v>
      </c>
      <c r="L561" t="s">
        <v>1506</v>
      </c>
      <c r="M561" t="str">
        <f>RIGHT(Tabla11[[#This Row],[Comercial]],4)</f>
        <v>1254</v>
      </c>
      <c r="N561" t="str">
        <f>LEFT(Tabla11[[#This Row],[Minuscula]],6)</f>
        <v xml:space="preserve">maria </v>
      </c>
    </row>
    <row r="562" spans="1:14">
      <c r="A562" s="226">
        <v>1561</v>
      </c>
      <c r="B562" s="224">
        <v>44700</v>
      </c>
      <c r="C562" s="207" t="s">
        <v>1501</v>
      </c>
      <c r="D562" s="207" t="s">
        <v>1503</v>
      </c>
      <c r="E562" s="207" t="s">
        <v>518</v>
      </c>
      <c r="F562" s="225">
        <v>272</v>
      </c>
      <c r="G562" s="225">
        <v>57.12</v>
      </c>
      <c r="H562" s="225">
        <v>329.12</v>
      </c>
      <c r="I562" s="24" t="str">
        <f>UPPER(Tabla11[[#This Row],[Comercial]])</f>
        <v>MARIO PEREZ 1123</v>
      </c>
      <c r="J562" s="24" t="str">
        <f>LOWER(Tabla11[[#This Row],[Comercial]])</f>
        <v>mario perez 1123</v>
      </c>
      <c r="K562" s="227" t="str">
        <f>PROPER(Tabla11[[#This Row],[Comercial]])</f>
        <v>Mario Perez 1123</v>
      </c>
      <c r="L562" t="s">
        <v>1510</v>
      </c>
      <c r="M562" t="str">
        <f>RIGHT(Tabla11[[#This Row],[Comercial]],4)</f>
        <v>1123</v>
      </c>
      <c r="N562" t="str">
        <f>LEFT(Tabla11[[#This Row],[Minuscula]],6)</f>
        <v xml:space="preserve">mario </v>
      </c>
    </row>
    <row r="563" spans="1:14">
      <c r="A563" s="226">
        <v>1562</v>
      </c>
      <c r="B563" s="224">
        <v>44700</v>
      </c>
      <c r="C563" s="207" t="s">
        <v>1495</v>
      </c>
      <c r="D563" s="207" t="s">
        <v>1502</v>
      </c>
      <c r="E563" s="207" t="s">
        <v>520</v>
      </c>
      <c r="F563" s="225">
        <v>121</v>
      </c>
      <c r="G563" s="225">
        <v>25.41</v>
      </c>
      <c r="H563" s="225">
        <v>146.41</v>
      </c>
      <c r="I563" s="24" t="str">
        <f>UPPER(Tabla11[[#This Row],[Comercial]])</f>
        <v>LUIS VALLE 5431</v>
      </c>
      <c r="J563" s="24" t="str">
        <f>LOWER(Tabla11[[#This Row],[Comercial]])</f>
        <v>luis valle 5431</v>
      </c>
      <c r="K563" s="227" t="str">
        <f>PROPER(Tabla11[[#This Row],[Comercial]])</f>
        <v>Luis Valle 5431</v>
      </c>
      <c r="L563" t="s">
        <v>1507</v>
      </c>
      <c r="M563" t="str">
        <f>RIGHT(Tabla11[[#This Row],[Comercial]],4)</f>
        <v>5431</v>
      </c>
      <c r="N563" t="str">
        <f>LEFT(Tabla11[[#This Row],[Minuscula]],6)</f>
        <v>luis v</v>
      </c>
    </row>
    <row r="564" spans="1:14">
      <c r="A564" s="226">
        <v>1563</v>
      </c>
      <c r="B564" s="224">
        <v>44700</v>
      </c>
      <c r="C564" s="207" t="s">
        <v>1504</v>
      </c>
      <c r="D564" s="207" t="s">
        <v>1494</v>
      </c>
      <c r="E564" s="207" t="s">
        <v>530</v>
      </c>
      <c r="F564" s="225">
        <v>23</v>
      </c>
      <c r="G564" s="225">
        <v>4.83</v>
      </c>
      <c r="H564" s="225">
        <v>27.83</v>
      </c>
      <c r="I564" s="24" t="str">
        <f>UPPER(Tabla11[[#This Row],[Comercial]])</f>
        <v>MARIA GARCIA 1254</v>
      </c>
      <c r="J564" s="24" t="str">
        <f>LOWER(Tabla11[[#This Row],[Comercial]])</f>
        <v>maria garcia 1254</v>
      </c>
      <c r="K564" s="227" t="str">
        <f>PROPER(Tabla11[[#This Row],[Comercial]])</f>
        <v>Maria Garcia 1254</v>
      </c>
      <c r="L564" t="s">
        <v>1506</v>
      </c>
      <c r="M564" t="str">
        <f>RIGHT(Tabla11[[#This Row],[Comercial]],4)</f>
        <v>1254</v>
      </c>
      <c r="N564" t="str">
        <f>LEFT(Tabla11[[#This Row],[Minuscula]],6)</f>
        <v xml:space="preserve">maria </v>
      </c>
    </row>
    <row r="565" spans="1:14">
      <c r="A565" s="226">
        <v>1564</v>
      </c>
      <c r="B565" s="224">
        <v>44700</v>
      </c>
      <c r="C565" s="207" t="s">
        <v>1500</v>
      </c>
      <c r="D565" s="207" t="s">
        <v>1503</v>
      </c>
      <c r="E565" s="207" t="s">
        <v>520</v>
      </c>
      <c r="F565" s="225">
        <v>1069</v>
      </c>
      <c r="G565" s="225">
        <v>224.49</v>
      </c>
      <c r="H565" s="225">
        <v>1293.49</v>
      </c>
      <c r="I565" s="24" t="str">
        <f>UPPER(Tabla11[[#This Row],[Comercial]])</f>
        <v>ANA FERNANDEZZ 4321</v>
      </c>
      <c r="J565" s="24" t="str">
        <f>LOWER(Tabla11[[#This Row],[Comercial]])</f>
        <v>ana fernandezz 4321</v>
      </c>
      <c r="K565" s="227" t="str">
        <f>PROPER(Tabla11[[#This Row],[Comercial]])</f>
        <v>Ana Fernandezz 4321</v>
      </c>
      <c r="L565" t="s">
        <v>1509</v>
      </c>
      <c r="M565" t="str">
        <f>RIGHT(Tabla11[[#This Row],[Comercial]],4)</f>
        <v>4321</v>
      </c>
      <c r="N565" t="str">
        <f>LEFT(Tabla11[[#This Row],[Minuscula]],6)</f>
        <v>ana fe</v>
      </c>
    </row>
    <row r="566" spans="1:14">
      <c r="A566" s="226">
        <v>1565</v>
      </c>
      <c r="B566" s="224">
        <v>44702</v>
      </c>
      <c r="C566" s="207" t="s">
        <v>1504</v>
      </c>
      <c r="D566" s="207" t="s">
        <v>1497</v>
      </c>
      <c r="E566" s="207" t="s">
        <v>534</v>
      </c>
      <c r="F566" s="225">
        <v>9</v>
      </c>
      <c r="G566" s="225">
        <v>1.89</v>
      </c>
      <c r="H566" s="225">
        <v>10.89</v>
      </c>
      <c r="I566" s="24" t="str">
        <f>UPPER(Tabla11[[#This Row],[Comercial]])</f>
        <v>MARIA GARCIA 1254</v>
      </c>
      <c r="J566" s="24" t="str">
        <f>LOWER(Tabla11[[#This Row],[Comercial]])</f>
        <v>maria garcia 1254</v>
      </c>
      <c r="K566" s="227" t="str">
        <f>PROPER(Tabla11[[#This Row],[Comercial]])</f>
        <v>Maria Garcia 1254</v>
      </c>
      <c r="L566" t="s">
        <v>1506</v>
      </c>
      <c r="M566" t="str">
        <f>RIGHT(Tabla11[[#This Row],[Comercial]],4)</f>
        <v>1254</v>
      </c>
      <c r="N566" t="str">
        <f>LEFT(Tabla11[[#This Row],[Minuscula]],6)</f>
        <v xml:space="preserve">maria </v>
      </c>
    </row>
    <row r="567" spans="1:14">
      <c r="A567" s="226">
        <v>1566</v>
      </c>
      <c r="B567" s="224">
        <v>44702</v>
      </c>
      <c r="C567" s="207" t="s">
        <v>1496</v>
      </c>
      <c r="D567" s="207" t="s">
        <v>1494</v>
      </c>
      <c r="E567" s="207" t="s">
        <v>530</v>
      </c>
      <c r="F567" s="225">
        <v>49</v>
      </c>
      <c r="G567" s="225">
        <v>10.29</v>
      </c>
      <c r="H567" s="225">
        <v>59.29</v>
      </c>
      <c r="I567" s="24" t="str">
        <f>UPPER(Tabla11[[#This Row],[Comercial]])</f>
        <v>PABLO LOPEZ 7384</v>
      </c>
      <c r="J567" s="24" t="str">
        <f>LOWER(Tabla11[[#This Row],[Comercial]])</f>
        <v>pablo lopez 7384</v>
      </c>
      <c r="K567" s="227" t="str">
        <f>PROPER(Tabla11[[#This Row],[Comercial]])</f>
        <v>Pablo Lopez 7384</v>
      </c>
      <c r="L567" t="s">
        <v>1508</v>
      </c>
      <c r="M567" t="str">
        <f>RIGHT(Tabla11[[#This Row],[Comercial]],4)</f>
        <v>7384</v>
      </c>
      <c r="N567" t="str">
        <f>LEFT(Tabla11[[#This Row],[Minuscula]],6)</f>
        <v xml:space="preserve">pablo </v>
      </c>
    </row>
    <row r="568" spans="1:14">
      <c r="A568" s="226">
        <v>1567</v>
      </c>
      <c r="B568" s="224">
        <v>44703</v>
      </c>
      <c r="C568" s="207" t="s">
        <v>1496</v>
      </c>
      <c r="D568" s="207" t="s">
        <v>1494</v>
      </c>
      <c r="E568" s="207" t="s">
        <v>534</v>
      </c>
      <c r="F568" s="225">
        <v>9</v>
      </c>
      <c r="G568" s="225">
        <v>1.89</v>
      </c>
      <c r="H568" s="225">
        <v>10.89</v>
      </c>
      <c r="I568" s="24" t="str">
        <f>UPPER(Tabla11[[#This Row],[Comercial]])</f>
        <v>PABLO LOPEZ 7384</v>
      </c>
      <c r="J568" s="24" t="str">
        <f>LOWER(Tabla11[[#This Row],[Comercial]])</f>
        <v>pablo lopez 7384</v>
      </c>
      <c r="K568" s="227" t="str">
        <f>PROPER(Tabla11[[#This Row],[Comercial]])</f>
        <v>Pablo Lopez 7384</v>
      </c>
      <c r="L568" t="s">
        <v>1508</v>
      </c>
      <c r="M568" t="str">
        <f>RIGHT(Tabla11[[#This Row],[Comercial]],4)</f>
        <v>7384</v>
      </c>
      <c r="N568" t="str">
        <f>LEFT(Tabla11[[#This Row],[Minuscula]],6)</f>
        <v xml:space="preserve">pablo </v>
      </c>
    </row>
    <row r="569" spans="1:14">
      <c r="A569" s="226">
        <v>1568</v>
      </c>
      <c r="B569" s="224">
        <v>44703</v>
      </c>
      <c r="C569" s="207" t="s">
        <v>1500</v>
      </c>
      <c r="D569" s="207" t="s">
        <v>1499</v>
      </c>
      <c r="E569" s="207" t="s">
        <v>525</v>
      </c>
      <c r="F569" s="225">
        <v>18</v>
      </c>
      <c r="G569" s="225">
        <v>3.78</v>
      </c>
      <c r="H569" s="225">
        <v>21.78</v>
      </c>
      <c r="I569" s="24" t="str">
        <f>UPPER(Tabla11[[#This Row],[Comercial]])</f>
        <v>ANA FERNANDEZZ 4321</v>
      </c>
      <c r="J569" s="24" t="str">
        <f>LOWER(Tabla11[[#This Row],[Comercial]])</f>
        <v>ana fernandezz 4321</v>
      </c>
      <c r="K569" s="227" t="str">
        <f>PROPER(Tabla11[[#This Row],[Comercial]])</f>
        <v>Ana Fernandezz 4321</v>
      </c>
      <c r="L569" t="s">
        <v>1509</v>
      </c>
      <c r="M569" t="str">
        <f>RIGHT(Tabla11[[#This Row],[Comercial]],4)</f>
        <v>4321</v>
      </c>
      <c r="N569" t="str">
        <f>LEFT(Tabla11[[#This Row],[Minuscula]],6)</f>
        <v>ana fe</v>
      </c>
    </row>
    <row r="570" spans="1:14">
      <c r="A570" s="226">
        <v>1569</v>
      </c>
      <c r="B570" s="224">
        <v>44704</v>
      </c>
      <c r="C570" s="207" t="s">
        <v>1500</v>
      </c>
      <c r="D570" s="207" t="s">
        <v>1497</v>
      </c>
      <c r="E570" s="207" t="s">
        <v>525</v>
      </c>
      <c r="F570" s="225">
        <v>14</v>
      </c>
      <c r="G570" s="225">
        <v>2.94</v>
      </c>
      <c r="H570" s="225">
        <v>16.940000000000001</v>
      </c>
      <c r="I570" s="24" t="str">
        <f>UPPER(Tabla11[[#This Row],[Comercial]])</f>
        <v>ANA FERNANDEZZ 4321</v>
      </c>
      <c r="J570" s="24" t="str">
        <f>LOWER(Tabla11[[#This Row],[Comercial]])</f>
        <v>ana fernandezz 4321</v>
      </c>
      <c r="K570" s="227" t="str">
        <f>PROPER(Tabla11[[#This Row],[Comercial]])</f>
        <v>Ana Fernandezz 4321</v>
      </c>
      <c r="L570" t="s">
        <v>1509</v>
      </c>
      <c r="M570" t="str">
        <f>RIGHT(Tabla11[[#This Row],[Comercial]],4)</f>
        <v>4321</v>
      </c>
      <c r="N570" t="str">
        <f>LEFT(Tabla11[[#This Row],[Minuscula]],6)</f>
        <v>ana fe</v>
      </c>
    </row>
    <row r="571" spans="1:14">
      <c r="A571" s="226">
        <v>1570</v>
      </c>
      <c r="B571" s="224">
        <v>44704</v>
      </c>
      <c r="C571" s="207" t="s">
        <v>1495</v>
      </c>
      <c r="D571" s="207" t="s">
        <v>1499</v>
      </c>
      <c r="E571" s="207" t="s">
        <v>518</v>
      </c>
      <c r="F571" s="225">
        <v>60</v>
      </c>
      <c r="G571" s="225">
        <v>12.6</v>
      </c>
      <c r="H571" s="225">
        <v>72.599999999999994</v>
      </c>
      <c r="I571" s="24" t="str">
        <f>UPPER(Tabla11[[#This Row],[Comercial]])</f>
        <v>LUIS VALLE 5431</v>
      </c>
      <c r="J571" s="24" t="str">
        <f>LOWER(Tabla11[[#This Row],[Comercial]])</f>
        <v>luis valle 5431</v>
      </c>
      <c r="K571" s="227" t="str">
        <f>PROPER(Tabla11[[#This Row],[Comercial]])</f>
        <v>Luis Valle 5431</v>
      </c>
      <c r="L571" t="s">
        <v>1507</v>
      </c>
      <c r="M571" t="str">
        <f>RIGHT(Tabla11[[#This Row],[Comercial]],4)</f>
        <v>5431</v>
      </c>
      <c r="N571" t="str">
        <f>LEFT(Tabla11[[#This Row],[Minuscula]],6)</f>
        <v>luis v</v>
      </c>
    </row>
    <row r="572" spans="1:14">
      <c r="A572" s="226">
        <v>1571</v>
      </c>
      <c r="B572" s="224">
        <v>44705</v>
      </c>
      <c r="C572" s="207" t="s">
        <v>1504</v>
      </c>
      <c r="D572" s="207" t="s">
        <v>1497</v>
      </c>
      <c r="E572" s="207" t="s">
        <v>520</v>
      </c>
      <c r="F572" s="225">
        <v>271</v>
      </c>
      <c r="G572" s="225">
        <v>56.91</v>
      </c>
      <c r="H572" s="225">
        <v>327.91</v>
      </c>
      <c r="I572" s="24" t="str">
        <f>UPPER(Tabla11[[#This Row],[Comercial]])</f>
        <v>MARIA GARCIA 1254</v>
      </c>
      <c r="J572" s="24" t="str">
        <f>LOWER(Tabla11[[#This Row],[Comercial]])</f>
        <v>maria garcia 1254</v>
      </c>
      <c r="K572" s="227" t="str">
        <f>PROPER(Tabla11[[#This Row],[Comercial]])</f>
        <v>Maria Garcia 1254</v>
      </c>
      <c r="L572" t="s">
        <v>1506</v>
      </c>
      <c r="M572" t="str">
        <f>RIGHT(Tabla11[[#This Row],[Comercial]],4)</f>
        <v>1254</v>
      </c>
      <c r="N572" t="str">
        <f>LEFT(Tabla11[[#This Row],[Minuscula]],6)</f>
        <v xml:space="preserve">maria </v>
      </c>
    </row>
    <row r="573" spans="1:14">
      <c r="A573" s="226">
        <v>1572</v>
      </c>
      <c r="B573" s="224">
        <v>44705</v>
      </c>
      <c r="C573" s="207" t="s">
        <v>1496</v>
      </c>
      <c r="D573" s="207" t="s">
        <v>1499</v>
      </c>
      <c r="E573" s="207" t="s">
        <v>520</v>
      </c>
      <c r="F573" s="225">
        <v>431</v>
      </c>
      <c r="G573" s="225">
        <v>90.51</v>
      </c>
      <c r="H573" s="225">
        <v>521.51</v>
      </c>
      <c r="I573" s="24" t="str">
        <f>UPPER(Tabla11[[#This Row],[Comercial]])</f>
        <v>PABLO LOPEZ 7384</v>
      </c>
      <c r="J573" s="24" t="str">
        <f>LOWER(Tabla11[[#This Row],[Comercial]])</f>
        <v>pablo lopez 7384</v>
      </c>
      <c r="K573" s="227" t="str">
        <f>PROPER(Tabla11[[#This Row],[Comercial]])</f>
        <v>Pablo Lopez 7384</v>
      </c>
      <c r="L573" t="s">
        <v>1508</v>
      </c>
      <c r="M573" t="str">
        <f>RIGHT(Tabla11[[#This Row],[Comercial]],4)</f>
        <v>7384</v>
      </c>
      <c r="N573" t="str">
        <f>LEFT(Tabla11[[#This Row],[Minuscula]],6)</f>
        <v xml:space="preserve">pablo </v>
      </c>
    </row>
    <row r="574" spans="1:14">
      <c r="A574" s="226">
        <v>1573</v>
      </c>
      <c r="B574" s="224">
        <v>44706</v>
      </c>
      <c r="C574" s="207" t="s">
        <v>1496</v>
      </c>
      <c r="D574" s="207" t="s">
        <v>1499</v>
      </c>
      <c r="E574" s="207" t="s">
        <v>525</v>
      </c>
      <c r="F574" s="225">
        <v>16</v>
      </c>
      <c r="G574" s="225">
        <v>3.36</v>
      </c>
      <c r="H574" s="225">
        <v>19.36</v>
      </c>
      <c r="I574" s="24" t="str">
        <f>UPPER(Tabla11[[#This Row],[Comercial]])</f>
        <v>PABLO LOPEZ 7384</v>
      </c>
      <c r="J574" s="24" t="str">
        <f>LOWER(Tabla11[[#This Row],[Comercial]])</f>
        <v>pablo lopez 7384</v>
      </c>
      <c r="K574" s="227" t="str">
        <f>PROPER(Tabla11[[#This Row],[Comercial]])</f>
        <v>Pablo Lopez 7384</v>
      </c>
      <c r="L574" t="s">
        <v>1508</v>
      </c>
      <c r="M574" t="str">
        <f>RIGHT(Tabla11[[#This Row],[Comercial]],4)</f>
        <v>7384</v>
      </c>
      <c r="N574" t="str">
        <f>LEFT(Tabla11[[#This Row],[Minuscula]],6)</f>
        <v xml:space="preserve">pablo </v>
      </c>
    </row>
    <row r="575" spans="1:14">
      <c r="A575" s="226">
        <v>1574</v>
      </c>
      <c r="B575" s="224">
        <v>44707</v>
      </c>
      <c r="C575" s="207" t="s">
        <v>1504</v>
      </c>
      <c r="D575" s="207" t="s">
        <v>1497</v>
      </c>
      <c r="E575" s="207" t="s">
        <v>530</v>
      </c>
      <c r="F575" s="225">
        <v>20</v>
      </c>
      <c r="G575" s="225">
        <v>4.2</v>
      </c>
      <c r="H575" s="225">
        <v>24.2</v>
      </c>
      <c r="I575" s="24" t="str">
        <f>UPPER(Tabla11[[#This Row],[Comercial]])</f>
        <v>MARIA GARCIA 1254</v>
      </c>
      <c r="J575" s="24" t="str">
        <f>LOWER(Tabla11[[#This Row],[Comercial]])</f>
        <v>maria garcia 1254</v>
      </c>
      <c r="K575" s="227" t="str">
        <f>PROPER(Tabla11[[#This Row],[Comercial]])</f>
        <v>Maria Garcia 1254</v>
      </c>
      <c r="L575" t="s">
        <v>1506</v>
      </c>
      <c r="M575" t="str">
        <f>RIGHT(Tabla11[[#This Row],[Comercial]],4)</f>
        <v>1254</v>
      </c>
      <c r="N575" t="str">
        <f>LEFT(Tabla11[[#This Row],[Minuscula]],6)</f>
        <v xml:space="preserve">maria </v>
      </c>
    </row>
    <row r="576" spans="1:14">
      <c r="A576" s="226">
        <v>1575</v>
      </c>
      <c r="B576" s="224">
        <v>44708</v>
      </c>
      <c r="C576" s="207" t="s">
        <v>1501</v>
      </c>
      <c r="D576" s="207" t="s">
        <v>1494</v>
      </c>
      <c r="E576" s="207" t="s">
        <v>530</v>
      </c>
      <c r="F576" s="225">
        <v>38</v>
      </c>
      <c r="G576" s="225">
        <v>7.98</v>
      </c>
      <c r="H576" s="225">
        <v>45.98</v>
      </c>
      <c r="I576" s="24" t="str">
        <f>UPPER(Tabla11[[#This Row],[Comercial]])</f>
        <v>MARIO PEREZ 1123</v>
      </c>
      <c r="J576" s="24" t="str">
        <f>LOWER(Tabla11[[#This Row],[Comercial]])</f>
        <v>mario perez 1123</v>
      </c>
      <c r="K576" s="227" t="str">
        <f>PROPER(Tabla11[[#This Row],[Comercial]])</f>
        <v>Mario Perez 1123</v>
      </c>
      <c r="L576" t="s">
        <v>1510</v>
      </c>
      <c r="M576" t="str">
        <f>RIGHT(Tabla11[[#This Row],[Comercial]],4)</f>
        <v>1123</v>
      </c>
      <c r="N576" t="str">
        <f>LEFT(Tabla11[[#This Row],[Minuscula]],6)</f>
        <v xml:space="preserve">mario </v>
      </c>
    </row>
    <row r="577" spans="1:14">
      <c r="A577" s="226">
        <v>1576</v>
      </c>
      <c r="B577" s="224">
        <v>44708</v>
      </c>
      <c r="C577" s="207" t="s">
        <v>1495</v>
      </c>
      <c r="D577" s="207" t="s">
        <v>1503</v>
      </c>
      <c r="E577" s="207" t="s">
        <v>525</v>
      </c>
      <c r="F577" s="225">
        <v>50</v>
      </c>
      <c r="G577" s="225">
        <v>10.5</v>
      </c>
      <c r="H577" s="225">
        <v>60.5</v>
      </c>
      <c r="I577" s="24" t="str">
        <f>UPPER(Tabla11[[#This Row],[Comercial]])</f>
        <v>LUIS VALLE 5431</v>
      </c>
      <c r="J577" s="24" t="str">
        <f>LOWER(Tabla11[[#This Row],[Comercial]])</f>
        <v>luis valle 5431</v>
      </c>
      <c r="K577" s="227" t="str">
        <f>PROPER(Tabla11[[#This Row],[Comercial]])</f>
        <v>Luis Valle 5431</v>
      </c>
      <c r="L577" t="s">
        <v>1507</v>
      </c>
      <c r="M577" t="str">
        <f>RIGHT(Tabla11[[#This Row],[Comercial]],4)</f>
        <v>5431</v>
      </c>
      <c r="N577" t="str">
        <f>LEFT(Tabla11[[#This Row],[Minuscula]],6)</f>
        <v>luis v</v>
      </c>
    </row>
    <row r="578" spans="1:14">
      <c r="A578" s="226">
        <v>1577</v>
      </c>
      <c r="B578" s="224">
        <v>44710</v>
      </c>
      <c r="C578" s="207" t="s">
        <v>1500</v>
      </c>
      <c r="D578" s="207" t="s">
        <v>1494</v>
      </c>
      <c r="E578" s="207" t="s">
        <v>518</v>
      </c>
      <c r="F578" s="225">
        <v>174</v>
      </c>
      <c r="G578" s="225">
        <v>36.54</v>
      </c>
      <c r="H578" s="225">
        <v>210.54</v>
      </c>
      <c r="I578" s="24" t="str">
        <f>UPPER(Tabla11[[#This Row],[Comercial]])</f>
        <v>ANA FERNANDEZZ 4321</v>
      </c>
      <c r="J578" s="24" t="str">
        <f>LOWER(Tabla11[[#This Row],[Comercial]])</f>
        <v>ana fernandezz 4321</v>
      </c>
      <c r="K578" s="227" t="str">
        <f>PROPER(Tabla11[[#This Row],[Comercial]])</f>
        <v>Ana Fernandezz 4321</v>
      </c>
      <c r="L578" t="s">
        <v>1509</v>
      </c>
      <c r="M578" t="str">
        <f>RIGHT(Tabla11[[#This Row],[Comercial]],4)</f>
        <v>4321</v>
      </c>
      <c r="N578" t="str">
        <f>LEFT(Tabla11[[#This Row],[Minuscula]],6)</f>
        <v>ana fe</v>
      </c>
    </row>
    <row r="579" spans="1:14">
      <c r="A579" s="226">
        <v>1578</v>
      </c>
      <c r="B579" s="224">
        <v>44710</v>
      </c>
      <c r="C579" s="207" t="s">
        <v>1501</v>
      </c>
      <c r="D579" s="207" t="s">
        <v>1494</v>
      </c>
      <c r="E579" s="207" t="s">
        <v>530</v>
      </c>
      <c r="F579" s="225">
        <v>48</v>
      </c>
      <c r="G579" s="225">
        <v>10.08</v>
      </c>
      <c r="H579" s="225">
        <v>58.08</v>
      </c>
      <c r="I579" s="24" t="str">
        <f>UPPER(Tabla11[[#This Row],[Comercial]])</f>
        <v>MARIO PEREZ 1123</v>
      </c>
      <c r="J579" s="24" t="str">
        <f>LOWER(Tabla11[[#This Row],[Comercial]])</f>
        <v>mario perez 1123</v>
      </c>
      <c r="K579" s="227" t="str">
        <f>PROPER(Tabla11[[#This Row],[Comercial]])</f>
        <v>Mario Perez 1123</v>
      </c>
      <c r="L579" t="s">
        <v>1510</v>
      </c>
      <c r="M579" t="str">
        <f>RIGHT(Tabla11[[#This Row],[Comercial]],4)</f>
        <v>1123</v>
      </c>
      <c r="N579" t="str">
        <f>LEFT(Tabla11[[#This Row],[Minuscula]],6)</f>
        <v xml:space="preserve">mario </v>
      </c>
    </row>
    <row r="580" spans="1:14">
      <c r="A580" s="226">
        <v>1579</v>
      </c>
      <c r="B580" s="224">
        <v>44710</v>
      </c>
      <c r="C580" s="207" t="s">
        <v>1504</v>
      </c>
      <c r="D580" s="207" t="s">
        <v>1503</v>
      </c>
      <c r="E580" s="207" t="s">
        <v>525</v>
      </c>
      <c r="F580" s="225">
        <v>29</v>
      </c>
      <c r="G580" s="225">
        <v>6.09</v>
      </c>
      <c r="H580" s="225">
        <v>35.090000000000003</v>
      </c>
      <c r="I580" s="24" t="str">
        <f>UPPER(Tabla11[[#This Row],[Comercial]])</f>
        <v>MARIA GARCIA 1254</v>
      </c>
      <c r="J580" s="24" t="str">
        <f>LOWER(Tabla11[[#This Row],[Comercial]])</f>
        <v>maria garcia 1254</v>
      </c>
      <c r="K580" s="227" t="str">
        <f>PROPER(Tabla11[[#This Row],[Comercial]])</f>
        <v>Maria Garcia 1254</v>
      </c>
      <c r="L580" t="s">
        <v>1506</v>
      </c>
      <c r="M580" t="str">
        <f>RIGHT(Tabla11[[#This Row],[Comercial]],4)</f>
        <v>1254</v>
      </c>
      <c r="N580" t="str">
        <f>LEFT(Tabla11[[#This Row],[Minuscula]],6)</f>
        <v xml:space="preserve">maria </v>
      </c>
    </row>
    <row r="581" spans="1:14">
      <c r="A581" s="226">
        <v>1580</v>
      </c>
      <c r="B581" s="224">
        <v>44711</v>
      </c>
      <c r="C581" s="207" t="s">
        <v>1500</v>
      </c>
      <c r="D581" s="207" t="s">
        <v>1494</v>
      </c>
      <c r="E581" s="207" t="s">
        <v>534</v>
      </c>
      <c r="F581" s="225">
        <v>8</v>
      </c>
      <c r="G581" s="225">
        <v>1.68</v>
      </c>
      <c r="H581" s="225">
        <v>9.68</v>
      </c>
      <c r="I581" s="24" t="str">
        <f>UPPER(Tabla11[[#This Row],[Comercial]])</f>
        <v>ANA FERNANDEZZ 4321</v>
      </c>
      <c r="J581" s="24" t="str">
        <f>LOWER(Tabla11[[#This Row],[Comercial]])</f>
        <v>ana fernandezz 4321</v>
      </c>
      <c r="K581" s="227" t="str">
        <f>PROPER(Tabla11[[#This Row],[Comercial]])</f>
        <v>Ana Fernandezz 4321</v>
      </c>
      <c r="L581" t="s">
        <v>1509</v>
      </c>
      <c r="M581" t="str">
        <f>RIGHT(Tabla11[[#This Row],[Comercial]],4)</f>
        <v>4321</v>
      </c>
      <c r="N581" t="str">
        <f>LEFT(Tabla11[[#This Row],[Minuscula]],6)</f>
        <v>ana fe</v>
      </c>
    </row>
    <row r="582" spans="1:14">
      <c r="A582" s="226">
        <v>1581</v>
      </c>
      <c r="B582" s="224">
        <v>44712</v>
      </c>
      <c r="C582" s="207" t="s">
        <v>1501</v>
      </c>
      <c r="D582" s="207" t="s">
        <v>1497</v>
      </c>
      <c r="E582" s="207" t="s">
        <v>534</v>
      </c>
      <c r="F582" s="225">
        <v>5</v>
      </c>
      <c r="G582" s="225">
        <v>1.05</v>
      </c>
      <c r="H582" s="225">
        <v>6.05</v>
      </c>
      <c r="I582" s="24" t="str">
        <f>UPPER(Tabla11[[#This Row],[Comercial]])</f>
        <v>MARIO PEREZ 1123</v>
      </c>
      <c r="J582" s="24" t="str">
        <f>LOWER(Tabla11[[#This Row],[Comercial]])</f>
        <v>mario perez 1123</v>
      </c>
      <c r="K582" s="227" t="str">
        <f>PROPER(Tabla11[[#This Row],[Comercial]])</f>
        <v>Mario Perez 1123</v>
      </c>
      <c r="L582" t="s">
        <v>1510</v>
      </c>
      <c r="M582" t="str">
        <f>RIGHT(Tabla11[[#This Row],[Comercial]],4)</f>
        <v>1123</v>
      </c>
      <c r="N582" t="str">
        <f>LEFT(Tabla11[[#This Row],[Minuscula]],6)</f>
        <v xml:space="preserve">mario </v>
      </c>
    </row>
    <row r="583" spans="1:14">
      <c r="A583" s="226">
        <v>1582</v>
      </c>
      <c r="B583" s="224">
        <v>44713</v>
      </c>
      <c r="C583" s="207" t="s">
        <v>1500</v>
      </c>
      <c r="D583" s="207" t="s">
        <v>1494</v>
      </c>
      <c r="E583" s="207" t="s">
        <v>525</v>
      </c>
      <c r="F583" s="225">
        <v>40</v>
      </c>
      <c r="G583" s="225">
        <v>8.4</v>
      </c>
      <c r="H583" s="225">
        <v>48.4</v>
      </c>
      <c r="I583" s="24" t="str">
        <f>UPPER(Tabla11[[#This Row],[Comercial]])</f>
        <v>ANA FERNANDEZZ 4321</v>
      </c>
      <c r="J583" s="24" t="str">
        <f>LOWER(Tabla11[[#This Row],[Comercial]])</f>
        <v>ana fernandezz 4321</v>
      </c>
      <c r="K583" s="227" t="str">
        <f>PROPER(Tabla11[[#This Row],[Comercial]])</f>
        <v>Ana Fernandezz 4321</v>
      </c>
      <c r="L583" t="s">
        <v>1509</v>
      </c>
      <c r="M583" t="str">
        <f>RIGHT(Tabla11[[#This Row],[Comercial]],4)</f>
        <v>4321</v>
      </c>
      <c r="N583" t="str">
        <f>LEFT(Tabla11[[#This Row],[Minuscula]],6)</f>
        <v>ana fe</v>
      </c>
    </row>
    <row r="584" spans="1:14">
      <c r="A584" s="226">
        <v>1583</v>
      </c>
      <c r="B584" s="224">
        <v>44713</v>
      </c>
      <c r="C584" s="207" t="s">
        <v>1496</v>
      </c>
      <c r="D584" s="207" t="s">
        <v>1502</v>
      </c>
      <c r="E584" s="207" t="s">
        <v>534</v>
      </c>
      <c r="F584" s="225">
        <v>7</v>
      </c>
      <c r="G584" s="225">
        <v>1.47</v>
      </c>
      <c r="H584" s="225">
        <v>8.4700000000000006</v>
      </c>
      <c r="I584" s="24" t="str">
        <f>UPPER(Tabla11[[#This Row],[Comercial]])</f>
        <v>PABLO LOPEZ 7384</v>
      </c>
      <c r="J584" s="24" t="str">
        <f>LOWER(Tabla11[[#This Row],[Comercial]])</f>
        <v>pablo lopez 7384</v>
      </c>
      <c r="K584" s="227" t="str">
        <f>PROPER(Tabla11[[#This Row],[Comercial]])</f>
        <v>Pablo Lopez 7384</v>
      </c>
      <c r="L584" t="s">
        <v>1508</v>
      </c>
      <c r="M584" t="str">
        <f>RIGHT(Tabla11[[#This Row],[Comercial]],4)</f>
        <v>7384</v>
      </c>
      <c r="N584" t="str">
        <f>LEFT(Tabla11[[#This Row],[Minuscula]],6)</f>
        <v xml:space="preserve">pablo </v>
      </c>
    </row>
    <row r="585" spans="1:14">
      <c r="A585" s="226">
        <v>1584</v>
      </c>
      <c r="B585" s="224">
        <v>44714</v>
      </c>
      <c r="C585" s="207" t="s">
        <v>1501</v>
      </c>
      <c r="D585" s="207" t="s">
        <v>1499</v>
      </c>
      <c r="E585" s="207" t="s">
        <v>534</v>
      </c>
      <c r="F585" s="225">
        <v>10</v>
      </c>
      <c r="G585" s="225">
        <v>2.1</v>
      </c>
      <c r="H585" s="225">
        <v>12.1</v>
      </c>
      <c r="I585" s="24" t="str">
        <f>UPPER(Tabla11[[#This Row],[Comercial]])</f>
        <v>MARIO PEREZ 1123</v>
      </c>
      <c r="J585" s="24" t="str">
        <f>LOWER(Tabla11[[#This Row],[Comercial]])</f>
        <v>mario perez 1123</v>
      </c>
      <c r="K585" s="227" t="str">
        <f>PROPER(Tabla11[[#This Row],[Comercial]])</f>
        <v>Mario Perez 1123</v>
      </c>
      <c r="L585" t="s">
        <v>1510</v>
      </c>
      <c r="M585" t="str">
        <f>RIGHT(Tabla11[[#This Row],[Comercial]],4)</f>
        <v>1123</v>
      </c>
      <c r="N585" t="str">
        <f>LEFT(Tabla11[[#This Row],[Minuscula]],6)</f>
        <v xml:space="preserve">mario </v>
      </c>
    </row>
    <row r="586" spans="1:14">
      <c r="A586" s="226">
        <v>1585</v>
      </c>
      <c r="B586" s="224">
        <v>44714</v>
      </c>
      <c r="C586" s="207" t="s">
        <v>1500</v>
      </c>
      <c r="D586" s="207" t="s">
        <v>1494</v>
      </c>
      <c r="E586" s="207" t="s">
        <v>534</v>
      </c>
      <c r="F586" s="225">
        <v>7</v>
      </c>
      <c r="G586" s="225">
        <v>1.47</v>
      </c>
      <c r="H586" s="225">
        <v>8.4700000000000006</v>
      </c>
      <c r="I586" s="24" t="str">
        <f>UPPER(Tabla11[[#This Row],[Comercial]])</f>
        <v>ANA FERNANDEZZ 4321</v>
      </c>
      <c r="J586" s="24" t="str">
        <f>LOWER(Tabla11[[#This Row],[Comercial]])</f>
        <v>ana fernandezz 4321</v>
      </c>
      <c r="K586" s="227" t="str">
        <f>PROPER(Tabla11[[#This Row],[Comercial]])</f>
        <v>Ana Fernandezz 4321</v>
      </c>
      <c r="L586" t="s">
        <v>1509</v>
      </c>
      <c r="M586" t="str">
        <f>RIGHT(Tabla11[[#This Row],[Comercial]],4)</f>
        <v>4321</v>
      </c>
      <c r="N586" t="str">
        <f>LEFT(Tabla11[[#This Row],[Minuscula]],6)</f>
        <v>ana fe</v>
      </c>
    </row>
    <row r="587" spans="1:14">
      <c r="A587" s="226">
        <v>1586</v>
      </c>
      <c r="B587" s="224">
        <v>44716</v>
      </c>
      <c r="C587" s="207" t="s">
        <v>1501</v>
      </c>
      <c r="D587" s="207" t="s">
        <v>1497</v>
      </c>
      <c r="E587" s="207" t="s">
        <v>530</v>
      </c>
      <c r="F587" s="225">
        <v>19</v>
      </c>
      <c r="G587" s="225">
        <v>3.99</v>
      </c>
      <c r="H587" s="225">
        <v>22.99</v>
      </c>
      <c r="I587" s="24" t="str">
        <f>UPPER(Tabla11[[#This Row],[Comercial]])</f>
        <v>MARIO PEREZ 1123</v>
      </c>
      <c r="J587" s="24" t="str">
        <f>LOWER(Tabla11[[#This Row],[Comercial]])</f>
        <v>mario perez 1123</v>
      </c>
      <c r="K587" s="227" t="str">
        <f>PROPER(Tabla11[[#This Row],[Comercial]])</f>
        <v>Mario Perez 1123</v>
      </c>
      <c r="L587" t="s">
        <v>1510</v>
      </c>
      <c r="M587" t="str">
        <f>RIGHT(Tabla11[[#This Row],[Comercial]],4)</f>
        <v>1123</v>
      </c>
      <c r="N587" t="str">
        <f>LEFT(Tabla11[[#This Row],[Minuscula]],6)</f>
        <v xml:space="preserve">mario </v>
      </c>
    </row>
    <row r="588" spans="1:14">
      <c r="A588" s="226">
        <v>1587</v>
      </c>
      <c r="B588" s="224">
        <v>44718</v>
      </c>
      <c r="C588" s="207" t="s">
        <v>1500</v>
      </c>
      <c r="D588" s="207" t="s">
        <v>1494</v>
      </c>
      <c r="E588" s="207" t="s">
        <v>525</v>
      </c>
      <c r="F588" s="225">
        <v>40</v>
      </c>
      <c r="G588" s="225">
        <v>8.4</v>
      </c>
      <c r="H588" s="225">
        <v>48.4</v>
      </c>
      <c r="I588" s="24" t="str">
        <f>UPPER(Tabla11[[#This Row],[Comercial]])</f>
        <v>ANA FERNANDEZZ 4321</v>
      </c>
      <c r="J588" s="24" t="str">
        <f>LOWER(Tabla11[[#This Row],[Comercial]])</f>
        <v>ana fernandezz 4321</v>
      </c>
      <c r="K588" s="227" t="str">
        <f>PROPER(Tabla11[[#This Row],[Comercial]])</f>
        <v>Ana Fernandezz 4321</v>
      </c>
      <c r="L588" t="s">
        <v>1509</v>
      </c>
      <c r="M588" t="str">
        <f>RIGHT(Tabla11[[#This Row],[Comercial]],4)</f>
        <v>4321</v>
      </c>
      <c r="N588" t="str">
        <f>LEFT(Tabla11[[#This Row],[Minuscula]],6)</f>
        <v>ana fe</v>
      </c>
    </row>
    <row r="589" spans="1:14">
      <c r="A589" s="226">
        <v>1588</v>
      </c>
      <c r="B589" s="224">
        <v>44718</v>
      </c>
      <c r="C589" s="207" t="s">
        <v>1501</v>
      </c>
      <c r="D589" s="207" t="s">
        <v>1503</v>
      </c>
      <c r="E589" s="207" t="s">
        <v>518</v>
      </c>
      <c r="F589" s="225">
        <v>202</v>
      </c>
      <c r="G589" s="225">
        <v>42.42</v>
      </c>
      <c r="H589" s="225">
        <v>244.42</v>
      </c>
      <c r="I589" s="24" t="str">
        <f>UPPER(Tabla11[[#This Row],[Comercial]])</f>
        <v>MARIO PEREZ 1123</v>
      </c>
      <c r="J589" s="24" t="str">
        <f>LOWER(Tabla11[[#This Row],[Comercial]])</f>
        <v>mario perez 1123</v>
      </c>
      <c r="K589" s="227" t="str">
        <f>PROPER(Tabla11[[#This Row],[Comercial]])</f>
        <v>Mario Perez 1123</v>
      </c>
      <c r="L589" t="s">
        <v>1510</v>
      </c>
      <c r="M589" t="str">
        <f>RIGHT(Tabla11[[#This Row],[Comercial]],4)</f>
        <v>1123</v>
      </c>
      <c r="N589" t="str">
        <f>LEFT(Tabla11[[#This Row],[Minuscula]],6)</f>
        <v xml:space="preserve">mario </v>
      </c>
    </row>
    <row r="590" spans="1:14">
      <c r="A590" s="226">
        <v>1589</v>
      </c>
      <c r="B590" s="224">
        <v>44718</v>
      </c>
      <c r="C590" s="207" t="s">
        <v>1501</v>
      </c>
      <c r="D590" s="207" t="s">
        <v>1503</v>
      </c>
      <c r="E590" s="207" t="s">
        <v>525</v>
      </c>
      <c r="F590" s="225">
        <v>45</v>
      </c>
      <c r="G590" s="225">
        <v>9.4499999999999993</v>
      </c>
      <c r="H590" s="225">
        <v>54.45</v>
      </c>
      <c r="I590" s="24" t="str">
        <f>UPPER(Tabla11[[#This Row],[Comercial]])</f>
        <v>MARIO PEREZ 1123</v>
      </c>
      <c r="J590" s="24" t="str">
        <f>LOWER(Tabla11[[#This Row],[Comercial]])</f>
        <v>mario perez 1123</v>
      </c>
      <c r="K590" s="227" t="str">
        <f>PROPER(Tabla11[[#This Row],[Comercial]])</f>
        <v>Mario Perez 1123</v>
      </c>
      <c r="L590" t="s">
        <v>1510</v>
      </c>
      <c r="M590" t="str">
        <f>RIGHT(Tabla11[[#This Row],[Comercial]],4)</f>
        <v>1123</v>
      </c>
      <c r="N590" t="str">
        <f>LEFT(Tabla11[[#This Row],[Minuscula]],6)</f>
        <v xml:space="preserve">mario </v>
      </c>
    </row>
    <row r="591" spans="1:14">
      <c r="A591" s="226">
        <v>1590</v>
      </c>
      <c r="B591" s="224">
        <v>44718</v>
      </c>
      <c r="C591" s="207" t="s">
        <v>1500</v>
      </c>
      <c r="D591" s="207" t="s">
        <v>1499</v>
      </c>
      <c r="E591" s="207" t="s">
        <v>534</v>
      </c>
      <c r="F591" s="225">
        <v>8</v>
      </c>
      <c r="G591" s="225">
        <v>1.68</v>
      </c>
      <c r="H591" s="225">
        <v>9.68</v>
      </c>
      <c r="I591" s="24" t="str">
        <f>UPPER(Tabla11[[#This Row],[Comercial]])</f>
        <v>ANA FERNANDEZZ 4321</v>
      </c>
      <c r="J591" s="24" t="str">
        <f>LOWER(Tabla11[[#This Row],[Comercial]])</f>
        <v>ana fernandezz 4321</v>
      </c>
      <c r="K591" s="227" t="str">
        <f>PROPER(Tabla11[[#This Row],[Comercial]])</f>
        <v>Ana Fernandezz 4321</v>
      </c>
      <c r="L591" t="s">
        <v>1509</v>
      </c>
      <c r="M591" t="str">
        <f>RIGHT(Tabla11[[#This Row],[Comercial]],4)</f>
        <v>4321</v>
      </c>
      <c r="N591" t="str">
        <f>LEFT(Tabla11[[#This Row],[Minuscula]],6)</f>
        <v>ana fe</v>
      </c>
    </row>
    <row r="592" spans="1:14">
      <c r="A592" s="226">
        <v>1591</v>
      </c>
      <c r="B592" s="224">
        <v>44718</v>
      </c>
      <c r="C592" s="207" t="s">
        <v>1496</v>
      </c>
      <c r="D592" s="207" t="s">
        <v>1499</v>
      </c>
      <c r="E592" s="207" t="s">
        <v>518</v>
      </c>
      <c r="F592" s="225">
        <v>89</v>
      </c>
      <c r="G592" s="225">
        <v>18.690000000000001</v>
      </c>
      <c r="H592" s="225">
        <v>107.69</v>
      </c>
      <c r="I592" s="24" t="str">
        <f>UPPER(Tabla11[[#This Row],[Comercial]])</f>
        <v>PABLO LOPEZ 7384</v>
      </c>
      <c r="J592" s="24" t="str">
        <f>LOWER(Tabla11[[#This Row],[Comercial]])</f>
        <v>pablo lopez 7384</v>
      </c>
      <c r="K592" s="227" t="str">
        <f>PROPER(Tabla11[[#This Row],[Comercial]])</f>
        <v>Pablo Lopez 7384</v>
      </c>
      <c r="L592" t="s">
        <v>1508</v>
      </c>
      <c r="M592" t="str">
        <f>RIGHT(Tabla11[[#This Row],[Comercial]],4)</f>
        <v>7384</v>
      </c>
      <c r="N592" t="str">
        <f>LEFT(Tabla11[[#This Row],[Minuscula]],6)</f>
        <v xml:space="preserve">pablo </v>
      </c>
    </row>
    <row r="593" spans="1:14">
      <c r="A593" s="226">
        <v>1592</v>
      </c>
      <c r="B593" s="224">
        <v>44719</v>
      </c>
      <c r="C593" s="207" t="s">
        <v>1500</v>
      </c>
      <c r="D593" s="207" t="s">
        <v>1497</v>
      </c>
      <c r="E593" s="207" t="s">
        <v>520</v>
      </c>
      <c r="F593" s="225">
        <v>622</v>
      </c>
      <c r="G593" s="225">
        <v>130.62</v>
      </c>
      <c r="H593" s="225">
        <v>752.62</v>
      </c>
      <c r="I593" s="24" t="str">
        <f>UPPER(Tabla11[[#This Row],[Comercial]])</f>
        <v>ANA FERNANDEZZ 4321</v>
      </c>
      <c r="J593" s="24" t="str">
        <f>LOWER(Tabla11[[#This Row],[Comercial]])</f>
        <v>ana fernandezz 4321</v>
      </c>
      <c r="K593" s="227" t="str">
        <f>PROPER(Tabla11[[#This Row],[Comercial]])</f>
        <v>Ana Fernandezz 4321</v>
      </c>
      <c r="L593" t="s">
        <v>1509</v>
      </c>
      <c r="M593" t="str">
        <f>RIGHT(Tabla11[[#This Row],[Comercial]],4)</f>
        <v>4321</v>
      </c>
      <c r="N593" t="str">
        <f>LEFT(Tabla11[[#This Row],[Minuscula]],6)</f>
        <v>ana fe</v>
      </c>
    </row>
    <row r="594" spans="1:14">
      <c r="A594" s="226">
        <v>1593</v>
      </c>
      <c r="B594" s="224">
        <v>44719</v>
      </c>
      <c r="C594" s="207" t="s">
        <v>1501</v>
      </c>
      <c r="D594" s="207" t="s">
        <v>1502</v>
      </c>
      <c r="E594" s="207" t="s">
        <v>534</v>
      </c>
      <c r="F594" s="225">
        <v>6</v>
      </c>
      <c r="G594" s="225">
        <v>1.26</v>
      </c>
      <c r="H594" s="225">
        <v>7.26</v>
      </c>
      <c r="I594" s="24" t="str">
        <f>UPPER(Tabla11[[#This Row],[Comercial]])</f>
        <v>MARIO PEREZ 1123</v>
      </c>
      <c r="J594" s="24" t="str">
        <f>LOWER(Tabla11[[#This Row],[Comercial]])</f>
        <v>mario perez 1123</v>
      </c>
      <c r="K594" s="227" t="str">
        <f>PROPER(Tabla11[[#This Row],[Comercial]])</f>
        <v>Mario Perez 1123</v>
      </c>
      <c r="L594" t="s">
        <v>1510</v>
      </c>
      <c r="M594" t="str">
        <f>RIGHT(Tabla11[[#This Row],[Comercial]],4)</f>
        <v>1123</v>
      </c>
      <c r="N594" t="str">
        <f>LEFT(Tabla11[[#This Row],[Minuscula]],6)</f>
        <v xml:space="preserve">mario </v>
      </c>
    </row>
    <row r="595" spans="1:14">
      <c r="A595" s="226">
        <v>1594</v>
      </c>
      <c r="B595" s="224">
        <v>44719</v>
      </c>
      <c r="C595" s="207" t="s">
        <v>1495</v>
      </c>
      <c r="D595" s="207" t="s">
        <v>1494</v>
      </c>
      <c r="E595" s="207" t="s">
        <v>525</v>
      </c>
      <c r="F595" s="225">
        <v>35</v>
      </c>
      <c r="G595" s="225">
        <v>7.35</v>
      </c>
      <c r="H595" s="225">
        <v>42.35</v>
      </c>
      <c r="I595" s="24" t="str">
        <f>UPPER(Tabla11[[#This Row],[Comercial]])</f>
        <v>LUIS VALLE 5431</v>
      </c>
      <c r="J595" s="24" t="str">
        <f>LOWER(Tabla11[[#This Row],[Comercial]])</f>
        <v>luis valle 5431</v>
      </c>
      <c r="K595" s="227" t="str">
        <f>PROPER(Tabla11[[#This Row],[Comercial]])</f>
        <v>Luis Valle 5431</v>
      </c>
      <c r="L595" t="s">
        <v>1507</v>
      </c>
      <c r="M595" t="str">
        <f>RIGHT(Tabla11[[#This Row],[Comercial]],4)</f>
        <v>5431</v>
      </c>
      <c r="N595" t="str">
        <f>LEFT(Tabla11[[#This Row],[Minuscula]],6)</f>
        <v>luis v</v>
      </c>
    </row>
    <row r="596" spans="1:14">
      <c r="A596" s="226">
        <v>1595</v>
      </c>
      <c r="B596" s="224">
        <v>44720</v>
      </c>
      <c r="C596" s="207" t="s">
        <v>1500</v>
      </c>
      <c r="D596" s="207" t="s">
        <v>1494</v>
      </c>
      <c r="E596" s="207" t="s">
        <v>525</v>
      </c>
      <c r="F596" s="225">
        <v>28</v>
      </c>
      <c r="G596" s="225">
        <v>5.88</v>
      </c>
      <c r="H596" s="225">
        <v>33.880000000000003</v>
      </c>
      <c r="I596" s="24" t="str">
        <f>UPPER(Tabla11[[#This Row],[Comercial]])</f>
        <v>ANA FERNANDEZZ 4321</v>
      </c>
      <c r="J596" s="24" t="str">
        <f>LOWER(Tabla11[[#This Row],[Comercial]])</f>
        <v>ana fernandezz 4321</v>
      </c>
      <c r="K596" s="227" t="str">
        <f>PROPER(Tabla11[[#This Row],[Comercial]])</f>
        <v>Ana Fernandezz 4321</v>
      </c>
      <c r="L596" t="s">
        <v>1509</v>
      </c>
      <c r="M596" t="str">
        <f>RIGHT(Tabla11[[#This Row],[Comercial]],4)</f>
        <v>4321</v>
      </c>
      <c r="N596" t="str">
        <f>LEFT(Tabla11[[#This Row],[Minuscula]],6)</f>
        <v>ana fe</v>
      </c>
    </row>
    <row r="597" spans="1:14">
      <c r="A597" s="226">
        <v>1596</v>
      </c>
      <c r="B597" s="224">
        <v>44720</v>
      </c>
      <c r="C597" s="207" t="s">
        <v>1500</v>
      </c>
      <c r="D597" s="207" t="s">
        <v>1503</v>
      </c>
      <c r="E597" s="207" t="s">
        <v>525</v>
      </c>
      <c r="F597" s="225">
        <v>26</v>
      </c>
      <c r="G597" s="225">
        <v>5.46</v>
      </c>
      <c r="H597" s="225">
        <v>31.46</v>
      </c>
      <c r="I597" s="24" t="str">
        <f>UPPER(Tabla11[[#This Row],[Comercial]])</f>
        <v>ANA FERNANDEZZ 4321</v>
      </c>
      <c r="J597" s="24" t="str">
        <f>LOWER(Tabla11[[#This Row],[Comercial]])</f>
        <v>ana fernandezz 4321</v>
      </c>
      <c r="K597" s="227" t="str">
        <f>PROPER(Tabla11[[#This Row],[Comercial]])</f>
        <v>Ana Fernandezz 4321</v>
      </c>
      <c r="L597" t="s">
        <v>1509</v>
      </c>
      <c r="M597" t="str">
        <f>RIGHT(Tabla11[[#This Row],[Comercial]],4)</f>
        <v>4321</v>
      </c>
      <c r="N597" t="str">
        <f>LEFT(Tabla11[[#This Row],[Minuscula]],6)</f>
        <v>ana fe</v>
      </c>
    </row>
    <row r="598" spans="1:14">
      <c r="A598" s="226">
        <v>1597</v>
      </c>
      <c r="B598" s="224">
        <v>44720</v>
      </c>
      <c r="C598" s="207" t="s">
        <v>1501</v>
      </c>
      <c r="D598" s="207" t="s">
        <v>1502</v>
      </c>
      <c r="E598" s="207" t="s">
        <v>520</v>
      </c>
      <c r="F598" s="225">
        <v>487</v>
      </c>
      <c r="G598" s="225">
        <v>102.27</v>
      </c>
      <c r="H598" s="225">
        <v>589.27</v>
      </c>
      <c r="I598" s="24" t="str">
        <f>UPPER(Tabla11[[#This Row],[Comercial]])</f>
        <v>MARIO PEREZ 1123</v>
      </c>
      <c r="J598" s="24" t="str">
        <f>LOWER(Tabla11[[#This Row],[Comercial]])</f>
        <v>mario perez 1123</v>
      </c>
      <c r="K598" s="227" t="str">
        <f>PROPER(Tabla11[[#This Row],[Comercial]])</f>
        <v>Mario Perez 1123</v>
      </c>
      <c r="L598" t="s">
        <v>1510</v>
      </c>
      <c r="M598" t="str">
        <f>RIGHT(Tabla11[[#This Row],[Comercial]],4)</f>
        <v>1123</v>
      </c>
      <c r="N598" t="str">
        <f>LEFT(Tabla11[[#This Row],[Minuscula]],6)</f>
        <v xml:space="preserve">mario </v>
      </c>
    </row>
    <row r="599" spans="1:14">
      <c r="A599" s="226">
        <v>1598</v>
      </c>
      <c r="B599" s="224">
        <v>44721</v>
      </c>
      <c r="C599" s="207" t="s">
        <v>1504</v>
      </c>
      <c r="D599" s="207" t="s">
        <v>1502</v>
      </c>
      <c r="E599" s="207" t="s">
        <v>520</v>
      </c>
      <c r="F599" s="225">
        <v>138</v>
      </c>
      <c r="G599" s="225">
        <v>28.98</v>
      </c>
      <c r="H599" s="225">
        <v>166.98</v>
      </c>
      <c r="I599" s="24" t="str">
        <f>UPPER(Tabla11[[#This Row],[Comercial]])</f>
        <v>MARIA GARCIA 1254</v>
      </c>
      <c r="J599" s="24" t="str">
        <f>LOWER(Tabla11[[#This Row],[Comercial]])</f>
        <v>maria garcia 1254</v>
      </c>
      <c r="K599" s="227" t="str">
        <f>PROPER(Tabla11[[#This Row],[Comercial]])</f>
        <v>Maria Garcia 1254</v>
      </c>
      <c r="L599" t="s">
        <v>1506</v>
      </c>
      <c r="M599" t="str">
        <f>RIGHT(Tabla11[[#This Row],[Comercial]],4)</f>
        <v>1254</v>
      </c>
      <c r="N599" t="str">
        <f>LEFT(Tabla11[[#This Row],[Minuscula]],6)</f>
        <v xml:space="preserve">maria </v>
      </c>
    </row>
    <row r="600" spans="1:14">
      <c r="A600" s="226">
        <v>1599</v>
      </c>
      <c r="B600" s="224">
        <v>44721</v>
      </c>
      <c r="C600" s="207" t="s">
        <v>1495</v>
      </c>
      <c r="D600" s="207" t="s">
        <v>1502</v>
      </c>
      <c r="E600" s="207" t="s">
        <v>518</v>
      </c>
      <c r="F600" s="225">
        <v>14</v>
      </c>
      <c r="G600" s="225">
        <v>2.94</v>
      </c>
      <c r="H600" s="225">
        <v>16.940000000000001</v>
      </c>
      <c r="I600" s="24" t="str">
        <f>UPPER(Tabla11[[#This Row],[Comercial]])</f>
        <v>LUIS VALLE 5431</v>
      </c>
      <c r="J600" s="24" t="str">
        <f>LOWER(Tabla11[[#This Row],[Comercial]])</f>
        <v>luis valle 5431</v>
      </c>
      <c r="K600" s="227" t="str">
        <f>PROPER(Tabla11[[#This Row],[Comercial]])</f>
        <v>Luis Valle 5431</v>
      </c>
      <c r="L600" t="s">
        <v>1507</v>
      </c>
      <c r="M600" t="str">
        <f>RIGHT(Tabla11[[#This Row],[Comercial]],4)</f>
        <v>5431</v>
      </c>
      <c r="N600" t="str">
        <f>LEFT(Tabla11[[#This Row],[Minuscula]],6)</f>
        <v>luis v</v>
      </c>
    </row>
    <row r="601" spans="1:14">
      <c r="A601" s="226">
        <v>1600</v>
      </c>
      <c r="B601" s="224">
        <v>44722</v>
      </c>
      <c r="C601" s="207" t="s">
        <v>1496</v>
      </c>
      <c r="D601" s="207" t="s">
        <v>1499</v>
      </c>
      <c r="E601" s="207" t="s">
        <v>534</v>
      </c>
      <c r="F601" s="225">
        <v>10</v>
      </c>
      <c r="G601" s="225">
        <v>2.1</v>
      </c>
      <c r="H601" s="225">
        <v>12.1</v>
      </c>
      <c r="I601" s="24" t="str">
        <f>UPPER(Tabla11[[#This Row],[Comercial]])</f>
        <v>PABLO LOPEZ 7384</v>
      </c>
      <c r="J601" s="24" t="str">
        <f>LOWER(Tabla11[[#This Row],[Comercial]])</f>
        <v>pablo lopez 7384</v>
      </c>
      <c r="K601" s="227" t="str">
        <f>PROPER(Tabla11[[#This Row],[Comercial]])</f>
        <v>Pablo Lopez 7384</v>
      </c>
      <c r="L601" t="s">
        <v>1508</v>
      </c>
      <c r="M601" t="str">
        <f>RIGHT(Tabla11[[#This Row],[Comercial]],4)</f>
        <v>7384</v>
      </c>
      <c r="N601" t="str">
        <f>LEFT(Tabla11[[#This Row],[Minuscula]],6)</f>
        <v xml:space="preserve">pablo </v>
      </c>
    </row>
    <row r="602" spans="1:14">
      <c r="A602" s="226">
        <v>1601</v>
      </c>
      <c r="B602" s="224">
        <v>44722</v>
      </c>
      <c r="C602" s="207" t="s">
        <v>1504</v>
      </c>
      <c r="D602" s="207" t="s">
        <v>1497</v>
      </c>
      <c r="E602" s="207" t="s">
        <v>520</v>
      </c>
      <c r="F602" s="225">
        <v>501</v>
      </c>
      <c r="G602" s="225">
        <v>105.21</v>
      </c>
      <c r="H602" s="225">
        <v>606.21</v>
      </c>
      <c r="I602" s="24" t="str">
        <f>UPPER(Tabla11[[#This Row],[Comercial]])</f>
        <v>MARIA GARCIA 1254</v>
      </c>
      <c r="J602" s="24" t="str">
        <f>LOWER(Tabla11[[#This Row],[Comercial]])</f>
        <v>maria garcia 1254</v>
      </c>
      <c r="K602" s="227" t="str">
        <f>PROPER(Tabla11[[#This Row],[Comercial]])</f>
        <v>Maria Garcia 1254</v>
      </c>
      <c r="L602" t="s">
        <v>1506</v>
      </c>
      <c r="M602" t="str">
        <f>RIGHT(Tabla11[[#This Row],[Comercial]],4)</f>
        <v>1254</v>
      </c>
      <c r="N602" t="str">
        <f>LEFT(Tabla11[[#This Row],[Minuscula]],6)</f>
        <v xml:space="preserve">maria </v>
      </c>
    </row>
    <row r="603" spans="1:14">
      <c r="A603" s="226">
        <v>1602</v>
      </c>
      <c r="B603" s="224">
        <v>44724</v>
      </c>
      <c r="C603" s="207" t="s">
        <v>1504</v>
      </c>
      <c r="D603" s="207" t="s">
        <v>1494</v>
      </c>
      <c r="E603" s="207" t="s">
        <v>525</v>
      </c>
      <c r="F603" s="225">
        <v>29</v>
      </c>
      <c r="G603" s="225">
        <v>6.09</v>
      </c>
      <c r="H603" s="225">
        <v>35.090000000000003</v>
      </c>
      <c r="I603" s="24" t="str">
        <f>UPPER(Tabla11[[#This Row],[Comercial]])</f>
        <v>MARIA GARCIA 1254</v>
      </c>
      <c r="J603" s="24" t="str">
        <f>LOWER(Tabla11[[#This Row],[Comercial]])</f>
        <v>maria garcia 1254</v>
      </c>
      <c r="K603" s="227" t="str">
        <f>PROPER(Tabla11[[#This Row],[Comercial]])</f>
        <v>Maria Garcia 1254</v>
      </c>
      <c r="L603" t="s">
        <v>1506</v>
      </c>
      <c r="M603" t="str">
        <f>RIGHT(Tabla11[[#This Row],[Comercial]],4)</f>
        <v>1254</v>
      </c>
      <c r="N603" t="str">
        <f>LEFT(Tabla11[[#This Row],[Minuscula]],6)</f>
        <v xml:space="preserve">maria </v>
      </c>
    </row>
    <row r="604" spans="1:14">
      <c r="A604" s="226">
        <v>1603</v>
      </c>
      <c r="B604" s="224">
        <v>44724</v>
      </c>
      <c r="C604" s="207" t="s">
        <v>1495</v>
      </c>
      <c r="D604" s="207" t="s">
        <v>1502</v>
      </c>
      <c r="E604" s="207" t="s">
        <v>525</v>
      </c>
      <c r="F604" s="225">
        <v>5</v>
      </c>
      <c r="G604" s="225">
        <v>1.05</v>
      </c>
      <c r="H604" s="225">
        <v>6.05</v>
      </c>
      <c r="I604" s="24" t="str">
        <f>UPPER(Tabla11[[#This Row],[Comercial]])</f>
        <v>LUIS VALLE 5431</v>
      </c>
      <c r="J604" s="24" t="str">
        <f>LOWER(Tabla11[[#This Row],[Comercial]])</f>
        <v>luis valle 5431</v>
      </c>
      <c r="K604" s="227" t="str">
        <f>PROPER(Tabla11[[#This Row],[Comercial]])</f>
        <v>Luis Valle 5431</v>
      </c>
      <c r="L604" t="s">
        <v>1507</v>
      </c>
      <c r="M604" t="str">
        <f>RIGHT(Tabla11[[#This Row],[Comercial]],4)</f>
        <v>5431</v>
      </c>
      <c r="N604" t="str">
        <f>LEFT(Tabla11[[#This Row],[Minuscula]],6)</f>
        <v>luis v</v>
      </c>
    </row>
    <row r="605" spans="1:14">
      <c r="A605" s="226">
        <v>1604</v>
      </c>
      <c r="B605" s="224">
        <v>44726</v>
      </c>
      <c r="C605" s="207" t="s">
        <v>1496</v>
      </c>
      <c r="D605" s="207" t="s">
        <v>1497</v>
      </c>
      <c r="E605" s="207" t="s">
        <v>520</v>
      </c>
      <c r="F605" s="225">
        <v>844</v>
      </c>
      <c r="G605" s="225">
        <v>177.24</v>
      </c>
      <c r="H605" s="225">
        <v>1021.24</v>
      </c>
      <c r="I605" s="24" t="str">
        <f>UPPER(Tabla11[[#This Row],[Comercial]])</f>
        <v>PABLO LOPEZ 7384</v>
      </c>
      <c r="J605" s="24" t="str">
        <f>LOWER(Tabla11[[#This Row],[Comercial]])</f>
        <v>pablo lopez 7384</v>
      </c>
      <c r="K605" s="227" t="str">
        <f>PROPER(Tabla11[[#This Row],[Comercial]])</f>
        <v>Pablo Lopez 7384</v>
      </c>
      <c r="L605" t="s">
        <v>1508</v>
      </c>
      <c r="M605" t="str">
        <f>RIGHT(Tabla11[[#This Row],[Comercial]],4)</f>
        <v>7384</v>
      </c>
      <c r="N605" t="str">
        <f>LEFT(Tabla11[[#This Row],[Minuscula]],6)</f>
        <v xml:space="preserve">pablo </v>
      </c>
    </row>
    <row r="606" spans="1:14">
      <c r="A606" s="226">
        <v>1605</v>
      </c>
      <c r="B606" s="224">
        <v>44726</v>
      </c>
      <c r="C606" s="207" t="s">
        <v>1500</v>
      </c>
      <c r="D606" s="207" t="s">
        <v>1494</v>
      </c>
      <c r="E606" s="207" t="s">
        <v>525</v>
      </c>
      <c r="F606" s="225">
        <v>20</v>
      </c>
      <c r="G606" s="225">
        <v>4.2</v>
      </c>
      <c r="H606" s="225">
        <v>24.2</v>
      </c>
      <c r="I606" s="24" t="str">
        <f>UPPER(Tabla11[[#This Row],[Comercial]])</f>
        <v>ANA FERNANDEZZ 4321</v>
      </c>
      <c r="J606" s="24" t="str">
        <f>LOWER(Tabla11[[#This Row],[Comercial]])</f>
        <v>ana fernandezz 4321</v>
      </c>
      <c r="K606" s="227" t="str">
        <f>PROPER(Tabla11[[#This Row],[Comercial]])</f>
        <v>Ana Fernandezz 4321</v>
      </c>
      <c r="L606" t="s">
        <v>1509</v>
      </c>
      <c r="M606" t="str">
        <f>RIGHT(Tabla11[[#This Row],[Comercial]],4)</f>
        <v>4321</v>
      </c>
      <c r="N606" t="str">
        <f>LEFT(Tabla11[[#This Row],[Minuscula]],6)</f>
        <v>ana fe</v>
      </c>
    </row>
    <row r="607" spans="1:14">
      <c r="A607" s="226">
        <v>1606</v>
      </c>
      <c r="B607" s="224">
        <v>44726</v>
      </c>
      <c r="C607" s="207" t="s">
        <v>1495</v>
      </c>
      <c r="D607" s="207" t="s">
        <v>1494</v>
      </c>
      <c r="E607" s="207" t="s">
        <v>520</v>
      </c>
      <c r="F607" s="225">
        <v>803</v>
      </c>
      <c r="G607" s="225">
        <v>168.63</v>
      </c>
      <c r="H607" s="225">
        <v>971.63</v>
      </c>
      <c r="I607" s="24" t="str">
        <f>UPPER(Tabla11[[#This Row],[Comercial]])</f>
        <v>LUIS VALLE 5431</v>
      </c>
      <c r="J607" s="24" t="str">
        <f>LOWER(Tabla11[[#This Row],[Comercial]])</f>
        <v>luis valle 5431</v>
      </c>
      <c r="K607" s="227" t="str">
        <f>PROPER(Tabla11[[#This Row],[Comercial]])</f>
        <v>Luis Valle 5431</v>
      </c>
      <c r="L607" t="s">
        <v>1507</v>
      </c>
      <c r="M607" t="str">
        <f>RIGHT(Tabla11[[#This Row],[Comercial]],4)</f>
        <v>5431</v>
      </c>
      <c r="N607" t="str">
        <f>LEFT(Tabla11[[#This Row],[Minuscula]],6)</f>
        <v>luis v</v>
      </c>
    </row>
    <row r="608" spans="1:14">
      <c r="A608" s="226">
        <v>1607</v>
      </c>
      <c r="B608" s="224">
        <v>44726</v>
      </c>
      <c r="C608" s="207" t="s">
        <v>1495</v>
      </c>
      <c r="D608" s="207" t="s">
        <v>1499</v>
      </c>
      <c r="E608" s="207" t="s">
        <v>525</v>
      </c>
      <c r="F608" s="225">
        <v>9</v>
      </c>
      <c r="G608" s="225">
        <v>1.89</v>
      </c>
      <c r="H608" s="225">
        <v>10.89</v>
      </c>
      <c r="I608" s="24" t="str">
        <f>UPPER(Tabla11[[#This Row],[Comercial]])</f>
        <v>LUIS VALLE 5431</v>
      </c>
      <c r="J608" s="24" t="str">
        <f>LOWER(Tabla11[[#This Row],[Comercial]])</f>
        <v>luis valle 5431</v>
      </c>
      <c r="K608" s="227" t="str">
        <f>PROPER(Tabla11[[#This Row],[Comercial]])</f>
        <v>Luis Valle 5431</v>
      </c>
      <c r="L608" t="s">
        <v>1507</v>
      </c>
      <c r="M608" t="str">
        <f>RIGHT(Tabla11[[#This Row],[Comercial]],4)</f>
        <v>5431</v>
      </c>
      <c r="N608" t="str">
        <f>LEFT(Tabla11[[#This Row],[Minuscula]],6)</f>
        <v>luis v</v>
      </c>
    </row>
    <row r="609" spans="1:14">
      <c r="A609" s="226">
        <v>1608</v>
      </c>
      <c r="B609" s="224">
        <v>44726</v>
      </c>
      <c r="C609" s="207" t="s">
        <v>1504</v>
      </c>
      <c r="D609" s="207" t="s">
        <v>1499</v>
      </c>
      <c r="E609" s="207" t="s">
        <v>520</v>
      </c>
      <c r="F609" s="225">
        <v>204</v>
      </c>
      <c r="G609" s="225">
        <v>42.84</v>
      </c>
      <c r="H609" s="225">
        <v>246.84</v>
      </c>
      <c r="I609" s="24" t="str">
        <f>UPPER(Tabla11[[#This Row],[Comercial]])</f>
        <v>MARIA GARCIA 1254</v>
      </c>
      <c r="J609" s="24" t="str">
        <f>LOWER(Tabla11[[#This Row],[Comercial]])</f>
        <v>maria garcia 1254</v>
      </c>
      <c r="K609" s="227" t="str">
        <f>PROPER(Tabla11[[#This Row],[Comercial]])</f>
        <v>Maria Garcia 1254</v>
      </c>
      <c r="L609" t="s">
        <v>1506</v>
      </c>
      <c r="M609" t="str">
        <f>RIGHT(Tabla11[[#This Row],[Comercial]],4)</f>
        <v>1254</v>
      </c>
      <c r="N609" t="str">
        <f>LEFT(Tabla11[[#This Row],[Minuscula]],6)</f>
        <v xml:space="preserve">maria </v>
      </c>
    </row>
    <row r="610" spans="1:14">
      <c r="A610" s="226">
        <v>1609</v>
      </c>
      <c r="B610" s="224">
        <v>44726</v>
      </c>
      <c r="C610" s="207" t="s">
        <v>1501</v>
      </c>
      <c r="D610" s="207" t="s">
        <v>1494</v>
      </c>
      <c r="E610" s="207" t="s">
        <v>518</v>
      </c>
      <c r="F610" s="225">
        <v>149</v>
      </c>
      <c r="G610" s="225">
        <v>31.29</v>
      </c>
      <c r="H610" s="225">
        <v>180.29</v>
      </c>
      <c r="I610" s="24" t="str">
        <f>UPPER(Tabla11[[#This Row],[Comercial]])</f>
        <v>MARIO PEREZ 1123</v>
      </c>
      <c r="J610" s="24" t="str">
        <f>LOWER(Tabla11[[#This Row],[Comercial]])</f>
        <v>mario perez 1123</v>
      </c>
      <c r="K610" s="227" t="str">
        <f>PROPER(Tabla11[[#This Row],[Comercial]])</f>
        <v>Mario Perez 1123</v>
      </c>
      <c r="L610" t="s">
        <v>1510</v>
      </c>
      <c r="M610" t="str">
        <f>RIGHT(Tabla11[[#This Row],[Comercial]],4)</f>
        <v>1123</v>
      </c>
      <c r="N610" t="str">
        <f>LEFT(Tabla11[[#This Row],[Minuscula]],6)</f>
        <v xml:space="preserve">mario </v>
      </c>
    </row>
    <row r="611" spans="1:14">
      <c r="A611" s="226">
        <v>1610</v>
      </c>
      <c r="B611" s="224">
        <v>44729</v>
      </c>
      <c r="C611" s="207" t="s">
        <v>1495</v>
      </c>
      <c r="D611" s="207" t="s">
        <v>1503</v>
      </c>
      <c r="E611" s="207" t="s">
        <v>525</v>
      </c>
      <c r="F611" s="225">
        <v>44</v>
      </c>
      <c r="G611" s="225">
        <v>9.24</v>
      </c>
      <c r="H611" s="225">
        <v>53.24</v>
      </c>
      <c r="I611" s="24" t="str">
        <f>UPPER(Tabla11[[#This Row],[Comercial]])</f>
        <v>LUIS VALLE 5431</v>
      </c>
      <c r="J611" s="24" t="str">
        <f>LOWER(Tabla11[[#This Row],[Comercial]])</f>
        <v>luis valle 5431</v>
      </c>
      <c r="K611" s="227" t="str">
        <f>PROPER(Tabla11[[#This Row],[Comercial]])</f>
        <v>Luis Valle 5431</v>
      </c>
      <c r="L611" t="s">
        <v>1507</v>
      </c>
      <c r="M611" t="str">
        <f>RIGHT(Tabla11[[#This Row],[Comercial]],4)</f>
        <v>5431</v>
      </c>
      <c r="N611" t="str">
        <f>LEFT(Tabla11[[#This Row],[Minuscula]],6)</f>
        <v>luis v</v>
      </c>
    </row>
    <row r="612" spans="1:14">
      <c r="A612" s="226">
        <v>1611</v>
      </c>
      <c r="B612" s="224">
        <v>44731</v>
      </c>
      <c r="C612" s="207" t="s">
        <v>1500</v>
      </c>
      <c r="D612" s="207" t="s">
        <v>1503</v>
      </c>
      <c r="E612" s="207" t="s">
        <v>520</v>
      </c>
      <c r="F612" s="225">
        <v>948</v>
      </c>
      <c r="G612" s="225">
        <v>199.08</v>
      </c>
      <c r="H612" s="225">
        <v>1147.08</v>
      </c>
      <c r="I612" s="24" t="str">
        <f>UPPER(Tabla11[[#This Row],[Comercial]])</f>
        <v>ANA FERNANDEZZ 4321</v>
      </c>
      <c r="J612" s="24" t="str">
        <f>LOWER(Tabla11[[#This Row],[Comercial]])</f>
        <v>ana fernandezz 4321</v>
      </c>
      <c r="K612" s="227" t="str">
        <f>PROPER(Tabla11[[#This Row],[Comercial]])</f>
        <v>Ana Fernandezz 4321</v>
      </c>
      <c r="L612" t="s">
        <v>1509</v>
      </c>
      <c r="M612" t="str">
        <f>RIGHT(Tabla11[[#This Row],[Comercial]],4)</f>
        <v>4321</v>
      </c>
      <c r="N612" t="str">
        <f>LEFT(Tabla11[[#This Row],[Minuscula]],6)</f>
        <v>ana fe</v>
      </c>
    </row>
    <row r="613" spans="1:14">
      <c r="A613" s="226">
        <v>1612</v>
      </c>
      <c r="B613" s="224">
        <v>44732</v>
      </c>
      <c r="C613" s="207" t="s">
        <v>1504</v>
      </c>
      <c r="D613" s="207" t="s">
        <v>1499</v>
      </c>
      <c r="E613" s="207" t="s">
        <v>525</v>
      </c>
      <c r="F613" s="225">
        <v>19</v>
      </c>
      <c r="G613" s="225">
        <v>3.99</v>
      </c>
      <c r="H613" s="225">
        <v>22.99</v>
      </c>
      <c r="I613" s="24" t="str">
        <f>UPPER(Tabla11[[#This Row],[Comercial]])</f>
        <v>MARIA GARCIA 1254</v>
      </c>
      <c r="J613" s="24" t="str">
        <f>LOWER(Tabla11[[#This Row],[Comercial]])</f>
        <v>maria garcia 1254</v>
      </c>
      <c r="K613" s="227" t="str">
        <f>PROPER(Tabla11[[#This Row],[Comercial]])</f>
        <v>Maria Garcia 1254</v>
      </c>
      <c r="L613" t="s">
        <v>1506</v>
      </c>
      <c r="M613" t="str">
        <f>RIGHT(Tabla11[[#This Row],[Comercial]],4)</f>
        <v>1254</v>
      </c>
      <c r="N613" t="str">
        <f>LEFT(Tabla11[[#This Row],[Minuscula]],6)</f>
        <v xml:space="preserve">maria </v>
      </c>
    </row>
    <row r="614" spans="1:14">
      <c r="A614" s="226">
        <v>1613</v>
      </c>
      <c r="B614" s="224">
        <v>44733</v>
      </c>
      <c r="C614" s="207" t="s">
        <v>1495</v>
      </c>
      <c r="D614" s="207" t="s">
        <v>1494</v>
      </c>
      <c r="E614" s="207" t="s">
        <v>520</v>
      </c>
      <c r="F614" s="225">
        <v>366</v>
      </c>
      <c r="G614" s="225">
        <v>76.86</v>
      </c>
      <c r="H614" s="225">
        <v>442.86</v>
      </c>
      <c r="I614" s="24" t="str">
        <f>UPPER(Tabla11[[#This Row],[Comercial]])</f>
        <v>LUIS VALLE 5431</v>
      </c>
      <c r="J614" s="24" t="str">
        <f>LOWER(Tabla11[[#This Row],[Comercial]])</f>
        <v>luis valle 5431</v>
      </c>
      <c r="K614" s="227" t="str">
        <f>PROPER(Tabla11[[#This Row],[Comercial]])</f>
        <v>Luis Valle 5431</v>
      </c>
      <c r="L614" t="s">
        <v>1507</v>
      </c>
      <c r="M614" t="str">
        <f>RIGHT(Tabla11[[#This Row],[Comercial]],4)</f>
        <v>5431</v>
      </c>
      <c r="N614" t="str">
        <f>LEFT(Tabla11[[#This Row],[Minuscula]],6)</f>
        <v>luis v</v>
      </c>
    </row>
    <row r="615" spans="1:14">
      <c r="A615" s="226">
        <v>1614</v>
      </c>
      <c r="B615" s="224">
        <v>44734</v>
      </c>
      <c r="C615" s="207" t="s">
        <v>1500</v>
      </c>
      <c r="D615" s="207" t="s">
        <v>1503</v>
      </c>
      <c r="E615" s="207" t="s">
        <v>525</v>
      </c>
      <c r="F615" s="225">
        <v>32</v>
      </c>
      <c r="G615" s="225">
        <v>6.72</v>
      </c>
      <c r="H615" s="225">
        <v>38.72</v>
      </c>
      <c r="I615" s="24" t="str">
        <f>UPPER(Tabla11[[#This Row],[Comercial]])</f>
        <v>ANA FERNANDEZZ 4321</v>
      </c>
      <c r="J615" s="24" t="str">
        <f>LOWER(Tabla11[[#This Row],[Comercial]])</f>
        <v>ana fernandezz 4321</v>
      </c>
      <c r="K615" s="227" t="str">
        <f>PROPER(Tabla11[[#This Row],[Comercial]])</f>
        <v>Ana Fernandezz 4321</v>
      </c>
      <c r="L615" t="s">
        <v>1509</v>
      </c>
      <c r="M615" t="str">
        <f>RIGHT(Tabla11[[#This Row],[Comercial]],4)</f>
        <v>4321</v>
      </c>
      <c r="N615" t="str">
        <f>LEFT(Tabla11[[#This Row],[Minuscula]],6)</f>
        <v>ana fe</v>
      </c>
    </row>
    <row r="616" spans="1:14">
      <c r="A616" s="226">
        <v>1615</v>
      </c>
      <c r="B616" s="224">
        <v>44735</v>
      </c>
      <c r="C616" s="207" t="s">
        <v>1500</v>
      </c>
      <c r="D616" s="207" t="s">
        <v>1497</v>
      </c>
      <c r="E616" s="207" t="s">
        <v>534</v>
      </c>
      <c r="F616" s="225">
        <v>10</v>
      </c>
      <c r="G616" s="225">
        <v>2.1</v>
      </c>
      <c r="H616" s="225">
        <v>12.1</v>
      </c>
      <c r="I616" s="24" t="str">
        <f>UPPER(Tabla11[[#This Row],[Comercial]])</f>
        <v>ANA FERNANDEZZ 4321</v>
      </c>
      <c r="J616" s="24" t="str">
        <f>LOWER(Tabla11[[#This Row],[Comercial]])</f>
        <v>ana fernandezz 4321</v>
      </c>
      <c r="K616" s="227" t="str">
        <f>PROPER(Tabla11[[#This Row],[Comercial]])</f>
        <v>Ana Fernandezz 4321</v>
      </c>
      <c r="L616" t="s">
        <v>1509</v>
      </c>
      <c r="M616" t="str">
        <f>RIGHT(Tabla11[[#This Row],[Comercial]],4)</f>
        <v>4321</v>
      </c>
      <c r="N616" t="str">
        <f>LEFT(Tabla11[[#This Row],[Minuscula]],6)</f>
        <v>ana fe</v>
      </c>
    </row>
    <row r="617" spans="1:14">
      <c r="A617" s="226">
        <v>1616</v>
      </c>
      <c r="B617" s="224">
        <v>44735</v>
      </c>
      <c r="C617" s="207" t="s">
        <v>1496</v>
      </c>
      <c r="D617" s="207" t="s">
        <v>1499</v>
      </c>
      <c r="E617" s="207" t="s">
        <v>518</v>
      </c>
      <c r="F617" s="225">
        <v>71</v>
      </c>
      <c r="G617" s="225">
        <v>14.91</v>
      </c>
      <c r="H617" s="225">
        <v>85.91</v>
      </c>
      <c r="I617" s="24" t="str">
        <f>UPPER(Tabla11[[#This Row],[Comercial]])</f>
        <v>PABLO LOPEZ 7384</v>
      </c>
      <c r="J617" s="24" t="str">
        <f>LOWER(Tabla11[[#This Row],[Comercial]])</f>
        <v>pablo lopez 7384</v>
      </c>
      <c r="K617" s="227" t="str">
        <f>PROPER(Tabla11[[#This Row],[Comercial]])</f>
        <v>Pablo Lopez 7384</v>
      </c>
      <c r="L617" t="s">
        <v>1508</v>
      </c>
      <c r="M617" t="str">
        <f>RIGHT(Tabla11[[#This Row],[Comercial]],4)</f>
        <v>7384</v>
      </c>
      <c r="N617" t="str">
        <f>LEFT(Tabla11[[#This Row],[Minuscula]],6)</f>
        <v xml:space="preserve">pablo </v>
      </c>
    </row>
    <row r="618" spans="1:14">
      <c r="A618" s="226">
        <v>1617</v>
      </c>
      <c r="B618" s="224">
        <v>44736</v>
      </c>
      <c r="C618" s="207" t="s">
        <v>1500</v>
      </c>
      <c r="D618" s="207" t="s">
        <v>1502</v>
      </c>
      <c r="E618" s="207" t="s">
        <v>530</v>
      </c>
      <c r="F618" s="225">
        <v>16</v>
      </c>
      <c r="G618" s="225">
        <v>3.36</v>
      </c>
      <c r="H618" s="225">
        <v>19.36</v>
      </c>
      <c r="I618" s="24" t="str">
        <f>UPPER(Tabla11[[#This Row],[Comercial]])</f>
        <v>ANA FERNANDEZZ 4321</v>
      </c>
      <c r="J618" s="24" t="str">
        <f>LOWER(Tabla11[[#This Row],[Comercial]])</f>
        <v>ana fernandezz 4321</v>
      </c>
      <c r="K618" s="227" t="str">
        <f>PROPER(Tabla11[[#This Row],[Comercial]])</f>
        <v>Ana Fernandezz 4321</v>
      </c>
      <c r="L618" t="s">
        <v>1509</v>
      </c>
      <c r="M618" t="str">
        <f>RIGHT(Tabla11[[#This Row],[Comercial]],4)</f>
        <v>4321</v>
      </c>
      <c r="N618" t="str">
        <f>LEFT(Tabla11[[#This Row],[Minuscula]],6)</f>
        <v>ana fe</v>
      </c>
    </row>
    <row r="619" spans="1:14">
      <c r="A619" s="226">
        <v>1618</v>
      </c>
      <c r="B619" s="224">
        <v>44736</v>
      </c>
      <c r="C619" s="207" t="s">
        <v>1504</v>
      </c>
      <c r="D619" s="207" t="s">
        <v>1503</v>
      </c>
      <c r="E619" s="207" t="s">
        <v>530</v>
      </c>
      <c r="F619" s="225">
        <v>28</v>
      </c>
      <c r="G619" s="225">
        <v>5.88</v>
      </c>
      <c r="H619" s="225">
        <v>33.880000000000003</v>
      </c>
      <c r="I619" s="24" t="str">
        <f>UPPER(Tabla11[[#This Row],[Comercial]])</f>
        <v>MARIA GARCIA 1254</v>
      </c>
      <c r="J619" s="24" t="str">
        <f>LOWER(Tabla11[[#This Row],[Comercial]])</f>
        <v>maria garcia 1254</v>
      </c>
      <c r="K619" s="227" t="str">
        <f>PROPER(Tabla11[[#This Row],[Comercial]])</f>
        <v>Maria Garcia 1254</v>
      </c>
      <c r="L619" t="s">
        <v>1506</v>
      </c>
      <c r="M619" t="str">
        <f>RIGHT(Tabla11[[#This Row],[Comercial]],4)</f>
        <v>1254</v>
      </c>
      <c r="N619" t="str">
        <f>LEFT(Tabla11[[#This Row],[Minuscula]],6)</f>
        <v xml:space="preserve">maria </v>
      </c>
    </row>
    <row r="620" spans="1:14">
      <c r="A620" s="226">
        <v>1619</v>
      </c>
      <c r="B620" s="224">
        <v>44737</v>
      </c>
      <c r="C620" s="207" t="s">
        <v>1501</v>
      </c>
      <c r="D620" s="207" t="s">
        <v>1497</v>
      </c>
      <c r="E620" s="207" t="s">
        <v>520</v>
      </c>
      <c r="F620" s="225">
        <v>557</v>
      </c>
      <c r="G620" s="225">
        <v>116.97</v>
      </c>
      <c r="H620" s="225">
        <v>673.97</v>
      </c>
      <c r="I620" s="24" t="str">
        <f>UPPER(Tabla11[[#This Row],[Comercial]])</f>
        <v>MARIO PEREZ 1123</v>
      </c>
      <c r="J620" s="24" t="str">
        <f>LOWER(Tabla11[[#This Row],[Comercial]])</f>
        <v>mario perez 1123</v>
      </c>
      <c r="K620" s="227" t="str">
        <f>PROPER(Tabla11[[#This Row],[Comercial]])</f>
        <v>Mario Perez 1123</v>
      </c>
      <c r="L620" t="s">
        <v>1510</v>
      </c>
      <c r="M620" t="str">
        <f>RIGHT(Tabla11[[#This Row],[Comercial]],4)</f>
        <v>1123</v>
      </c>
      <c r="N620" t="str">
        <f>LEFT(Tabla11[[#This Row],[Minuscula]],6)</f>
        <v xml:space="preserve">mario </v>
      </c>
    </row>
    <row r="621" spans="1:14">
      <c r="A621" s="226">
        <v>1620</v>
      </c>
      <c r="B621" s="224">
        <v>44740</v>
      </c>
      <c r="C621" s="207" t="s">
        <v>1495</v>
      </c>
      <c r="D621" s="207" t="s">
        <v>1497</v>
      </c>
      <c r="E621" s="207" t="s">
        <v>530</v>
      </c>
      <c r="F621" s="225">
        <v>13</v>
      </c>
      <c r="G621" s="225">
        <v>2.73</v>
      </c>
      <c r="H621" s="225">
        <v>15.73</v>
      </c>
      <c r="I621" s="24" t="str">
        <f>UPPER(Tabla11[[#This Row],[Comercial]])</f>
        <v>LUIS VALLE 5431</v>
      </c>
      <c r="J621" s="24" t="str">
        <f>LOWER(Tabla11[[#This Row],[Comercial]])</f>
        <v>luis valle 5431</v>
      </c>
      <c r="K621" s="227" t="str">
        <f>PROPER(Tabla11[[#This Row],[Comercial]])</f>
        <v>Luis Valle 5431</v>
      </c>
      <c r="L621" t="s">
        <v>1507</v>
      </c>
      <c r="M621" t="str">
        <f>RIGHT(Tabla11[[#This Row],[Comercial]],4)</f>
        <v>5431</v>
      </c>
      <c r="N621" t="str">
        <f>LEFT(Tabla11[[#This Row],[Minuscula]],6)</f>
        <v>luis v</v>
      </c>
    </row>
    <row r="622" spans="1:14">
      <c r="A622" s="226">
        <v>1621</v>
      </c>
      <c r="B622" s="224">
        <v>44741</v>
      </c>
      <c r="C622" s="207" t="s">
        <v>1495</v>
      </c>
      <c r="D622" s="207" t="s">
        <v>1503</v>
      </c>
      <c r="E622" s="207" t="s">
        <v>534</v>
      </c>
      <c r="F622" s="225">
        <v>5</v>
      </c>
      <c r="G622" s="225">
        <v>1.05</v>
      </c>
      <c r="H622" s="225">
        <v>6.05</v>
      </c>
      <c r="I622" s="24" t="str">
        <f>UPPER(Tabla11[[#This Row],[Comercial]])</f>
        <v>LUIS VALLE 5431</v>
      </c>
      <c r="J622" s="24" t="str">
        <f>LOWER(Tabla11[[#This Row],[Comercial]])</f>
        <v>luis valle 5431</v>
      </c>
      <c r="K622" s="227" t="str">
        <f>PROPER(Tabla11[[#This Row],[Comercial]])</f>
        <v>Luis Valle 5431</v>
      </c>
      <c r="L622" t="s">
        <v>1507</v>
      </c>
      <c r="M622" t="str">
        <f>RIGHT(Tabla11[[#This Row],[Comercial]],4)</f>
        <v>5431</v>
      </c>
      <c r="N622" t="str">
        <f>LEFT(Tabla11[[#This Row],[Minuscula]],6)</f>
        <v>luis v</v>
      </c>
    </row>
    <row r="623" spans="1:14">
      <c r="A623" s="226">
        <v>1622</v>
      </c>
      <c r="B623" s="224">
        <v>44744</v>
      </c>
      <c r="C623" s="207" t="s">
        <v>1496</v>
      </c>
      <c r="D623" s="207" t="s">
        <v>1503</v>
      </c>
      <c r="E623" s="207" t="s">
        <v>520</v>
      </c>
      <c r="F623" s="225">
        <v>997</v>
      </c>
      <c r="G623" s="225">
        <v>209.37</v>
      </c>
      <c r="H623" s="225">
        <v>1206.3699999999999</v>
      </c>
      <c r="I623" s="24" t="str">
        <f>UPPER(Tabla11[[#This Row],[Comercial]])</f>
        <v>PABLO LOPEZ 7384</v>
      </c>
      <c r="J623" s="24" t="str">
        <f>LOWER(Tabla11[[#This Row],[Comercial]])</f>
        <v>pablo lopez 7384</v>
      </c>
      <c r="K623" s="227" t="str">
        <f>PROPER(Tabla11[[#This Row],[Comercial]])</f>
        <v>Pablo Lopez 7384</v>
      </c>
      <c r="L623" t="s">
        <v>1508</v>
      </c>
      <c r="M623" t="str">
        <f>RIGHT(Tabla11[[#This Row],[Comercial]],4)</f>
        <v>7384</v>
      </c>
      <c r="N623" t="str">
        <f>LEFT(Tabla11[[#This Row],[Minuscula]],6)</f>
        <v xml:space="preserve">pablo </v>
      </c>
    </row>
    <row r="624" spans="1:14">
      <c r="A624" s="226">
        <v>1623</v>
      </c>
      <c r="B624" s="224">
        <v>44745</v>
      </c>
      <c r="C624" s="207" t="s">
        <v>1504</v>
      </c>
      <c r="D624" s="207" t="s">
        <v>1502</v>
      </c>
      <c r="E624" s="207" t="s">
        <v>534</v>
      </c>
      <c r="F624" s="225">
        <v>7</v>
      </c>
      <c r="G624" s="225">
        <v>1.47</v>
      </c>
      <c r="H624" s="225">
        <v>8.4700000000000006</v>
      </c>
      <c r="I624" s="24" t="str">
        <f>UPPER(Tabla11[[#This Row],[Comercial]])</f>
        <v>MARIA GARCIA 1254</v>
      </c>
      <c r="J624" s="24" t="str">
        <f>LOWER(Tabla11[[#This Row],[Comercial]])</f>
        <v>maria garcia 1254</v>
      </c>
      <c r="K624" s="227" t="str">
        <f>PROPER(Tabla11[[#This Row],[Comercial]])</f>
        <v>Maria Garcia 1254</v>
      </c>
      <c r="L624" t="s">
        <v>1506</v>
      </c>
      <c r="M624" t="str">
        <f>RIGHT(Tabla11[[#This Row],[Comercial]],4)</f>
        <v>1254</v>
      </c>
      <c r="N624" t="str">
        <f>LEFT(Tabla11[[#This Row],[Minuscula]],6)</f>
        <v xml:space="preserve">maria </v>
      </c>
    </row>
    <row r="625" spans="1:14">
      <c r="A625" s="226">
        <v>1624</v>
      </c>
      <c r="B625" s="224">
        <v>44748</v>
      </c>
      <c r="C625" s="207" t="s">
        <v>1501</v>
      </c>
      <c r="D625" s="207" t="s">
        <v>1497</v>
      </c>
      <c r="E625" s="207" t="s">
        <v>518</v>
      </c>
      <c r="F625" s="225">
        <v>23</v>
      </c>
      <c r="G625" s="225">
        <v>4.83</v>
      </c>
      <c r="H625" s="225">
        <v>27.83</v>
      </c>
      <c r="I625" s="24" t="str">
        <f>UPPER(Tabla11[[#This Row],[Comercial]])</f>
        <v>MARIO PEREZ 1123</v>
      </c>
      <c r="J625" s="24" t="str">
        <f>LOWER(Tabla11[[#This Row],[Comercial]])</f>
        <v>mario perez 1123</v>
      </c>
      <c r="K625" s="227" t="str">
        <f>PROPER(Tabla11[[#This Row],[Comercial]])</f>
        <v>Mario Perez 1123</v>
      </c>
      <c r="L625" t="s">
        <v>1510</v>
      </c>
      <c r="M625" t="str">
        <f>RIGHT(Tabla11[[#This Row],[Comercial]],4)</f>
        <v>1123</v>
      </c>
      <c r="N625" t="str">
        <f>LEFT(Tabla11[[#This Row],[Minuscula]],6)</f>
        <v xml:space="preserve">mario </v>
      </c>
    </row>
    <row r="626" spans="1:14">
      <c r="A626" s="226">
        <v>1625</v>
      </c>
      <c r="B626" s="224">
        <v>44748</v>
      </c>
      <c r="C626" s="207" t="s">
        <v>1500</v>
      </c>
      <c r="D626" s="207" t="s">
        <v>1502</v>
      </c>
      <c r="E626" s="207" t="s">
        <v>520</v>
      </c>
      <c r="F626" s="225">
        <v>377</v>
      </c>
      <c r="G626" s="225">
        <v>79.17</v>
      </c>
      <c r="H626" s="225">
        <v>456.17</v>
      </c>
      <c r="I626" s="24" t="str">
        <f>UPPER(Tabla11[[#This Row],[Comercial]])</f>
        <v>ANA FERNANDEZZ 4321</v>
      </c>
      <c r="J626" s="24" t="str">
        <f>LOWER(Tabla11[[#This Row],[Comercial]])</f>
        <v>ana fernandezz 4321</v>
      </c>
      <c r="K626" s="227" t="str">
        <f>PROPER(Tabla11[[#This Row],[Comercial]])</f>
        <v>Ana Fernandezz 4321</v>
      </c>
      <c r="L626" t="s">
        <v>1509</v>
      </c>
      <c r="M626" t="str">
        <f>RIGHT(Tabla11[[#This Row],[Comercial]],4)</f>
        <v>4321</v>
      </c>
      <c r="N626" t="str">
        <f>LEFT(Tabla11[[#This Row],[Minuscula]],6)</f>
        <v>ana fe</v>
      </c>
    </row>
    <row r="627" spans="1:14">
      <c r="A627" s="226">
        <v>1626</v>
      </c>
      <c r="B627" s="224">
        <v>44749</v>
      </c>
      <c r="C627" s="207" t="s">
        <v>1495</v>
      </c>
      <c r="D627" s="207" t="s">
        <v>1499</v>
      </c>
      <c r="E627" s="207" t="s">
        <v>518</v>
      </c>
      <c r="F627" s="225">
        <v>73</v>
      </c>
      <c r="G627" s="225">
        <v>15.33</v>
      </c>
      <c r="H627" s="225">
        <v>88.33</v>
      </c>
      <c r="I627" s="24" t="str">
        <f>UPPER(Tabla11[[#This Row],[Comercial]])</f>
        <v>LUIS VALLE 5431</v>
      </c>
      <c r="J627" s="24" t="str">
        <f>LOWER(Tabla11[[#This Row],[Comercial]])</f>
        <v>luis valle 5431</v>
      </c>
      <c r="K627" s="227" t="str">
        <f>PROPER(Tabla11[[#This Row],[Comercial]])</f>
        <v>Luis Valle 5431</v>
      </c>
      <c r="L627" t="s">
        <v>1507</v>
      </c>
      <c r="M627" t="str">
        <f>RIGHT(Tabla11[[#This Row],[Comercial]],4)</f>
        <v>5431</v>
      </c>
      <c r="N627" t="str">
        <f>LEFT(Tabla11[[#This Row],[Minuscula]],6)</f>
        <v>luis v</v>
      </c>
    </row>
    <row r="628" spans="1:14">
      <c r="A628" s="226">
        <v>1627</v>
      </c>
      <c r="B628" s="224">
        <v>44750</v>
      </c>
      <c r="C628" s="207" t="s">
        <v>1501</v>
      </c>
      <c r="D628" s="207" t="s">
        <v>1502</v>
      </c>
      <c r="E628" s="207" t="s">
        <v>525</v>
      </c>
      <c r="F628" s="225">
        <v>8</v>
      </c>
      <c r="G628" s="225">
        <v>1.68</v>
      </c>
      <c r="H628" s="225">
        <v>9.68</v>
      </c>
      <c r="I628" s="24" t="str">
        <f>UPPER(Tabla11[[#This Row],[Comercial]])</f>
        <v>MARIO PEREZ 1123</v>
      </c>
      <c r="J628" s="24" t="str">
        <f>LOWER(Tabla11[[#This Row],[Comercial]])</f>
        <v>mario perez 1123</v>
      </c>
      <c r="K628" s="227" t="str">
        <f>PROPER(Tabla11[[#This Row],[Comercial]])</f>
        <v>Mario Perez 1123</v>
      </c>
      <c r="L628" t="s">
        <v>1510</v>
      </c>
      <c r="M628" t="str">
        <f>RIGHT(Tabla11[[#This Row],[Comercial]],4)</f>
        <v>1123</v>
      </c>
      <c r="N628" t="str">
        <f>LEFT(Tabla11[[#This Row],[Minuscula]],6)</f>
        <v xml:space="preserve">mario </v>
      </c>
    </row>
    <row r="629" spans="1:14">
      <c r="A629" s="226">
        <v>1628</v>
      </c>
      <c r="B629" s="224">
        <v>44751</v>
      </c>
      <c r="C629" s="207" t="s">
        <v>1500</v>
      </c>
      <c r="D629" s="207" t="s">
        <v>1499</v>
      </c>
      <c r="E629" s="207" t="s">
        <v>534</v>
      </c>
      <c r="F629" s="225">
        <v>5</v>
      </c>
      <c r="G629" s="225">
        <v>1.05</v>
      </c>
      <c r="H629" s="225">
        <v>6.05</v>
      </c>
      <c r="I629" s="24" t="str">
        <f>UPPER(Tabla11[[#This Row],[Comercial]])</f>
        <v>ANA FERNANDEZZ 4321</v>
      </c>
      <c r="J629" s="24" t="str">
        <f>LOWER(Tabla11[[#This Row],[Comercial]])</f>
        <v>ana fernandezz 4321</v>
      </c>
      <c r="K629" s="227" t="str">
        <f>PROPER(Tabla11[[#This Row],[Comercial]])</f>
        <v>Ana Fernandezz 4321</v>
      </c>
      <c r="L629" t="s">
        <v>1509</v>
      </c>
      <c r="M629" t="str">
        <f>RIGHT(Tabla11[[#This Row],[Comercial]],4)</f>
        <v>4321</v>
      </c>
      <c r="N629" t="str">
        <f>LEFT(Tabla11[[#This Row],[Minuscula]],6)</f>
        <v>ana fe</v>
      </c>
    </row>
    <row r="630" spans="1:14">
      <c r="A630" s="226">
        <v>1629</v>
      </c>
      <c r="B630" s="224">
        <v>44751</v>
      </c>
      <c r="C630" s="207" t="s">
        <v>1496</v>
      </c>
      <c r="D630" s="207" t="s">
        <v>1502</v>
      </c>
      <c r="E630" s="207" t="s">
        <v>518</v>
      </c>
      <c r="F630" s="225">
        <v>10</v>
      </c>
      <c r="G630" s="225">
        <v>2.1</v>
      </c>
      <c r="H630" s="225">
        <v>12.1</v>
      </c>
      <c r="I630" s="24" t="str">
        <f>UPPER(Tabla11[[#This Row],[Comercial]])</f>
        <v>PABLO LOPEZ 7384</v>
      </c>
      <c r="J630" s="24" t="str">
        <f>LOWER(Tabla11[[#This Row],[Comercial]])</f>
        <v>pablo lopez 7384</v>
      </c>
      <c r="K630" s="227" t="str">
        <f>PROPER(Tabla11[[#This Row],[Comercial]])</f>
        <v>Pablo Lopez 7384</v>
      </c>
      <c r="L630" t="s">
        <v>1508</v>
      </c>
      <c r="M630" t="str">
        <f>RIGHT(Tabla11[[#This Row],[Comercial]],4)</f>
        <v>7384</v>
      </c>
      <c r="N630" t="str">
        <f>LEFT(Tabla11[[#This Row],[Minuscula]],6)</f>
        <v xml:space="preserve">pablo </v>
      </c>
    </row>
    <row r="631" spans="1:14">
      <c r="A631" s="226">
        <v>1630</v>
      </c>
      <c r="B631" s="224">
        <v>44751</v>
      </c>
      <c r="C631" s="207" t="s">
        <v>1501</v>
      </c>
      <c r="D631" s="207" t="s">
        <v>1503</v>
      </c>
      <c r="E631" s="207" t="s">
        <v>520</v>
      </c>
      <c r="F631" s="225">
        <v>972</v>
      </c>
      <c r="G631" s="225">
        <v>204.12</v>
      </c>
      <c r="H631" s="225">
        <v>1176.1199999999999</v>
      </c>
      <c r="I631" s="24" t="str">
        <f>UPPER(Tabla11[[#This Row],[Comercial]])</f>
        <v>MARIO PEREZ 1123</v>
      </c>
      <c r="J631" s="24" t="str">
        <f>LOWER(Tabla11[[#This Row],[Comercial]])</f>
        <v>mario perez 1123</v>
      </c>
      <c r="K631" s="227" t="str">
        <f>PROPER(Tabla11[[#This Row],[Comercial]])</f>
        <v>Mario Perez 1123</v>
      </c>
      <c r="L631" t="s">
        <v>1510</v>
      </c>
      <c r="M631" t="str">
        <f>RIGHT(Tabla11[[#This Row],[Comercial]],4)</f>
        <v>1123</v>
      </c>
      <c r="N631" t="str">
        <f>LEFT(Tabla11[[#This Row],[Minuscula]],6)</f>
        <v xml:space="preserve">mario </v>
      </c>
    </row>
    <row r="632" spans="1:14">
      <c r="A632" s="226">
        <v>1631</v>
      </c>
      <c r="B632" s="224">
        <v>44752</v>
      </c>
      <c r="C632" s="207" t="s">
        <v>1501</v>
      </c>
      <c r="D632" s="207" t="s">
        <v>1494</v>
      </c>
      <c r="E632" s="207" t="s">
        <v>525</v>
      </c>
      <c r="F632" s="225">
        <v>22</v>
      </c>
      <c r="G632" s="225">
        <v>4.62</v>
      </c>
      <c r="H632" s="225">
        <v>26.62</v>
      </c>
      <c r="I632" s="24" t="str">
        <f>UPPER(Tabla11[[#This Row],[Comercial]])</f>
        <v>MARIO PEREZ 1123</v>
      </c>
      <c r="J632" s="24" t="str">
        <f>LOWER(Tabla11[[#This Row],[Comercial]])</f>
        <v>mario perez 1123</v>
      </c>
      <c r="K632" s="227" t="str">
        <f>PROPER(Tabla11[[#This Row],[Comercial]])</f>
        <v>Mario Perez 1123</v>
      </c>
      <c r="L632" t="s">
        <v>1510</v>
      </c>
      <c r="M632" t="str">
        <f>RIGHT(Tabla11[[#This Row],[Comercial]],4)</f>
        <v>1123</v>
      </c>
      <c r="N632" t="str">
        <f>LEFT(Tabla11[[#This Row],[Minuscula]],6)</f>
        <v xml:space="preserve">mario </v>
      </c>
    </row>
    <row r="633" spans="1:14">
      <c r="A633" s="226">
        <v>1632</v>
      </c>
      <c r="B633" s="224">
        <v>44753</v>
      </c>
      <c r="C633" s="207" t="s">
        <v>1501</v>
      </c>
      <c r="D633" s="207" t="s">
        <v>1503</v>
      </c>
      <c r="E633" s="207" t="s">
        <v>525</v>
      </c>
      <c r="F633" s="225">
        <v>23</v>
      </c>
      <c r="G633" s="225">
        <v>4.83</v>
      </c>
      <c r="H633" s="225">
        <v>27.83</v>
      </c>
      <c r="I633" s="24" t="str">
        <f>UPPER(Tabla11[[#This Row],[Comercial]])</f>
        <v>MARIO PEREZ 1123</v>
      </c>
      <c r="J633" s="24" t="str">
        <f>LOWER(Tabla11[[#This Row],[Comercial]])</f>
        <v>mario perez 1123</v>
      </c>
      <c r="K633" s="227" t="str">
        <f>PROPER(Tabla11[[#This Row],[Comercial]])</f>
        <v>Mario Perez 1123</v>
      </c>
      <c r="L633" t="s">
        <v>1510</v>
      </c>
      <c r="M633" t="str">
        <f>RIGHT(Tabla11[[#This Row],[Comercial]],4)</f>
        <v>1123</v>
      </c>
      <c r="N633" t="str">
        <f>LEFT(Tabla11[[#This Row],[Minuscula]],6)</f>
        <v xml:space="preserve">mario </v>
      </c>
    </row>
    <row r="634" spans="1:14">
      <c r="A634" s="226">
        <v>1633</v>
      </c>
      <c r="B634" s="224">
        <v>44753</v>
      </c>
      <c r="C634" s="207" t="s">
        <v>1501</v>
      </c>
      <c r="D634" s="207" t="s">
        <v>1503</v>
      </c>
      <c r="E634" s="207" t="s">
        <v>518</v>
      </c>
      <c r="F634" s="225">
        <v>243</v>
      </c>
      <c r="G634" s="225">
        <v>51.03</v>
      </c>
      <c r="H634" s="225">
        <v>294.02999999999997</v>
      </c>
      <c r="I634" s="24" t="str">
        <f>UPPER(Tabla11[[#This Row],[Comercial]])</f>
        <v>MARIO PEREZ 1123</v>
      </c>
      <c r="J634" s="24" t="str">
        <f>LOWER(Tabla11[[#This Row],[Comercial]])</f>
        <v>mario perez 1123</v>
      </c>
      <c r="K634" s="227" t="str">
        <f>PROPER(Tabla11[[#This Row],[Comercial]])</f>
        <v>Mario Perez 1123</v>
      </c>
      <c r="L634" t="s">
        <v>1510</v>
      </c>
      <c r="M634" t="str">
        <f>RIGHT(Tabla11[[#This Row],[Comercial]],4)</f>
        <v>1123</v>
      </c>
      <c r="N634" t="str">
        <f>LEFT(Tabla11[[#This Row],[Minuscula]],6)</f>
        <v xml:space="preserve">mario </v>
      </c>
    </row>
    <row r="635" spans="1:14">
      <c r="A635" s="226">
        <v>1634</v>
      </c>
      <c r="B635" s="224">
        <v>44753</v>
      </c>
      <c r="C635" s="207" t="s">
        <v>1495</v>
      </c>
      <c r="D635" s="207" t="s">
        <v>1502</v>
      </c>
      <c r="E635" s="207" t="s">
        <v>534</v>
      </c>
      <c r="F635" s="225">
        <v>5</v>
      </c>
      <c r="G635" s="225">
        <v>1.05</v>
      </c>
      <c r="H635" s="225">
        <v>6.05</v>
      </c>
      <c r="I635" s="24" t="str">
        <f>UPPER(Tabla11[[#This Row],[Comercial]])</f>
        <v>LUIS VALLE 5431</v>
      </c>
      <c r="J635" s="24" t="str">
        <f>LOWER(Tabla11[[#This Row],[Comercial]])</f>
        <v>luis valle 5431</v>
      </c>
      <c r="K635" s="227" t="str">
        <f>PROPER(Tabla11[[#This Row],[Comercial]])</f>
        <v>Luis Valle 5431</v>
      </c>
      <c r="L635" t="s">
        <v>1507</v>
      </c>
      <c r="M635" t="str">
        <f>RIGHT(Tabla11[[#This Row],[Comercial]],4)</f>
        <v>5431</v>
      </c>
      <c r="N635" t="str">
        <f>LEFT(Tabla11[[#This Row],[Minuscula]],6)</f>
        <v>luis v</v>
      </c>
    </row>
    <row r="636" spans="1:14">
      <c r="A636" s="226">
        <v>1635</v>
      </c>
      <c r="B636" s="224">
        <v>44754</v>
      </c>
      <c r="C636" s="207" t="s">
        <v>1500</v>
      </c>
      <c r="D636" s="207" t="s">
        <v>1502</v>
      </c>
      <c r="E636" s="207" t="s">
        <v>520</v>
      </c>
      <c r="F636" s="225">
        <v>315</v>
      </c>
      <c r="G636" s="225">
        <v>66.150000000000006</v>
      </c>
      <c r="H636" s="225">
        <v>381.15</v>
      </c>
      <c r="I636" s="24" t="str">
        <f>UPPER(Tabla11[[#This Row],[Comercial]])</f>
        <v>ANA FERNANDEZZ 4321</v>
      </c>
      <c r="J636" s="24" t="str">
        <f>LOWER(Tabla11[[#This Row],[Comercial]])</f>
        <v>ana fernandezz 4321</v>
      </c>
      <c r="K636" s="227" t="str">
        <f>PROPER(Tabla11[[#This Row],[Comercial]])</f>
        <v>Ana Fernandezz 4321</v>
      </c>
      <c r="L636" t="s">
        <v>1509</v>
      </c>
      <c r="M636" t="str">
        <f>RIGHT(Tabla11[[#This Row],[Comercial]],4)</f>
        <v>4321</v>
      </c>
      <c r="N636" t="str">
        <f>LEFT(Tabla11[[#This Row],[Minuscula]],6)</f>
        <v>ana fe</v>
      </c>
    </row>
    <row r="637" spans="1:14">
      <c r="A637" s="226">
        <v>1636</v>
      </c>
      <c r="B637" s="224">
        <v>44755</v>
      </c>
      <c r="C637" s="207" t="s">
        <v>1500</v>
      </c>
      <c r="D637" s="207" t="s">
        <v>1503</v>
      </c>
      <c r="E637" s="207" t="s">
        <v>520</v>
      </c>
      <c r="F637" s="225">
        <v>1082</v>
      </c>
      <c r="G637" s="225">
        <v>227.22</v>
      </c>
      <c r="H637" s="225">
        <v>1309.22</v>
      </c>
      <c r="I637" s="24" t="str">
        <f>UPPER(Tabla11[[#This Row],[Comercial]])</f>
        <v>ANA FERNANDEZZ 4321</v>
      </c>
      <c r="J637" s="24" t="str">
        <f>LOWER(Tabla11[[#This Row],[Comercial]])</f>
        <v>ana fernandezz 4321</v>
      </c>
      <c r="K637" s="227" t="str">
        <f>PROPER(Tabla11[[#This Row],[Comercial]])</f>
        <v>Ana Fernandezz 4321</v>
      </c>
      <c r="L637" t="s">
        <v>1509</v>
      </c>
      <c r="M637" t="str">
        <f>RIGHT(Tabla11[[#This Row],[Comercial]],4)</f>
        <v>4321</v>
      </c>
      <c r="N637" t="str">
        <f>LEFT(Tabla11[[#This Row],[Minuscula]],6)</f>
        <v>ana fe</v>
      </c>
    </row>
    <row r="638" spans="1:14">
      <c r="A638" s="226">
        <v>1637</v>
      </c>
      <c r="B638" s="224">
        <v>44755</v>
      </c>
      <c r="C638" s="207" t="s">
        <v>1504</v>
      </c>
      <c r="D638" s="207" t="s">
        <v>1499</v>
      </c>
      <c r="E638" s="207" t="s">
        <v>534</v>
      </c>
      <c r="F638" s="225">
        <v>6</v>
      </c>
      <c r="G638" s="225">
        <v>1.26</v>
      </c>
      <c r="H638" s="225">
        <v>7.26</v>
      </c>
      <c r="I638" s="24" t="str">
        <f>UPPER(Tabla11[[#This Row],[Comercial]])</f>
        <v>MARIA GARCIA 1254</v>
      </c>
      <c r="J638" s="24" t="str">
        <f>LOWER(Tabla11[[#This Row],[Comercial]])</f>
        <v>maria garcia 1254</v>
      </c>
      <c r="K638" s="227" t="str">
        <f>PROPER(Tabla11[[#This Row],[Comercial]])</f>
        <v>Maria Garcia 1254</v>
      </c>
      <c r="L638" t="s">
        <v>1506</v>
      </c>
      <c r="M638" t="str">
        <f>RIGHT(Tabla11[[#This Row],[Comercial]],4)</f>
        <v>1254</v>
      </c>
      <c r="N638" t="str">
        <f>LEFT(Tabla11[[#This Row],[Minuscula]],6)</f>
        <v xml:space="preserve">maria </v>
      </c>
    </row>
    <row r="639" spans="1:14">
      <c r="A639" s="226">
        <v>1638</v>
      </c>
      <c r="B639" s="224">
        <v>44756</v>
      </c>
      <c r="C639" s="207" t="s">
        <v>1500</v>
      </c>
      <c r="D639" s="207" t="s">
        <v>1502</v>
      </c>
      <c r="E639" s="207" t="s">
        <v>518</v>
      </c>
      <c r="F639" s="225">
        <v>10</v>
      </c>
      <c r="G639" s="225">
        <v>2.1</v>
      </c>
      <c r="H639" s="225">
        <v>12.1</v>
      </c>
      <c r="I639" s="24" t="str">
        <f>UPPER(Tabla11[[#This Row],[Comercial]])</f>
        <v>ANA FERNANDEZZ 4321</v>
      </c>
      <c r="J639" s="24" t="str">
        <f>LOWER(Tabla11[[#This Row],[Comercial]])</f>
        <v>ana fernandezz 4321</v>
      </c>
      <c r="K639" s="227" t="str">
        <f>PROPER(Tabla11[[#This Row],[Comercial]])</f>
        <v>Ana Fernandezz 4321</v>
      </c>
      <c r="L639" t="s">
        <v>1509</v>
      </c>
      <c r="M639" t="str">
        <f>RIGHT(Tabla11[[#This Row],[Comercial]],4)</f>
        <v>4321</v>
      </c>
      <c r="N639" t="str">
        <f>LEFT(Tabla11[[#This Row],[Minuscula]],6)</f>
        <v>ana fe</v>
      </c>
    </row>
    <row r="640" spans="1:14">
      <c r="A640" s="231">
        <v>1639</v>
      </c>
      <c r="B640" s="232">
        <v>44756</v>
      </c>
      <c r="C640" s="233" t="s">
        <v>1501</v>
      </c>
      <c r="D640" s="233" t="s">
        <v>1503</v>
      </c>
      <c r="E640" s="233" t="s">
        <v>530</v>
      </c>
      <c r="F640" s="234">
        <v>28</v>
      </c>
      <c r="G640" s="234">
        <v>5.88</v>
      </c>
      <c r="H640" s="234">
        <v>33.880000000000003</v>
      </c>
      <c r="I640" s="151" t="str">
        <f>UPPER(Tabla11[[#This Row],[Comercial]])</f>
        <v>MARIO PEREZ 1123</v>
      </c>
      <c r="J640" s="151" t="str">
        <f>LOWER(Tabla11[[#This Row],[Comercial]])</f>
        <v>mario perez 1123</v>
      </c>
      <c r="K640" s="235" t="str">
        <f>PROPER(Tabla11[[#This Row],[Comercial]])</f>
        <v>Mario Perez 1123</v>
      </c>
      <c r="L640" t="s">
        <v>1510</v>
      </c>
      <c r="M640" t="str">
        <f>RIGHT(Tabla11[[#This Row],[Comercial]],4)</f>
        <v>1123</v>
      </c>
      <c r="N640" t="str">
        <f>LEFT(Tabla11[[#This Row],[Minuscula]],6)</f>
        <v xml:space="preserve">mario </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45DD1-95FF-4CE0-9A2B-A1F30479954D}">
  <dimension ref="C1:AE1107"/>
  <sheetViews>
    <sheetView showGridLines="0" tabSelected="1" topLeftCell="N172" zoomScale="55" zoomScaleNormal="55" workbookViewId="0">
      <selection activeCell="S203" sqref="S203"/>
    </sheetView>
  </sheetViews>
  <sheetFormatPr baseColWidth="10" defaultRowHeight="15"/>
  <cols>
    <col min="6" max="6" width="13.5703125" customWidth="1"/>
    <col min="8" max="8" width="14" customWidth="1"/>
    <col min="12" max="12" width="11.7109375" customWidth="1"/>
    <col min="13" max="13" width="13.5703125" customWidth="1"/>
    <col min="14" max="14" width="14" customWidth="1"/>
    <col min="15" max="15" width="17.5703125" bestFit="1" customWidth="1"/>
    <col min="16" max="16" width="22.42578125" bestFit="1" customWidth="1"/>
    <col min="17" max="18" width="12.28515625" bestFit="1" customWidth="1"/>
    <col min="19" max="20" width="13.28515625" bestFit="1" customWidth="1"/>
    <col min="21" max="21" width="12.5703125" bestFit="1" customWidth="1"/>
    <col min="22" max="517" width="22.42578125" bestFit="1" customWidth="1"/>
    <col min="518" max="518" width="12.5703125" bestFit="1" customWidth="1"/>
  </cols>
  <sheetData>
    <row r="1" spans="3:31">
      <c r="C1" s="236" t="s">
        <v>1513</v>
      </c>
      <c r="D1" s="236" t="s">
        <v>1514</v>
      </c>
      <c r="E1" s="236" t="s">
        <v>1515</v>
      </c>
      <c r="F1" s="236" t="s">
        <v>1516</v>
      </c>
      <c r="G1" s="236" t="s">
        <v>1517</v>
      </c>
      <c r="H1" s="236" t="s">
        <v>1518</v>
      </c>
      <c r="I1" s="236" t="s">
        <v>1519</v>
      </c>
      <c r="J1" s="236" t="s">
        <v>1535</v>
      </c>
      <c r="K1" s="236" t="s">
        <v>1513</v>
      </c>
      <c r="L1" s="236" t="s">
        <v>1514</v>
      </c>
      <c r="M1" s="236" t="s">
        <v>1515</v>
      </c>
      <c r="N1" s="236" t="s">
        <v>1516</v>
      </c>
      <c r="O1" s="236" t="s">
        <v>1517</v>
      </c>
      <c r="P1" s="236" t="s">
        <v>1518</v>
      </c>
      <c r="Q1" s="236" t="s">
        <v>1519</v>
      </c>
      <c r="R1" s="236" t="s">
        <v>1536</v>
      </c>
      <c r="S1" s="236" t="s">
        <v>1514</v>
      </c>
      <c r="T1" s="236" t="s">
        <v>1515</v>
      </c>
      <c r="U1" s="236" t="s">
        <v>1516</v>
      </c>
      <c r="V1" s="236" t="s">
        <v>1517</v>
      </c>
      <c r="W1" s="236" t="s">
        <v>1518</v>
      </c>
      <c r="X1" s="236" t="s">
        <v>1519</v>
      </c>
      <c r="Z1" s="236" t="s">
        <v>1514</v>
      </c>
      <c r="AA1" s="236" t="s">
        <v>1515</v>
      </c>
      <c r="AB1" s="236" t="s">
        <v>1516</v>
      </c>
      <c r="AC1" s="236" t="s">
        <v>1517</v>
      </c>
      <c r="AD1" s="236" t="s">
        <v>1518</v>
      </c>
      <c r="AE1" s="236" t="s">
        <v>1519</v>
      </c>
    </row>
    <row r="2" spans="3:31">
      <c r="C2" s="135">
        <v>1308</v>
      </c>
      <c r="D2" s="237">
        <v>44470</v>
      </c>
      <c r="E2" s="135" t="s">
        <v>1520</v>
      </c>
      <c r="F2" s="135" t="s">
        <v>534</v>
      </c>
      <c r="G2" s="238">
        <v>9</v>
      </c>
      <c r="H2" s="238">
        <v>1.89</v>
      </c>
      <c r="I2" s="238">
        <v>10.89</v>
      </c>
      <c r="J2">
        <f>COUNTIF(Tabla12[[#This Row],[FACTURA]],Tabla12[[#This Row],[FACTURA]])</f>
        <v>1</v>
      </c>
      <c r="K2" s="135">
        <v>1308</v>
      </c>
      <c r="L2" s="237">
        <v>44470</v>
      </c>
      <c r="M2" s="135" t="s">
        <v>1520</v>
      </c>
      <c r="N2" s="135" t="s">
        <v>534</v>
      </c>
      <c r="O2" s="238">
        <v>9</v>
      </c>
      <c r="P2" s="238">
        <v>1.89</v>
      </c>
      <c r="Q2" s="238">
        <v>10.89</v>
      </c>
      <c r="R2" s="135">
        <f>COUNTIF(Tabla12[FACTURA],Tabla12[[#This Row],[FACTURA]])</f>
        <v>1</v>
      </c>
      <c r="S2" s="237">
        <v>44470</v>
      </c>
      <c r="T2" s="135" t="s">
        <v>1520</v>
      </c>
      <c r="U2" s="135" t="s">
        <v>534</v>
      </c>
      <c r="V2" s="238">
        <v>9</v>
      </c>
      <c r="W2" s="238">
        <v>1.89</v>
      </c>
      <c r="X2" s="238">
        <v>10.89</v>
      </c>
      <c r="Z2" s="237">
        <v>44470</v>
      </c>
      <c r="AA2" s="135" t="s">
        <v>1520</v>
      </c>
      <c r="AB2" s="135" t="s">
        <v>534</v>
      </c>
      <c r="AC2" s="238">
        <v>9</v>
      </c>
      <c r="AD2" s="238">
        <v>1.89</v>
      </c>
      <c r="AE2" s="238">
        <v>10.89</v>
      </c>
    </row>
    <row r="3" spans="3:31">
      <c r="C3" s="135">
        <v>1309</v>
      </c>
      <c r="D3" s="237">
        <v>44472</v>
      </c>
      <c r="E3" s="135" t="s">
        <v>1520</v>
      </c>
      <c r="F3" s="135" t="s">
        <v>530</v>
      </c>
      <c r="G3" s="238">
        <v>43</v>
      </c>
      <c r="H3" s="238">
        <v>9.0299999999999994</v>
      </c>
      <c r="I3" s="238">
        <v>52.03</v>
      </c>
      <c r="J3">
        <f>COUNTIF(Tabla12[[#This Row],[FACTURA]],Tabla12[[#This Row],[FACTURA]])</f>
        <v>1</v>
      </c>
      <c r="K3" s="135">
        <v>1309</v>
      </c>
      <c r="L3" s="237">
        <v>44472</v>
      </c>
      <c r="M3" s="135" t="s">
        <v>1520</v>
      </c>
      <c r="N3" s="135" t="s">
        <v>530</v>
      </c>
      <c r="O3" s="238">
        <v>43</v>
      </c>
      <c r="P3" s="238">
        <v>9.0299999999999994</v>
      </c>
      <c r="Q3" s="238">
        <v>52.03</v>
      </c>
      <c r="R3" s="135">
        <f>COUNTIF(Tabla12[FACTURA],Tabla12[[#This Row],[FACTURA]])</f>
        <v>1</v>
      </c>
      <c r="S3" s="237">
        <v>44470</v>
      </c>
      <c r="T3" s="135" t="s">
        <v>1527</v>
      </c>
      <c r="U3" s="135" t="s">
        <v>530</v>
      </c>
      <c r="V3" s="238">
        <v>43</v>
      </c>
      <c r="W3" s="238">
        <v>9.0299999999999994</v>
      </c>
      <c r="X3" s="238">
        <v>52.03</v>
      </c>
      <c r="Z3" s="237">
        <v>44470</v>
      </c>
      <c r="AA3" s="135" t="str">
        <f t="shared" ref="AA3:AA10" si="0">AA2</f>
        <v>Ana</v>
      </c>
      <c r="AB3" s="135" t="s">
        <v>530</v>
      </c>
      <c r="AC3" s="238">
        <v>43</v>
      </c>
      <c r="AD3" s="238">
        <v>9.0299999999999994</v>
      </c>
      <c r="AE3" s="238">
        <v>52.03</v>
      </c>
    </row>
    <row r="4" spans="3:31">
      <c r="C4" s="135">
        <v>1310</v>
      </c>
      <c r="D4" s="237">
        <v>44473</v>
      </c>
      <c r="E4" s="135" t="s">
        <v>1520</v>
      </c>
      <c r="F4" s="135" t="s">
        <v>534</v>
      </c>
      <c r="G4" s="238">
        <v>9</v>
      </c>
      <c r="H4" s="238">
        <v>1.89</v>
      </c>
      <c r="I4" s="238">
        <v>10.89</v>
      </c>
      <c r="J4">
        <f>COUNTIF(Tabla12[[#This Row],[FACTURA]],Tabla12[[#This Row],[FACTURA]])</f>
        <v>1</v>
      </c>
      <c r="K4" s="135">
        <v>1310</v>
      </c>
      <c r="L4" s="237">
        <v>44473</v>
      </c>
      <c r="M4" s="135" t="s">
        <v>1520</v>
      </c>
      <c r="N4" s="135" t="s">
        <v>534</v>
      </c>
      <c r="O4" s="238">
        <v>9</v>
      </c>
      <c r="P4" s="238">
        <v>1.89</v>
      </c>
      <c r="Q4" s="238">
        <v>10.89</v>
      </c>
      <c r="R4" s="135">
        <f>COUNTIF(Tabla12[FACTURA],Tabla12[[#This Row],[FACTURA]])</f>
        <v>1</v>
      </c>
      <c r="S4" s="237">
        <v>44470</v>
      </c>
      <c r="T4" s="135"/>
      <c r="U4" s="135" t="s">
        <v>534</v>
      </c>
      <c r="V4" s="238">
        <v>9</v>
      </c>
      <c r="W4" s="238">
        <v>1.89</v>
      </c>
      <c r="X4" s="238">
        <v>10.89</v>
      </c>
      <c r="Z4" s="237">
        <v>44470</v>
      </c>
      <c r="AA4" s="135" t="str">
        <f t="shared" si="0"/>
        <v>Ana</v>
      </c>
      <c r="AB4" s="135" t="s">
        <v>534</v>
      </c>
      <c r="AC4" s="238">
        <v>9</v>
      </c>
      <c r="AD4" s="238">
        <v>1.89</v>
      </c>
      <c r="AE4" s="238">
        <v>10.89</v>
      </c>
    </row>
    <row r="5" spans="3:31">
      <c r="C5" s="310" t="s">
        <v>1523</v>
      </c>
      <c r="D5" s="310"/>
      <c r="E5" s="310"/>
      <c r="F5" s="310"/>
      <c r="G5" s="310"/>
      <c r="H5" s="310"/>
      <c r="I5" s="310"/>
      <c r="J5">
        <f>COUNTIF(Tabla12[[#This Row],[FACTURA]],Tabla12[[#This Row],[FACTURA]])</f>
        <v>1</v>
      </c>
      <c r="K5" s="135">
        <v>1311</v>
      </c>
      <c r="L5" s="237">
        <v>44473</v>
      </c>
      <c r="M5" s="135" t="s">
        <v>1520</v>
      </c>
      <c r="N5" s="135" t="s">
        <v>534</v>
      </c>
      <c r="O5" s="238">
        <v>5</v>
      </c>
      <c r="P5" s="238">
        <v>1.05</v>
      </c>
      <c r="Q5" s="238">
        <v>6.05</v>
      </c>
      <c r="R5" s="135">
        <f>COUNTIF(Tabla12[FACTURA],Tabla12[[#This Row],[FACTURA]])</f>
        <v>1</v>
      </c>
      <c r="S5" s="237">
        <v>44470</v>
      </c>
      <c r="T5" s="135"/>
      <c r="U5" s="135" t="s">
        <v>534</v>
      </c>
      <c r="V5" s="238">
        <v>5</v>
      </c>
      <c r="W5" s="238">
        <v>1.05</v>
      </c>
      <c r="X5" s="238">
        <v>6.05</v>
      </c>
      <c r="Z5" s="237">
        <v>44470</v>
      </c>
      <c r="AA5" s="135" t="str">
        <f t="shared" si="0"/>
        <v>Ana</v>
      </c>
      <c r="AB5" s="135" t="s">
        <v>534</v>
      </c>
      <c r="AC5" s="238">
        <v>5</v>
      </c>
      <c r="AD5" s="238">
        <v>1.05</v>
      </c>
      <c r="AE5" s="238">
        <v>6.05</v>
      </c>
    </row>
    <row r="6" spans="3:31">
      <c r="C6" s="135"/>
      <c r="D6" s="135"/>
      <c r="E6" s="135"/>
      <c r="F6" s="135"/>
      <c r="G6" s="135"/>
      <c r="H6" s="135"/>
      <c r="I6" s="135"/>
      <c r="K6" s="135">
        <v>1312</v>
      </c>
      <c r="L6" s="237">
        <v>44473</v>
      </c>
      <c r="M6" s="135" t="s">
        <v>459</v>
      </c>
      <c r="N6" s="135" t="s">
        <v>530</v>
      </c>
      <c r="O6" s="238">
        <v>14</v>
      </c>
      <c r="P6" s="238">
        <v>2.94</v>
      </c>
      <c r="Q6" s="238">
        <v>16.940000000000001</v>
      </c>
      <c r="R6" s="135">
        <f>COUNTIF(Tabla12[FACTURA],Tabla12[[#This Row],[FACTURA]])</f>
        <v>1</v>
      </c>
      <c r="S6" s="237">
        <v>44470</v>
      </c>
      <c r="T6" s="135"/>
      <c r="U6" s="135" t="s">
        <v>530</v>
      </c>
      <c r="V6" s="238">
        <v>14</v>
      </c>
      <c r="W6" s="238">
        <v>2.94</v>
      </c>
      <c r="X6" s="238">
        <v>16.940000000000001</v>
      </c>
      <c r="Z6" s="237">
        <v>44470</v>
      </c>
      <c r="AA6" s="135" t="str">
        <f t="shared" si="0"/>
        <v>Ana</v>
      </c>
      <c r="AB6" s="135" t="s">
        <v>530</v>
      </c>
      <c r="AC6" s="238">
        <v>14</v>
      </c>
      <c r="AD6" s="238">
        <v>2.94</v>
      </c>
      <c r="AE6" s="238">
        <v>16.940000000000001</v>
      </c>
    </row>
    <row r="7" spans="3:31">
      <c r="C7" s="135">
        <v>1311</v>
      </c>
      <c r="D7" s="237">
        <v>44473</v>
      </c>
      <c r="E7" s="135" t="s">
        <v>1520</v>
      </c>
      <c r="F7" s="135" t="s">
        <v>534</v>
      </c>
      <c r="G7" s="238">
        <v>5</v>
      </c>
      <c r="H7" s="238">
        <v>1.05</v>
      </c>
      <c r="I7" s="238">
        <v>6.05</v>
      </c>
      <c r="K7" s="135">
        <v>1313</v>
      </c>
      <c r="L7" s="237">
        <v>44474</v>
      </c>
      <c r="M7" s="135" t="s">
        <v>459</v>
      </c>
      <c r="N7" s="135" t="s">
        <v>534</v>
      </c>
      <c r="O7" s="238">
        <v>10</v>
      </c>
      <c r="P7" s="238">
        <v>2.1</v>
      </c>
      <c r="Q7" s="238">
        <v>12.1</v>
      </c>
      <c r="R7" s="135">
        <f>COUNTIF(Tabla12[FACTURA],Tabla12[[#This Row],[FACTURA]])</f>
        <v>1</v>
      </c>
      <c r="S7" s="237">
        <v>44470</v>
      </c>
      <c r="T7" s="135"/>
      <c r="U7" s="135" t="s">
        <v>534</v>
      </c>
      <c r="V7" s="238">
        <v>13</v>
      </c>
      <c r="W7" s="238">
        <v>2.73</v>
      </c>
      <c r="X7" s="238">
        <v>15.73</v>
      </c>
      <c r="Z7" s="237">
        <v>44470</v>
      </c>
      <c r="AA7" s="135" t="str">
        <f t="shared" si="0"/>
        <v>Ana</v>
      </c>
      <c r="AB7" s="135" t="s">
        <v>534</v>
      </c>
      <c r="AC7" s="238">
        <v>13</v>
      </c>
      <c r="AD7" s="238">
        <v>2.73</v>
      </c>
      <c r="AE7" s="238">
        <v>15.73</v>
      </c>
    </row>
    <row r="8" spans="3:31">
      <c r="C8" s="135"/>
      <c r="D8" s="135"/>
      <c r="E8" s="135"/>
      <c r="F8" s="135"/>
      <c r="G8" s="135"/>
      <c r="H8" s="135"/>
      <c r="I8" s="135"/>
      <c r="K8" s="135">
        <v>1314</v>
      </c>
      <c r="L8" s="237">
        <v>44475</v>
      </c>
      <c r="M8" s="135" t="s">
        <v>459</v>
      </c>
      <c r="N8" s="135" t="s">
        <v>520</v>
      </c>
      <c r="O8" s="238">
        <v>850</v>
      </c>
      <c r="P8" s="238">
        <v>178.5</v>
      </c>
      <c r="Q8" s="238">
        <v>1028.5</v>
      </c>
      <c r="R8" s="135">
        <f>COUNTIF(Tabla12[FACTURA],Tabla12[[#This Row],[FACTURA]])</f>
        <v>1</v>
      </c>
      <c r="S8" s="237">
        <v>44470</v>
      </c>
      <c r="T8" s="135"/>
      <c r="U8" s="135" t="s">
        <v>520</v>
      </c>
      <c r="V8" s="238">
        <v>850</v>
      </c>
      <c r="W8" s="238">
        <v>178.5</v>
      </c>
      <c r="X8" s="238">
        <v>1028.5</v>
      </c>
      <c r="Z8" s="237">
        <v>44470</v>
      </c>
      <c r="AA8" s="135" t="str">
        <f t="shared" si="0"/>
        <v>Ana</v>
      </c>
      <c r="AB8" s="135" t="s">
        <v>520</v>
      </c>
      <c r="AC8" s="238">
        <v>850</v>
      </c>
      <c r="AD8" s="238">
        <v>178.5</v>
      </c>
      <c r="AE8" s="238">
        <v>1028.5</v>
      </c>
    </row>
    <row r="9" spans="3:31">
      <c r="C9" s="135"/>
      <c r="D9" s="135"/>
      <c r="E9" s="135"/>
      <c r="F9" s="135"/>
      <c r="G9" s="135"/>
      <c r="H9" s="135"/>
      <c r="I9" s="135"/>
      <c r="K9" s="135">
        <v>1315</v>
      </c>
      <c r="L9" s="237">
        <v>44477</v>
      </c>
      <c r="M9" s="135" t="s">
        <v>1520</v>
      </c>
      <c r="N9" s="135" t="s">
        <v>534</v>
      </c>
      <c r="O9" s="238">
        <v>6</v>
      </c>
      <c r="P9" s="238">
        <v>1.26</v>
      </c>
      <c r="Q9" s="238">
        <v>7.26</v>
      </c>
      <c r="R9" s="135">
        <f>COUNTIF(Tabla12[FACTURA],Tabla12[[#This Row],[FACTURA]])</f>
        <v>1</v>
      </c>
      <c r="S9" s="237">
        <v>44470</v>
      </c>
      <c r="T9" s="135"/>
      <c r="U9" s="135" t="s">
        <v>534</v>
      </c>
      <c r="V9" s="238">
        <v>6</v>
      </c>
      <c r="W9" s="238">
        <v>1.26</v>
      </c>
      <c r="X9" s="238">
        <v>7.26</v>
      </c>
      <c r="Z9" s="237">
        <v>44470</v>
      </c>
      <c r="AA9" s="135" t="str">
        <f t="shared" si="0"/>
        <v>Ana</v>
      </c>
      <c r="AB9" s="135" t="s">
        <v>534</v>
      </c>
      <c r="AC9" s="238">
        <v>6</v>
      </c>
      <c r="AD9" s="238">
        <v>1.26</v>
      </c>
      <c r="AE9" s="238">
        <v>7.26</v>
      </c>
    </row>
    <row r="10" spans="3:31">
      <c r="C10" s="135">
        <v>1312</v>
      </c>
      <c r="D10" s="237">
        <v>44473</v>
      </c>
      <c r="E10" s="135" t="s">
        <v>459</v>
      </c>
      <c r="F10" s="135" t="s">
        <v>530</v>
      </c>
      <c r="G10" s="238">
        <v>14</v>
      </c>
      <c r="H10" s="238">
        <v>2.94</v>
      </c>
      <c r="I10" s="238">
        <v>16.940000000000001</v>
      </c>
      <c r="K10" s="135">
        <v>1316</v>
      </c>
      <c r="L10" s="237">
        <v>44477</v>
      </c>
      <c r="M10" s="135" t="s">
        <v>1520</v>
      </c>
      <c r="N10" s="135" t="s">
        <v>520</v>
      </c>
      <c r="O10" s="238">
        <v>1029</v>
      </c>
      <c r="P10" s="238">
        <v>216.09</v>
      </c>
      <c r="Q10" s="238">
        <v>1245.0899999999999</v>
      </c>
      <c r="R10" s="135">
        <f>COUNTIF(Tabla12[FACTURA],Tabla12[[#This Row],[FACTURA]])</f>
        <v>1</v>
      </c>
      <c r="S10" s="237">
        <v>44470</v>
      </c>
      <c r="T10" s="135"/>
      <c r="U10" s="135" t="s">
        <v>520</v>
      </c>
      <c r="V10" s="238">
        <v>1029</v>
      </c>
      <c r="W10" s="238">
        <v>216.09</v>
      </c>
      <c r="X10" s="238">
        <v>1245.0899999999999</v>
      </c>
      <c r="Z10" s="237">
        <v>44470</v>
      </c>
      <c r="AA10" s="135" t="str">
        <f t="shared" si="0"/>
        <v>Ana</v>
      </c>
      <c r="AB10" s="135" t="s">
        <v>520</v>
      </c>
      <c r="AC10" s="238">
        <v>1029</v>
      </c>
      <c r="AD10" s="238">
        <v>216.09</v>
      </c>
      <c r="AE10" s="238">
        <v>1245.0899999999999</v>
      </c>
    </row>
    <row r="11" spans="3:31">
      <c r="C11" s="135">
        <v>1313</v>
      </c>
      <c r="D11" s="237">
        <v>44474</v>
      </c>
      <c r="E11" s="135" t="s">
        <v>459</v>
      </c>
      <c r="F11" s="135" t="s">
        <v>534</v>
      </c>
      <c r="G11" s="238">
        <v>10</v>
      </c>
      <c r="H11" s="238">
        <v>2.1</v>
      </c>
      <c r="I11" s="238">
        <v>12.1</v>
      </c>
      <c r="K11" s="135">
        <v>1317</v>
      </c>
      <c r="L11" s="237">
        <v>44479</v>
      </c>
      <c r="M11" s="135" t="s">
        <v>1521</v>
      </c>
      <c r="N11" s="135" t="s">
        <v>534</v>
      </c>
      <c r="O11" s="238">
        <v>8</v>
      </c>
      <c r="P11" s="238">
        <v>1.68</v>
      </c>
      <c r="Q11" s="238">
        <v>9.68</v>
      </c>
      <c r="R11" s="135">
        <f>COUNTIF(Tabla12[FACTURA],Tabla12[[#This Row],[FACTURA]])</f>
        <v>1</v>
      </c>
      <c r="S11" s="237">
        <v>44470</v>
      </c>
      <c r="T11" s="135" t="s">
        <v>1521</v>
      </c>
      <c r="U11" s="135" t="s">
        <v>534</v>
      </c>
      <c r="V11" s="238">
        <v>8</v>
      </c>
      <c r="W11" s="238">
        <v>1.68</v>
      </c>
      <c r="X11" s="238">
        <v>9.68</v>
      </c>
      <c r="Z11" s="237">
        <v>44470</v>
      </c>
      <c r="AA11" s="135" t="s">
        <v>1521</v>
      </c>
      <c r="AB11" s="135" t="s">
        <v>534</v>
      </c>
      <c r="AC11" s="238">
        <v>8</v>
      </c>
      <c r="AD11" s="238">
        <v>1.68</v>
      </c>
      <c r="AE11" s="238">
        <v>9.68</v>
      </c>
    </row>
    <row r="12" spans="3:31">
      <c r="C12" s="135"/>
      <c r="D12" s="135"/>
      <c r="E12" s="135"/>
      <c r="F12" s="135"/>
      <c r="G12" s="135"/>
      <c r="H12" s="135"/>
      <c r="I12" s="135"/>
      <c r="K12" s="135">
        <v>1318</v>
      </c>
      <c r="L12" s="237">
        <v>44479</v>
      </c>
      <c r="M12" s="135" t="s">
        <v>459</v>
      </c>
      <c r="N12" s="135" t="s">
        <v>530</v>
      </c>
      <c r="O12" s="238">
        <v>14</v>
      </c>
      <c r="P12" s="238">
        <v>2.94</v>
      </c>
      <c r="Q12" s="238">
        <v>16.940000000000001</v>
      </c>
      <c r="R12" s="135">
        <f>COUNTIF(Tabla12[FACTURA],Tabla12[[#This Row],[FACTURA]])</f>
        <v>1</v>
      </c>
      <c r="S12" s="237">
        <v>44470</v>
      </c>
      <c r="T12" s="135"/>
      <c r="U12" s="135" t="s">
        <v>530</v>
      </c>
      <c r="V12" s="238">
        <v>14</v>
      </c>
      <c r="W12" s="238">
        <v>2.94</v>
      </c>
      <c r="X12" s="238">
        <v>16.940000000000001</v>
      </c>
      <c r="Z12" s="237">
        <v>44470</v>
      </c>
      <c r="AA12" s="135" t="str">
        <f t="shared" ref="AA12:AA18" si="1">AA11</f>
        <v>Mario</v>
      </c>
      <c r="AB12" s="135" t="s">
        <v>530</v>
      </c>
      <c r="AC12" s="238">
        <v>14</v>
      </c>
      <c r="AD12" s="238">
        <v>2.94</v>
      </c>
      <c r="AE12" s="238">
        <v>16.940000000000001</v>
      </c>
    </row>
    <row r="13" spans="3:31">
      <c r="C13" s="135">
        <v>1314</v>
      </c>
      <c r="D13" s="237">
        <v>44475</v>
      </c>
      <c r="E13" s="135" t="s">
        <v>459</v>
      </c>
      <c r="F13" s="135" t="s">
        <v>520</v>
      </c>
      <c r="G13" s="238">
        <v>850</v>
      </c>
      <c r="H13" s="238">
        <v>178.5</v>
      </c>
      <c r="I13" s="238">
        <v>1028.5</v>
      </c>
      <c r="K13" s="135">
        <v>1319</v>
      </c>
      <c r="L13" s="237">
        <v>44480</v>
      </c>
      <c r="M13" s="135" t="s">
        <v>1520</v>
      </c>
      <c r="N13" s="135" t="s">
        <v>518</v>
      </c>
      <c r="O13" s="238">
        <v>65</v>
      </c>
      <c r="P13" s="238">
        <v>13.65</v>
      </c>
      <c r="Q13" s="238">
        <v>78.650000000000006</v>
      </c>
      <c r="R13" s="135">
        <f>COUNTIF(Tabla12[FACTURA],Tabla12[[#This Row],[FACTURA]])</f>
        <v>1</v>
      </c>
      <c r="S13" s="237">
        <v>44470</v>
      </c>
      <c r="T13" s="135"/>
      <c r="U13" s="135" t="s">
        <v>518</v>
      </c>
      <c r="V13" s="238">
        <v>65</v>
      </c>
      <c r="W13" s="238">
        <v>13.65</v>
      </c>
      <c r="X13" s="238">
        <v>78.650000000000006</v>
      </c>
      <c r="Z13" s="237">
        <v>44470</v>
      </c>
      <c r="AA13" s="135" t="str">
        <f t="shared" si="1"/>
        <v>Mario</v>
      </c>
      <c r="AB13" s="135" t="s">
        <v>518</v>
      </c>
      <c r="AC13" s="238">
        <v>65</v>
      </c>
      <c r="AD13" s="238">
        <v>13.65</v>
      </c>
      <c r="AE13" s="238">
        <v>78.650000000000006</v>
      </c>
    </row>
    <row r="14" spans="3:31">
      <c r="C14" s="135">
        <v>1315</v>
      </c>
      <c r="D14" s="237">
        <v>44477</v>
      </c>
      <c r="E14" s="135" t="s">
        <v>1520</v>
      </c>
      <c r="F14" s="135" t="s">
        <v>534</v>
      </c>
      <c r="G14" s="238">
        <v>6</v>
      </c>
      <c r="H14" s="238">
        <v>1.26</v>
      </c>
      <c r="I14" s="238">
        <v>7.26</v>
      </c>
      <c r="K14" s="135">
        <v>1320</v>
      </c>
      <c r="L14" s="237">
        <v>44482</v>
      </c>
      <c r="M14" s="135" t="s">
        <v>1522</v>
      </c>
      <c r="N14" s="135" t="s">
        <v>518</v>
      </c>
      <c r="O14" s="238">
        <v>21</v>
      </c>
      <c r="P14" s="238">
        <v>4.41</v>
      </c>
      <c r="Q14" s="238">
        <v>25.41</v>
      </c>
      <c r="R14" s="135">
        <f>COUNTIF(Tabla12[FACTURA],Tabla12[[#This Row],[FACTURA]])</f>
        <v>1</v>
      </c>
      <c r="S14" s="237">
        <v>44470</v>
      </c>
      <c r="T14" s="135"/>
      <c r="U14" s="135" t="s">
        <v>518</v>
      </c>
      <c r="V14" s="238">
        <v>21</v>
      </c>
      <c r="W14" s="238">
        <v>4.41</v>
      </c>
      <c r="X14" s="238">
        <v>25.41</v>
      </c>
      <c r="Z14" s="237">
        <v>44470</v>
      </c>
      <c r="AA14" s="135" t="str">
        <f t="shared" si="1"/>
        <v>Mario</v>
      </c>
      <c r="AB14" s="135" t="s">
        <v>518</v>
      </c>
      <c r="AC14" s="238">
        <v>21</v>
      </c>
      <c r="AD14" s="238">
        <v>4.41</v>
      </c>
      <c r="AE14" s="238">
        <v>25.41</v>
      </c>
    </row>
    <row r="15" spans="3:31">
      <c r="C15" s="135">
        <v>1316</v>
      </c>
      <c r="D15" s="237">
        <v>44477</v>
      </c>
      <c r="E15" s="135" t="s">
        <v>1520</v>
      </c>
      <c r="F15" s="135" t="s">
        <v>520</v>
      </c>
      <c r="G15" s="238">
        <v>1029</v>
      </c>
      <c r="H15" s="238">
        <v>216.09</v>
      </c>
      <c r="I15" s="238">
        <v>1245.0899999999999</v>
      </c>
      <c r="K15" s="135">
        <v>1321</v>
      </c>
      <c r="L15" s="237">
        <v>44482</v>
      </c>
      <c r="M15" s="135" t="s">
        <v>459</v>
      </c>
      <c r="N15" s="135" t="s">
        <v>525</v>
      </c>
      <c r="O15" s="238">
        <v>11</v>
      </c>
      <c r="P15" s="238">
        <v>2.31</v>
      </c>
      <c r="Q15" s="238">
        <v>13.31</v>
      </c>
      <c r="R15" s="135">
        <f>COUNTIF(Tabla12[FACTURA],Tabla12[[#This Row],[FACTURA]])</f>
        <v>1</v>
      </c>
      <c r="S15" s="237">
        <v>44470</v>
      </c>
      <c r="T15" s="135"/>
      <c r="U15" s="135" t="s">
        <v>525</v>
      </c>
      <c r="V15" s="238">
        <v>13</v>
      </c>
      <c r="W15" s="238">
        <v>2.73</v>
      </c>
      <c r="X15" s="238">
        <v>15.73</v>
      </c>
      <c r="Z15" s="237">
        <v>44470</v>
      </c>
      <c r="AA15" s="135" t="str">
        <f t="shared" si="1"/>
        <v>Mario</v>
      </c>
      <c r="AB15" s="135" t="s">
        <v>525</v>
      </c>
      <c r="AC15" s="238">
        <v>13</v>
      </c>
      <c r="AD15" s="238">
        <v>2.73</v>
      </c>
      <c r="AE15" s="238">
        <v>15.73</v>
      </c>
    </row>
    <row r="16" spans="3:31">
      <c r="C16" s="135">
        <v>1317</v>
      </c>
      <c r="D16" s="237">
        <v>44479</v>
      </c>
      <c r="E16" s="135" t="s">
        <v>1521</v>
      </c>
      <c r="F16" s="135" t="s">
        <v>534</v>
      </c>
      <c r="G16" s="238">
        <v>8</v>
      </c>
      <c r="H16" s="238">
        <v>1.68</v>
      </c>
      <c r="I16" s="238">
        <v>9.68</v>
      </c>
      <c r="K16" s="135">
        <v>1322</v>
      </c>
      <c r="L16" s="237">
        <v>44482</v>
      </c>
      <c r="M16" s="135" t="s">
        <v>459</v>
      </c>
      <c r="N16" s="135" t="s">
        <v>525</v>
      </c>
      <c r="O16" s="238">
        <v>43</v>
      </c>
      <c r="P16" s="238">
        <v>9.0299999999999994</v>
      </c>
      <c r="Q16" s="238">
        <v>52.03</v>
      </c>
      <c r="R16" s="135">
        <f>COUNTIF(Tabla12[FACTURA],Tabla12[[#This Row],[FACTURA]])</f>
        <v>1</v>
      </c>
      <c r="S16" s="237">
        <v>44470</v>
      </c>
      <c r="T16" s="135"/>
      <c r="U16" s="135" t="s">
        <v>525</v>
      </c>
      <c r="V16" s="238">
        <v>43</v>
      </c>
      <c r="W16" s="238">
        <v>9.0299999999999994</v>
      </c>
      <c r="X16" s="238">
        <v>52.03</v>
      </c>
      <c r="Z16" s="237">
        <v>44470</v>
      </c>
      <c r="AA16" s="135" t="str">
        <f t="shared" si="1"/>
        <v>Mario</v>
      </c>
      <c r="AB16" s="135" t="s">
        <v>525</v>
      </c>
      <c r="AC16" s="238">
        <v>43</v>
      </c>
      <c r="AD16" s="238">
        <v>9.0299999999999994</v>
      </c>
      <c r="AE16" s="238">
        <v>52.03</v>
      </c>
    </row>
    <row r="17" spans="3:31">
      <c r="C17" s="135"/>
      <c r="D17" s="135"/>
      <c r="E17" s="135"/>
      <c r="F17" s="135"/>
      <c r="G17" s="135"/>
      <c r="H17" s="135"/>
      <c r="I17" s="135"/>
      <c r="K17" s="135">
        <v>1324</v>
      </c>
      <c r="L17" s="237">
        <v>44484</v>
      </c>
      <c r="M17" s="135" t="s">
        <v>459</v>
      </c>
      <c r="N17" s="135" t="s">
        <v>534</v>
      </c>
      <c r="O17" s="238">
        <v>5</v>
      </c>
      <c r="P17" s="238">
        <v>1.05</v>
      </c>
      <c r="Q17" s="238">
        <v>6.05</v>
      </c>
      <c r="R17" s="135">
        <f>COUNTIF(Tabla12[FACTURA],Tabla12[[#This Row],[FACTURA]])</f>
        <v>1</v>
      </c>
      <c r="S17" s="237">
        <v>44470</v>
      </c>
      <c r="T17" s="135"/>
      <c r="U17" s="135" t="s">
        <v>534</v>
      </c>
      <c r="V17" s="238">
        <v>9</v>
      </c>
      <c r="W17" s="238">
        <v>1.89</v>
      </c>
      <c r="X17" s="238">
        <v>10.89</v>
      </c>
      <c r="Z17" s="237">
        <v>44470</v>
      </c>
      <c r="AA17" s="135" t="str">
        <f t="shared" si="1"/>
        <v>Mario</v>
      </c>
      <c r="AB17" s="135" t="s">
        <v>534</v>
      </c>
      <c r="AC17" s="238">
        <v>9</v>
      </c>
      <c r="AD17" s="238">
        <v>1.89</v>
      </c>
      <c r="AE17" s="238">
        <v>10.89</v>
      </c>
    </row>
    <row r="18" spans="3:31">
      <c r="C18" s="135">
        <v>1318</v>
      </c>
      <c r="D18" s="237">
        <v>44479</v>
      </c>
      <c r="E18" s="135" t="s">
        <v>459</v>
      </c>
      <c r="F18" s="135" t="s">
        <v>530</v>
      </c>
      <c r="G18" s="238">
        <v>14</v>
      </c>
      <c r="H18" s="238">
        <v>2.94</v>
      </c>
      <c r="I18" s="238">
        <v>16.940000000000001</v>
      </c>
      <c r="K18" s="135">
        <v>1325</v>
      </c>
      <c r="L18" s="237">
        <v>44484</v>
      </c>
      <c r="M18" s="135" t="s">
        <v>406</v>
      </c>
      <c r="N18" s="135" t="s">
        <v>525</v>
      </c>
      <c r="O18" s="238">
        <v>8</v>
      </c>
      <c r="P18" s="238">
        <v>1.68</v>
      </c>
      <c r="Q18" s="238">
        <v>9.68</v>
      </c>
      <c r="R18" s="135">
        <f>COUNTIF(Tabla12[FACTURA],Tabla12[[#This Row],[FACTURA]])</f>
        <v>1</v>
      </c>
      <c r="S18" s="237">
        <v>44470</v>
      </c>
      <c r="T18" s="135"/>
      <c r="U18" s="135" t="s">
        <v>534</v>
      </c>
      <c r="V18" s="238">
        <v>2</v>
      </c>
      <c r="W18" s="238">
        <v>0.42</v>
      </c>
      <c r="X18" s="238">
        <v>2.42</v>
      </c>
      <c r="Z18" s="237">
        <v>44470</v>
      </c>
      <c r="AA18" s="135" t="str">
        <f t="shared" si="1"/>
        <v>Mario</v>
      </c>
      <c r="AB18" s="135" t="s">
        <v>534</v>
      </c>
      <c r="AC18" s="238">
        <v>2</v>
      </c>
      <c r="AD18" s="238">
        <v>0.42</v>
      </c>
      <c r="AE18" s="238">
        <v>2.42</v>
      </c>
    </row>
    <row r="19" spans="3:31">
      <c r="C19" s="135">
        <v>1319</v>
      </c>
      <c r="D19" s="237">
        <v>44480</v>
      </c>
      <c r="E19" s="135" t="s">
        <v>1520</v>
      </c>
      <c r="F19" s="135" t="s">
        <v>518</v>
      </c>
      <c r="G19" s="238">
        <v>65</v>
      </c>
      <c r="H19" s="238">
        <v>13.65</v>
      </c>
      <c r="I19" s="238">
        <v>78.650000000000006</v>
      </c>
      <c r="K19" s="135">
        <v>1326</v>
      </c>
      <c r="L19" s="237">
        <v>44486</v>
      </c>
      <c r="M19" s="135" t="s">
        <v>1520</v>
      </c>
      <c r="N19" s="135" t="s">
        <v>530</v>
      </c>
      <c r="O19" s="238">
        <v>18</v>
      </c>
      <c r="P19" s="238">
        <v>3.78</v>
      </c>
      <c r="Q19" s="238">
        <v>21.78</v>
      </c>
      <c r="R19" s="135">
        <f>COUNTIF(Tabla12[FACTURA],Tabla12[[#This Row],[FACTURA]])</f>
        <v>1</v>
      </c>
      <c r="S19" s="237">
        <v>44470</v>
      </c>
      <c r="T19" s="135" t="s">
        <v>406</v>
      </c>
      <c r="U19" s="135" t="s">
        <v>525</v>
      </c>
      <c r="V19" s="238">
        <v>8</v>
      </c>
      <c r="W19" s="238">
        <v>1.68</v>
      </c>
      <c r="X19" s="238">
        <v>9.68</v>
      </c>
      <c r="Z19" s="237">
        <v>44470</v>
      </c>
      <c r="AA19" s="135" t="s">
        <v>406</v>
      </c>
      <c r="AB19" s="135" t="s">
        <v>525</v>
      </c>
      <c r="AC19" s="238">
        <v>8</v>
      </c>
      <c r="AD19" s="238">
        <v>1.68</v>
      </c>
      <c r="AE19" s="238">
        <v>9.68</v>
      </c>
    </row>
    <row r="20" spans="3:31">
      <c r="C20" s="135">
        <v>1320</v>
      </c>
      <c r="D20" s="237">
        <v>44482</v>
      </c>
      <c r="E20" s="135" t="s">
        <v>1522</v>
      </c>
      <c r="F20" s="135" t="s">
        <v>518</v>
      </c>
      <c r="G20" s="238">
        <v>21</v>
      </c>
      <c r="H20" s="238">
        <v>4.41</v>
      </c>
      <c r="I20" s="238">
        <v>25.41</v>
      </c>
      <c r="K20" s="135">
        <v>1327</v>
      </c>
      <c r="L20" s="237">
        <v>44486</v>
      </c>
      <c r="M20" s="135" t="s">
        <v>1522</v>
      </c>
      <c r="N20" s="135" t="s">
        <v>534</v>
      </c>
      <c r="O20" s="238">
        <v>7</v>
      </c>
      <c r="P20" s="238">
        <v>1.47</v>
      </c>
      <c r="Q20" s="238">
        <v>8.4700000000000006</v>
      </c>
      <c r="R20" s="135">
        <f>COUNTIF(Tabla12[FACTURA],Tabla12[[#This Row],[FACTURA]])</f>
        <v>1</v>
      </c>
      <c r="S20" s="237">
        <v>44470</v>
      </c>
      <c r="T20" s="135"/>
      <c r="U20" s="135" t="s">
        <v>530</v>
      </c>
      <c r="V20" s="238">
        <v>18</v>
      </c>
      <c r="W20" s="238">
        <v>3.78</v>
      </c>
      <c r="X20" s="238">
        <v>21.78</v>
      </c>
      <c r="Z20" s="237">
        <v>44470</v>
      </c>
      <c r="AA20" s="135" t="str">
        <f t="shared" ref="AA20:AA29" si="2">AA19</f>
        <v>Luis</v>
      </c>
      <c r="AB20" s="135" t="s">
        <v>530</v>
      </c>
      <c r="AC20" s="238">
        <v>18</v>
      </c>
      <c r="AD20" s="238">
        <v>3.78</v>
      </c>
      <c r="AE20" s="238">
        <v>21.78</v>
      </c>
    </row>
    <row r="21" spans="3:31">
      <c r="C21" s="135">
        <v>1321</v>
      </c>
      <c r="D21" s="237">
        <v>44482</v>
      </c>
      <c r="E21" s="135" t="s">
        <v>459</v>
      </c>
      <c r="F21" s="135" t="s">
        <v>525</v>
      </c>
      <c r="G21" s="238">
        <v>11</v>
      </c>
      <c r="H21" s="238">
        <v>2.31</v>
      </c>
      <c r="I21" s="238">
        <v>13.31</v>
      </c>
      <c r="K21" s="135">
        <v>1328</v>
      </c>
      <c r="L21" s="237">
        <v>44487</v>
      </c>
      <c r="M21" s="135" t="s">
        <v>406</v>
      </c>
      <c r="N21" s="135" t="s">
        <v>518</v>
      </c>
      <c r="O21" s="238">
        <v>186</v>
      </c>
      <c r="P21" s="238">
        <v>39.06</v>
      </c>
      <c r="Q21" s="238">
        <v>225.06</v>
      </c>
      <c r="R21" s="135">
        <f>COUNTIF(Tabla12[FACTURA],Tabla12[[#This Row],[FACTURA]])</f>
        <v>1</v>
      </c>
      <c r="S21" s="237">
        <v>44470</v>
      </c>
      <c r="T21" s="135"/>
      <c r="U21" s="135" t="s">
        <v>534</v>
      </c>
      <c r="V21" s="238">
        <v>7</v>
      </c>
      <c r="W21" s="238">
        <v>1.47</v>
      </c>
      <c r="X21" s="238">
        <v>8.4700000000000006</v>
      </c>
      <c r="Z21" s="237">
        <v>44470</v>
      </c>
      <c r="AA21" s="135" t="str">
        <f t="shared" si="2"/>
        <v>Luis</v>
      </c>
      <c r="AB21" s="135" t="s">
        <v>534</v>
      </c>
      <c r="AC21" s="238">
        <v>7</v>
      </c>
      <c r="AD21" s="238">
        <v>1.47</v>
      </c>
      <c r="AE21" s="238">
        <v>8.4700000000000006</v>
      </c>
    </row>
    <row r="22" spans="3:31">
      <c r="C22" s="135">
        <v>1322</v>
      </c>
      <c r="D22" s="237">
        <v>44482</v>
      </c>
      <c r="E22" s="135" t="s">
        <v>459</v>
      </c>
      <c r="F22" s="135" t="s">
        <v>525</v>
      </c>
      <c r="G22" s="238">
        <v>43</v>
      </c>
      <c r="H22" s="238">
        <v>9.0299999999999994</v>
      </c>
      <c r="I22" s="238">
        <v>52.03</v>
      </c>
      <c r="K22" s="135">
        <v>1329</v>
      </c>
      <c r="L22" s="237">
        <v>44487</v>
      </c>
      <c r="M22" s="135" t="s">
        <v>459</v>
      </c>
      <c r="N22" s="135" t="s">
        <v>518</v>
      </c>
      <c r="O22" s="238">
        <v>143</v>
      </c>
      <c r="P22" s="238">
        <v>30.03</v>
      </c>
      <c r="Q22" s="238">
        <v>173.03</v>
      </c>
      <c r="R22" s="135">
        <f>COUNTIF(Tabla12[FACTURA],Tabla12[[#This Row],[FACTURA]])</f>
        <v>1</v>
      </c>
      <c r="S22" s="237">
        <v>44470</v>
      </c>
      <c r="T22" s="135"/>
      <c r="U22" s="135" t="s">
        <v>518</v>
      </c>
      <c r="V22" s="238">
        <v>186</v>
      </c>
      <c r="W22" s="238">
        <v>39.06</v>
      </c>
      <c r="X22" s="238">
        <v>225.06</v>
      </c>
      <c r="Z22" s="237">
        <v>44470</v>
      </c>
      <c r="AA22" s="135" t="str">
        <f t="shared" si="2"/>
        <v>Luis</v>
      </c>
      <c r="AB22" s="135" t="s">
        <v>518</v>
      </c>
      <c r="AC22" s="238">
        <v>186</v>
      </c>
      <c r="AD22" s="238">
        <v>39.06</v>
      </c>
      <c r="AE22" s="238">
        <v>225.06</v>
      </c>
    </row>
    <row r="23" spans="3:31">
      <c r="C23" s="135"/>
      <c r="D23" s="135"/>
      <c r="E23" s="135"/>
      <c r="F23" s="135"/>
      <c r="G23" s="135"/>
      <c r="H23" s="135"/>
      <c r="I23" s="135"/>
      <c r="K23" s="135">
        <v>1330</v>
      </c>
      <c r="L23" s="237">
        <v>44488</v>
      </c>
      <c r="M23" s="135" t="s">
        <v>1520</v>
      </c>
      <c r="N23" s="135" t="s">
        <v>525</v>
      </c>
      <c r="O23" s="238">
        <v>46</v>
      </c>
      <c r="P23" s="238">
        <v>9.66</v>
      </c>
      <c r="Q23" s="238">
        <v>55.66</v>
      </c>
      <c r="R23" s="135">
        <f>COUNTIF(Tabla12[FACTURA],Tabla12[[#This Row],[FACTURA]])</f>
        <v>1</v>
      </c>
      <c r="S23" s="237">
        <v>44470</v>
      </c>
      <c r="T23" s="135"/>
      <c r="U23" s="135" t="s">
        <v>518</v>
      </c>
      <c r="V23" s="238">
        <v>143</v>
      </c>
      <c r="W23" s="238">
        <v>30.03</v>
      </c>
      <c r="X23" s="238">
        <v>173.03</v>
      </c>
      <c r="Z23" s="237">
        <v>44470</v>
      </c>
      <c r="AA23" s="135" t="str">
        <f t="shared" si="2"/>
        <v>Luis</v>
      </c>
      <c r="AB23" s="135" t="s">
        <v>518</v>
      </c>
      <c r="AC23" s="238">
        <v>143</v>
      </c>
      <c r="AD23" s="238">
        <v>30.03</v>
      </c>
      <c r="AE23" s="238">
        <v>173.03</v>
      </c>
    </row>
    <row r="24" spans="3:31">
      <c r="C24" s="135">
        <v>1323</v>
      </c>
      <c r="D24" s="237">
        <v>44483</v>
      </c>
      <c r="E24" s="135" t="s">
        <v>459</v>
      </c>
      <c r="F24" s="135" t="s">
        <v>534</v>
      </c>
      <c r="G24" s="238">
        <v>9</v>
      </c>
      <c r="H24" s="238">
        <v>1.89</v>
      </c>
      <c r="I24" s="238">
        <v>10.89</v>
      </c>
      <c r="K24" s="135">
        <v>1331</v>
      </c>
      <c r="L24" s="237">
        <v>44488</v>
      </c>
      <c r="M24" s="135" t="s">
        <v>1522</v>
      </c>
      <c r="N24" s="135" t="s">
        <v>530</v>
      </c>
      <c r="O24" s="238">
        <v>10</v>
      </c>
      <c r="P24" s="238">
        <v>2.1</v>
      </c>
      <c r="Q24" s="238">
        <v>12.1</v>
      </c>
      <c r="R24" s="135">
        <f>COUNTIF(Tabla12[FACTURA],Tabla12[[#This Row],[FACTURA]])</f>
        <v>1</v>
      </c>
      <c r="S24" s="237">
        <v>44470</v>
      </c>
      <c r="T24" s="135"/>
      <c r="U24" s="135" t="s">
        <v>525</v>
      </c>
      <c r="V24" s="238">
        <v>46</v>
      </c>
      <c r="W24" s="238">
        <v>9.66</v>
      </c>
      <c r="X24" s="238">
        <v>55.66</v>
      </c>
      <c r="Z24" s="237">
        <v>44470</v>
      </c>
      <c r="AA24" s="135" t="str">
        <f t="shared" si="2"/>
        <v>Luis</v>
      </c>
      <c r="AB24" s="135" t="s">
        <v>525</v>
      </c>
      <c r="AC24" s="238">
        <v>46</v>
      </c>
      <c r="AD24" s="238">
        <v>9.66</v>
      </c>
      <c r="AE24" s="238">
        <v>55.66</v>
      </c>
    </row>
    <row r="25" spans="3:31">
      <c r="C25" s="135">
        <v>1324</v>
      </c>
      <c r="D25" s="237">
        <v>44484</v>
      </c>
      <c r="E25" s="135" t="s">
        <v>459</v>
      </c>
      <c r="F25" s="135" t="s">
        <v>534</v>
      </c>
      <c r="G25" s="238">
        <v>5</v>
      </c>
      <c r="H25" s="238">
        <v>1.05</v>
      </c>
      <c r="I25" s="238">
        <v>6.05</v>
      </c>
      <c r="K25" s="135">
        <v>1332</v>
      </c>
      <c r="L25" s="237">
        <v>44488</v>
      </c>
      <c r="M25" s="135" t="s">
        <v>406</v>
      </c>
      <c r="N25" s="135" t="s">
        <v>525</v>
      </c>
      <c r="O25" s="238">
        <v>25</v>
      </c>
      <c r="P25" s="238">
        <v>5.25</v>
      </c>
      <c r="Q25" s="238">
        <v>30.25</v>
      </c>
      <c r="R25" s="135">
        <f>COUNTIF(Tabla12[FACTURA],Tabla12[[#This Row],[FACTURA]])</f>
        <v>1</v>
      </c>
      <c r="S25" s="237">
        <v>44470</v>
      </c>
      <c r="T25" s="135"/>
      <c r="U25" s="135" t="s">
        <v>530</v>
      </c>
      <c r="V25" s="238">
        <v>10</v>
      </c>
      <c r="W25" s="238">
        <v>2.1</v>
      </c>
      <c r="X25" s="238">
        <v>12.1</v>
      </c>
      <c r="Z25" s="237">
        <v>44470</v>
      </c>
      <c r="AA25" s="135" t="str">
        <f t="shared" si="2"/>
        <v>Luis</v>
      </c>
      <c r="AB25" s="135" t="s">
        <v>530</v>
      </c>
      <c r="AC25" s="238">
        <v>10</v>
      </c>
      <c r="AD25" s="238">
        <v>2.1</v>
      </c>
      <c r="AE25" s="238">
        <v>12.1</v>
      </c>
    </row>
    <row r="26" spans="3:31">
      <c r="C26" s="135">
        <v>1325</v>
      </c>
      <c r="D26" s="237">
        <v>44484</v>
      </c>
      <c r="E26" s="135" t="s">
        <v>406</v>
      </c>
      <c r="F26" s="135" t="s">
        <v>525</v>
      </c>
      <c r="G26" s="238">
        <v>8</v>
      </c>
      <c r="H26" s="238">
        <v>1.68</v>
      </c>
      <c r="I26" s="238">
        <v>9.68</v>
      </c>
      <c r="K26" s="135">
        <v>1333</v>
      </c>
      <c r="L26" s="237">
        <v>44489</v>
      </c>
      <c r="M26" s="135" t="s">
        <v>1522</v>
      </c>
      <c r="N26" s="135" t="s">
        <v>534</v>
      </c>
      <c r="O26" s="238">
        <v>10</v>
      </c>
      <c r="P26" s="238">
        <v>2.1</v>
      </c>
      <c r="Q26" s="238">
        <v>12.1</v>
      </c>
      <c r="R26" s="135">
        <f>COUNTIF(Tabla12[FACTURA],Tabla12[[#This Row],[FACTURA]])</f>
        <v>1</v>
      </c>
      <c r="S26" s="237">
        <v>44470</v>
      </c>
      <c r="T26" s="135"/>
      <c r="U26" s="135" t="s">
        <v>525</v>
      </c>
      <c r="V26" s="238">
        <v>25</v>
      </c>
      <c r="W26" s="238">
        <v>5.25</v>
      </c>
      <c r="X26" s="238">
        <v>30.25</v>
      </c>
      <c r="Z26" s="237">
        <v>44470</v>
      </c>
      <c r="AA26" s="135" t="str">
        <f t="shared" si="2"/>
        <v>Luis</v>
      </c>
      <c r="AB26" s="135" t="s">
        <v>525</v>
      </c>
      <c r="AC26" s="238">
        <v>25</v>
      </c>
      <c r="AD26" s="238">
        <v>5.25</v>
      </c>
      <c r="AE26" s="238">
        <v>30.25</v>
      </c>
    </row>
    <row r="27" spans="3:31">
      <c r="C27" s="135">
        <v>1326</v>
      </c>
      <c r="D27" s="237">
        <v>44486</v>
      </c>
      <c r="E27" s="135" t="s">
        <v>1520</v>
      </c>
      <c r="F27" s="135" t="s">
        <v>530</v>
      </c>
      <c r="G27" s="238">
        <v>18</v>
      </c>
      <c r="H27" s="238">
        <v>3.78</v>
      </c>
      <c r="I27" s="238">
        <v>21.78</v>
      </c>
      <c r="K27" s="135">
        <v>1334</v>
      </c>
      <c r="L27" s="237">
        <v>44490</v>
      </c>
      <c r="M27" s="135" t="s">
        <v>1521</v>
      </c>
      <c r="N27" s="135" t="s">
        <v>530</v>
      </c>
      <c r="O27" s="238">
        <v>31</v>
      </c>
      <c r="P27" s="238">
        <v>6.51</v>
      </c>
      <c r="Q27" s="238">
        <v>37.51</v>
      </c>
      <c r="R27" s="135">
        <f>COUNTIF(Tabla12[FACTURA],Tabla12[[#This Row],[FACTURA]])</f>
        <v>1</v>
      </c>
      <c r="S27" s="237">
        <v>44470</v>
      </c>
      <c r="T27" s="135"/>
      <c r="U27" s="135" t="s">
        <v>534</v>
      </c>
      <c r="V27" s="238">
        <v>10</v>
      </c>
      <c r="W27" s="238">
        <v>2.1</v>
      </c>
      <c r="X27" s="238">
        <v>12.1</v>
      </c>
      <c r="Z27" s="237">
        <v>44470</v>
      </c>
      <c r="AA27" s="135" t="str">
        <f t="shared" si="2"/>
        <v>Luis</v>
      </c>
      <c r="AB27" s="135" t="s">
        <v>534</v>
      </c>
      <c r="AC27" s="238">
        <v>10</v>
      </c>
      <c r="AD27" s="238">
        <v>2.1</v>
      </c>
      <c r="AE27" s="238">
        <v>12.1</v>
      </c>
    </row>
    <row r="28" spans="3:31">
      <c r="C28" s="135"/>
      <c r="D28" s="135"/>
      <c r="E28" s="135"/>
      <c r="F28" s="135"/>
      <c r="G28" s="135"/>
      <c r="H28" s="135"/>
      <c r="I28" s="135"/>
      <c r="K28" s="135">
        <v>1335</v>
      </c>
      <c r="L28" s="237">
        <v>44490</v>
      </c>
      <c r="M28" s="135" t="s">
        <v>406</v>
      </c>
      <c r="N28" s="135" t="s">
        <v>525</v>
      </c>
      <c r="O28" s="238">
        <v>8</v>
      </c>
      <c r="P28" s="238">
        <v>1.68</v>
      </c>
      <c r="Q28" s="238">
        <v>9.68</v>
      </c>
      <c r="R28" s="135">
        <f>COUNTIF(Tabla12[FACTURA],Tabla12[[#This Row],[FACTURA]])</f>
        <v>1</v>
      </c>
      <c r="S28" s="237">
        <v>44470</v>
      </c>
      <c r="T28" s="135"/>
      <c r="U28" s="135" t="s">
        <v>530</v>
      </c>
      <c r="V28" s="238">
        <v>31</v>
      </c>
      <c r="W28" s="238">
        <v>6.51</v>
      </c>
      <c r="X28" s="238">
        <v>37.51</v>
      </c>
      <c r="Z28" s="237">
        <v>44470</v>
      </c>
      <c r="AA28" s="135" t="str">
        <f t="shared" si="2"/>
        <v>Luis</v>
      </c>
      <c r="AB28" s="135" t="s">
        <v>530</v>
      </c>
      <c r="AC28" s="238">
        <v>31</v>
      </c>
      <c r="AD28" s="238">
        <v>6.51</v>
      </c>
      <c r="AE28" s="238">
        <v>37.51</v>
      </c>
    </row>
    <row r="29" spans="3:31">
      <c r="C29" s="135">
        <v>1327</v>
      </c>
      <c r="D29" s="237">
        <v>44486</v>
      </c>
      <c r="E29" s="135" t="s">
        <v>1522</v>
      </c>
      <c r="F29" s="135" t="s">
        <v>534</v>
      </c>
      <c r="G29" s="238">
        <v>7</v>
      </c>
      <c r="H29" s="238">
        <v>1.47</v>
      </c>
      <c r="I29" s="238">
        <v>8.4700000000000006</v>
      </c>
      <c r="K29" s="135">
        <v>1336</v>
      </c>
      <c r="L29" s="237">
        <v>44492</v>
      </c>
      <c r="M29" s="135" t="s">
        <v>459</v>
      </c>
      <c r="N29" s="135" t="s">
        <v>520</v>
      </c>
      <c r="O29" s="238">
        <v>137</v>
      </c>
      <c r="P29" s="238">
        <v>28.77</v>
      </c>
      <c r="Q29" s="238">
        <v>165.77</v>
      </c>
      <c r="R29" s="135">
        <f>COUNTIF(Tabla12[FACTURA],Tabla12[[#This Row],[FACTURA]])</f>
        <v>1</v>
      </c>
      <c r="S29" s="237">
        <v>44470</v>
      </c>
      <c r="T29" s="135"/>
      <c r="U29" s="135" t="s">
        <v>525</v>
      </c>
      <c r="V29" s="238">
        <v>8</v>
      </c>
      <c r="W29" s="238">
        <v>1.68</v>
      </c>
      <c r="X29" s="238">
        <v>9.68</v>
      </c>
      <c r="Z29" s="237">
        <v>44470</v>
      </c>
      <c r="AA29" s="135" t="str">
        <f t="shared" si="2"/>
        <v>Luis</v>
      </c>
      <c r="AB29" s="135" t="s">
        <v>525</v>
      </c>
      <c r="AC29" s="238">
        <v>8</v>
      </c>
      <c r="AD29" s="238">
        <v>1.68</v>
      </c>
      <c r="AE29" s="238">
        <v>9.68</v>
      </c>
    </row>
    <row r="30" spans="3:31">
      <c r="C30" s="135">
        <v>1328</v>
      </c>
      <c r="D30" s="237">
        <v>44487</v>
      </c>
      <c r="E30" s="135" t="s">
        <v>406</v>
      </c>
      <c r="F30" s="135" t="s">
        <v>518</v>
      </c>
      <c r="G30" s="238">
        <v>186</v>
      </c>
      <c r="H30" s="238">
        <v>39.06</v>
      </c>
      <c r="I30" s="238">
        <v>225.06</v>
      </c>
      <c r="K30" s="135">
        <v>1337</v>
      </c>
      <c r="L30" s="237">
        <v>44493</v>
      </c>
      <c r="M30" s="135" t="s">
        <v>1520</v>
      </c>
      <c r="N30" s="135" t="s">
        <v>530</v>
      </c>
      <c r="O30" s="238">
        <v>11</v>
      </c>
      <c r="P30" s="238">
        <v>2.31</v>
      </c>
      <c r="Q30" s="238">
        <v>13.31</v>
      </c>
      <c r="R30" s="135">
        <f>COUNTIF(Tabla12[FACTURA],Tabla12[[#This Row],[FACTURA]])</f>
        <v>1</v>
      </c>
      <c r="S30" s="237">
        <v>44470</v>
      </c>
      <c r="T30" s="135" t="s">
        <v>459</v>
      </c>
      <c r="U30" s="135" t="s">
        <v>520</v>
      </c>
      <c r="V30" s="238">
        <v>137</v>
      </c>
      <c r="W30" s="238">
        <v>28.77</v>
      </c>
      <c r="X30" s="238">
        <v>165.77</v>
      </c>
      <c r="Z30" s="237">
        <v>44470</v>
      </c>
      <c r="AA30" s="135" t="s">
        <v>459</v>
      </c>
      <c r="AB30" s="135" t="s">
        <v>520</v>
      </c>
      <c r="AC30" s="238">
        <v>137</v>
      </c>
      <c r="AD30" s="238">
        <v>28.77</v>
      </c>
      <c r="AE30" s="238">
        <v>165.77</v>
      </c>
    </row>
    <row r="31" spans="3:31">
      <c r="C31" s="135"/>
      <c r="D31" s="135"/>
      <c r="E31" s="135"/>
      <c r="F31" s="135"/>
      <c r="G31" s="135"/>
      <c r="H31" s="135"/>
      <c r="I31" s="135"/>
      <c r="K31" s="135">
        <v>1338</v>
      </c>
      <c r="L31" s="237">
        <v>44493</v>
      </c>
      <c r="M31" s="135" t="s">
        <v>1520</v>
      </c>
      <c r="N31" s="135" t="s">
        <v>518</v>
      </c>
      <c r="O31" s="238">
        <v>23</v>
      </c>
      <c r="P31" s="238">
        <v>4.83</v>
      </c>
      <c r="Q31" s="238">
        <v>27.83</v>
      </c>
      <c r="R31" s="135">
        <f>COUNTIF(Tabla12[FACTURA],Tabla12[[#This Row],[FACTURA]])</f>
        <v>1</v>
      </c>
      <c r="S31" s="237">
        <v>44470</v>
      </c>
      <c r="T31" s="135"/>
      <c r="U31" s="135" t="s">
        <v>530</v>
      </c>
      <c r="V31" s="135" t="s">
        <v>1524</v>
      </c>
      <c r="W31" s="135" t="s">
        <v>1525</v>
      </c>
      <c r="X31" s="135" t="s">
        <v>1526</v>
      </c>
      <c r="Z31" s="237">
        <v>44470</v>
      </c>
      <c r="AA31" s="135" t="str">
        <f t="shared" ref="AA31:AA40" si="3">AA30</f>
        <v>Pablo</v>
      </c>
      <c r="AB31" s="135" t="s">
        <v>530</v>
      </c>
      <c r="AC31" s="135" t="s">
        <v>1524</v>
      </c>
      <c r="AD31" s="135" t="s">
        <v>1525</v>
      </c>
      <c r="AE31" s="135" t="s">
        <v>1526</v>
      </c>
    </row>
    <row r="32" spans="3:31">
      <c r="C32" s="135">
        <v>1329</v>
      </c>
      <c r="D32" s="237">
        <v>44487</v>
      </c>
      <c r="E32" s="135" t="s">
        <v>459</v>
      </c>
      <c r="F32" s="135" t="s">
        <v>518</v>
      </c>
      <c r="G32" s="238">
        <v>143</v>
      </c>
      <c r="H32" s="238">
        <v>30.03</v>
      </c>
      <c r="I32" s="238">
        <v>173.03</v>
      </c>
      <c r="K32" s="135">
        <v>1339</v>
      </c>
      <c r="L32" s="237">
        <v>44493</v>
      </c>
      <c r="M32" s="135" t="s">
        <v>1521</v>
      </c>
      <c r="N32" s="135" t="s">
        <v>525</v>
      </c>
      <c r="O32" s="238">
        <v>20</v>
      </c>
      <c r="P32" s="238">
        <v>4.2</v>
      </c>
      <c r="Q32" s="238">
        <v>24.2</v>
      </c>
      <c r="R32" s="135">
        <f>COUNTIF(Tabla12[FACTURA],Tabla12[[#This Row],[FACTURA]])</f>
        <v>1</v>
      </c>
      <c r="S32" s="237">
        <v>44470</v>
      </c>
      <c r="T32" s="135"/>
      <c r="U32" s="135" t="s">
        <v>518</v>
      </c>
      <c r="V32" s="238">
        <v>23</v>
      </c>
      <c r="W32" s="238">
        <v>4.83</v>
      </c>
      <c r="X32" s="238">
        <v>27.83</v>
      </c>
      <c r="Z32" s="237">
        <v>44470</v>
      </c>
      <c r="AA32" s="135" t="str">
        <f t="shared" si="3"/>
        <v>Pablo</v>
      </c>
      <c r="AB32" s="135" t="s">
        <v>518</v>
      </c>
      <c r="AC32" s="238">
        <v>23</v>
      </c>
      <c r="AD32" s="238">
        <v>4.83</v>
      </c>
      <c r="AE32" s="238">
        <v>27.83</v>
      </c>
    </row>
    <row r="33" spans="3:31">
      <c r="C33" s="135">
        <v>1330</v>
      </c>
      <c r="D33" s="237">
        <v>44488</v>
      </c>
      <c r="E33" s="135" t="s">
        <v>1520</v>
      </c>
      <c r="F33" s="135" t="s">
        <v>525</v>
      </c>
      <c r="G33" s="238">
        <v>46</v>
      </c>
      <c r="H33" s="238">
        <v>9.66</v>
      </c>
      <c r="I33" s="238">
        <v>55.66</v>
      </c>
      <c r="K33" s="135">
        <v>1340</v>
      </c>
      <c r="L33" s="237">
        <v>44493</v>
      </c>
      <c r="M33" s="135" t="s">
        <v>406</v>
      </c>
      <c r="N33" s="135" t="s">
        <v>530</v>
      </c>
      <c r="O33" s="238">
        <v>25</v>
      </c>
      <c r="P33" s="238">
        <v>5.25</v>
      </c>
      <c r="Q33" s="238">
        <v>30.25</v>
      </c>
      <c r="R33" s="135">
        <f>COUNTIF(Tabla12[FACTURA],Tabla12[[#This Row],[FACTURA]])</f>
        <v>1</v>
      </c>
      <c r="S33" s="237">
        <v>44470</v>
      </c>
      <c r="T33" s="135"/>
      <c r="U33" s="135" t="s">
        <v>525</v>
      </c>
      <c r="V33" s="238">
        <v>20</v>
      </c>
      <c r="W33" s="238">
        <v>4.2</v>
      </c>
      <c r="X33" s="238">
        <v>24.2</v>
      </c>
      <c r="Z33" s="237">
        <v>44470</v>
      </c>
      <c r="AA33" s="135" t="str">
        <f t="shared" si="3"/>
        <v>Pablo</v>
      </c>
      <c r="AB33" s="135" t="s">
        <v>525</v>
      </c>
      <c r="AC33" s="238">
        <v>20</v>
      </c>
      <c r="AD33" s="238">
        <v>4.2</v>
      </c>
      <c r="AE33" s="238">
        <v>24.2</v>
      </c>
    </row>
    <row r="34" spans="3:31">
      <c r="C34" s="135"/>
      <c r="D34" s="135"/>
      <c r="E34" s="135"/>
      <c r="F34" s="135"/>
      <c r="G34" s="135"/>
      <c r="H34" s="135"/>
      <c r="I34" s="135"/>
      <c r="K34" s="135">
        <v>1341</v>
      </c>
      <c r="L34" s="237">
        <v>44493</v>
      </c>
      <c r="M34" s="135" t="s">
        <v>459</v>
      </c>
      <c r="N34" s="135" t="s">
        <v>534</v>
      </c>
      <c r="O34" s="238">
        <v>6</v>
      </c>
      <c r="P34" s="238">
        <v>1.26</v>
      </c>
      <c r="Q34" s="238">
        <v>7.26</v>
      </c>
      <c r="R34" s="135">
        <f>COUNTIF(Tabla12[FACTURA],Tabla12[[#This Row],[FACTURA]])</f>
        <v>1</v>
      </c>
      <c r="S34" s="237">
        <v>44470</v>
      </c>
      <c r="T34" s="135"/>
      <c r="U34" s="135" t="s">
        <v>530</v>
      </c>
      <c r="V34" s="238">
        <v>25</v>
      </c>
      <c r="W34" s="238">
        <v>5.25</v>
      </c>
      <c r="X34" s="238">
        <v>30.25</v>
      </c>
      <c r="Z34" s="237">
        <v>44470</v>
      </c>
      <c r="AA34" s="135" t="str">
        <f t="shared" si="3"/>
        <v>Pablo</v>
      </c>
      <c r="AB34" s="135" t="s">
        <v>530</v>
      </c>
      <c r="AC34" s="238">
        <v>25</v>
      </c>
      <c r="AD34" s="238">
        <v>5.25</v>
      </c>
      <c r="AE34" s="238">
        <v>30.25</v>
      </c>
    </row>
    <row r="35" spans="3:31">
      <c r="C35" s="135">
        <v>1331</v>
      </c>
      <c r="D35" s="237">
        <v>44488</v>
      </c>
      <c r="E35" s="135" t="s">
        <v>1522</v>
      </c>
      <c r="F35" s="135" t="s">
        <v>530</v>
      </c>
      <c r="G35" s="238">
        <v>10</v>
      </c>
      <c r="H35" s="238">
        <v>2.1</v>
      </c>
      <c r="I35" s="238">
        <v>12.1</v>
      </c>
      <c r="K35" s="135">
        <v>1342</v>
      </c>
      <c r="L35" s="237">
        <v>44494</v>
      </c>
      <c r="M35" s="135" t="s">
        <v>1520</v>
      </c>
      <c r="N35" s="135" t="s">
        <v>534</v>
      </c>
      <c r="O35" s="238">
        <v>9</v>
      </c>
      <c r="P35" s="238">
        <v>1.89</v>
      </c>
      <c r="Q35" s="238">
        <v>10.89</v>
      </c>
      <c r="R35" s="135">
        <f>COUNTIF(Tabla12[FACTURA],Tabla12[[#This Row],[FACTURA]])</f>
        <v>1</v>
      </c>
      <c r="S35" s="237">
        <v>44470</v>
      </c>
      <c r="T35" s="135"/>
      <c r="U35" s="135" t="s">
        <v>534</v>
      </c>
      <c r="V35" s="238">
        <v>6</v>
      </c>
      <c r="W35" s="238">
        <v>1.26</v>
      </c>
      <c r="X35" s="238">
        <v>7.26</v>
      </c>
      <c r="Z35" s="237">
        <v>44470</v>
      </c>
      <c r="AA35" s="135" t="str">
        <f t="shared" si="3"/>
        <v>Pablo</v>
      </c>
      <c r="AB35" s="135" t="s">
        <v>534</v>
      </c>
      <c r="AC35" s="238">
        <v>6</v>
      </c>
      <c r="AD35" s="238">
        <v>1.26</v>
      </c>
      <c r="AE35" s="238">
        <v>7.26</v>
      </c>
    </row>
    <row r="36" spans="3:31">
      <c r="C36" s="135">
        <v>1332</v>
      </c>
      <c r="D36" s="237">
        <v>44488</v>
      </c>
      <c r="E36" s="135" t="s">
        <v>406</v>
      </c>
      <c r="F36" s="135" t="s">
        <v>525</v>
      </c>
      <c r="G36" s="238">
        <v>25</v>
      </c>
      <c r="H36" s="238">
        <v>5.25</v>
      </c>
      <c r="I36" s="238">
        <v>30.25</v>
      </c>
      <c r="K36" s="135">
        <v>1343</v>
      </c>
      <c r="L36" s="237">
        <v>44494</v>
      </c>
      <c r="M36" s="135" t="s">
        <v>459</v>
      </c>
      <c r="N36" s="135" t="s">
        <v>534</v>
      </c>
      <c r="O36" s="238">
        <v>5</v>
      </c>
      <c r="P36" s="238">
        <v>1.05</v>
      </c>
      <c r="Q36" s="238">
        <v>6.05</v>
      </c>
      <c r="R36" s="135">
        <f>COUNTIF(Tabla12[FACTURA],Tabla12[[#This Row],[FACTURA]])</f>
        <v>1</v>
      </c>
      <c r="S36" s="237">
        <v>44470</v>
      </c>
      <c r="T36" s="135"/>
      <c r="U36" s="135" t="s">
        <v>534</v>
      </c>
      <c r="V36" s="238">
        <v>9</v>
      </c>
      <c r="W36" s="238">
        <v>1.89</v>
      </c>
      <c r="X36" s="238">
        <v>10.89</v>
      </c>
      <c r="Z36" s="237">
        <v>44470</v>
      </c>
      <c r="AA36" s="135" t="str">
        <f t="shared" si="3"/>
        <v>Pablo</v>
      </c>
      <c r="AB36" s="135" t="s">
        <v>534</v>
      </c>
      <c r="AC36" s="238">
        <v>9</v>
      </c>
      <c r="AD36" s="238">
        <v>1.89</v>
      </c>
      <c r="AE36" s="238">
        <v>10.89</v>
      </c>
    </row>
    <row r="37" spans="3:31">
      <c r="C37" s="135">
        <v>1333</v>
      </c>
      <c r="D37" s="237">
        <v>44489</v>
      </c>
      <c r="E37" s="135" t="s">
        <v>1522</v>
      </c>
      <c r="F37" s="135" t="s">
        <v>534</v>
      </c>
      <c r="G37" s="238">
        <v>10</v>
      </c>
      <c r="H37" s="238">
        <v>2.1</v>
      </c>
      <c r="I37" s="238">
        <v>12.1</v>
      </c>
      <c r="K37" s="135">
        <v>1344</v>
      </c>
      <c r="L37" s="237">
        <v>44495</v>
      </c>
      <c r="M37" s="135" t="s">
        <v>459</v>
      </c>
      <c r="N37" s="135" t="s">
        <v>534</v>
      </c>
      <c r="O37" s="238">
        <v>9</v>
      </c>
      <c r="P37" s="238">
        <v>1.89</v>
      </c>
      <c r="Q37" s="238">
        <v>10.89</v>
      </c>
      <c r="R37" s="135">
        <f>COUNTIF(Tabla12[FACTURA],Tabla12[[#This Row],[FACTURA]])</f>
        <v>1</v>
      </c>
      <c r="S37" s="237">
        <v>44470</v>
      </c>
      <c r="T37" s="135"/>
      <c r="U37" s="135" t="s">
        <v>534</v>
      </c>
      <c r="V37" s="238">
        <v>5</v>
      </c>
      <c r="W37" s="238">
        <v>1.05</v>
      </c>
      <c r="X37" s="238">
        <v>6.05</v>
      </c>
      <c r="Z37" s="237">
        <v>44470</v>
      </c>
      <c r="AA37" s="135" t="str">
        <f t="shared" si="3"/>
        <v>Pablo</v>
      </c>
      <c r="AB37" s="135" t="s">
        <v>534</v>
      </c>
      <c r="AC37" s="238">
        <v>5</v>
      </c>
      <c r="AD37" s="238">
        <v>1.05</v>
      </c>
      <c r="AE37" s="238">
        <v>6.05</v>
      </c>
    </row>
    <row r="38" spans="3:31">
      <c r="C38" s="135"/>
      <c r="D38" s="135"/>
      <c r="E38" s="135"/>
      <c r="F38" s="135"/>
      <c r="G38" s="135"/>
      <c r="H38" s="135"/>
      <c r="I38" s="135"/>
      <c r="K38" s="135">
        <v>1345</v>
      </c>
      <c r="L38" s="237">
        <v>44495</v>
      </c>
      <c r="M38" s="135" t="s">
        <v>406</v>
      </c>
      <c r="N38" s="135" t="s">
        <v>530</v>
      </c>
      <c r="O38" s="238">
        <v>49</v>
      </c>
      <c r="P38" s="238">
        <v>10.29</v>
      </c>
      <c r="Q38" s="238">
        <v>59.29</v>
      </c>
      <c r="R38" s="135">
        <f>COUNTIF(Tabla12[FACTURA],Tabla12[[#This Row],[FACTURA]])</f>
        <v>1</v>
      </c>
      <c r="S38" s="237">
        <v>44470</v>
      </c>
      <c r="T38" s="135"/>
      <c r="U38" s="135" t="s">
        <v>534</v>
      </c>
      <c r="V38" s="135" t="s">
        <v>1524</v>
      </c>
      <c r="W38" s="135" t="s">
        <v>1525</v>
      </c>
      <c r="X38" s="135" t="s">
        <v>1526</v>
      </c>
      <c r="Z38" s="237">
        <v>44470</v>
      </c>
      <c r="AA38" s="135" t="str">
        <f t="shared" si="3"/>
        <v>Pablo</v>
      </c>
      <c r="AB38" s="135" t="s">
        <v>534</v>
      </c>
      <c r="AC38" s="135" t="s">
        <v>1524</v>
      </c>
      <c r="AD38" s="135" t="s">
        <v>1525</v>
      </c>
      <c r="AE38" s="135" t="s">
        <v>1526</v>
      </c>
    </row>
    <row r="39" spans="3:31">
      <c r="C39" s="135">
        <v>1334</v>
      </c>
      <c r="D39" s="237">
        <v>44490</v>
      </c>
      <c r="E39" s="135" t="s">
        <v>1521</v>
      </c>
      <c r="F39" s="135" t="s">
        <v>530</v>
      </c>
      <c r="G39" s="238">
        <v>31</v>
      </c>
      <c r="H39" s="238">
        <v>6.51</v>
      </c>
      <c r="I39" s="238">
        <v>37.51</v>
      </c>
      <c r="K39" s="135">
        <v>1346</v>
      </c>
      <c r="L39" s="237">
        <v>44496</v>
      </c>
      <c r="M39" s="135" t="s">
        <v>1521</v>
      </c>
      <c r="N39" s="135" t="s">
        <v>520</v>
      </c>
      <c r="O39" s="238">
        <v>264</v>
      </c>
      <c r="P39" s="238">
        <v>55.44</v>
      </c>
      <c r="Q39" s="238">
        <v>319.44</v>
      </c>
      <c r="R39" s="135">
        <f>COUNTIF(Tabla12[FACTURA],Tabla12[[#This Row],[FACTURA]])</f>
        <v>1</v>
      </c>
      <c r="S39" s="237">
        <v>44470</v>
      </c>
      <c r="T39" s="135"/>
      <c r="U39" s="135" t="s">
        <v>530</v>
      </c>
      <c r="V39" s="238">
        <v>49</v>
      </c>
      <c r="W39" s="238">
        <v>10.29</v>
      </c>
      <c r="X39" s="238">
        <v>59.29</v>
      </c>
      <c r="Z39" s="237">
        <v>44470</v>
      </c>
      <c r="AA39" s="135" t="str">
        <f t="shared" si="3"/>
        <v>Pablo</v>
      </c>
      <c r="AB39" s="135" t="s">
        <v>530</v>
      </c>
      <c r="AC39" s="238">
        <v>49</v>
      </c>
      <c r="AD39" s="238">
        <v>10.29</v>
      </c>
      <c r="AE39" s="238">
        <v>59.29</v>
      </c>
    </row>
    <row r="40" spans="3:31">
      <c r="C40" s="135">
        <v>1335</v>
      </c>
      <c r="D40" s="237">
        <v>44490</v>
      </c>
      <c r="E40" s="135" t="s">
        <v>406</v>
      </c>
      <c r="F40" s="135" t="s">
        <v>525</v>
      </c>
      <c r="G40" s="238">
        <v>8</v>
      </c>
      <c r="H40" s="238">
        <v>1.68</v>
      </c>
      <c r="I40" s="238">
        <v>9.68</v>
      </c>
      <c r="K40" s="135">
        <v>1347</v>
      </c>
      <c r="L40" s="237">
        <v>44497</v>
      </c>
      <c r="M40" s="135" t="s">
        <v>1522</v>
      </c>
      <c r="N40" s="135" t="s">
        <v>520</v>
      </c>
      <c r="O40" s="238">
        <v>860</v>
      </c>
      <c r="P40" s="238">
        <v>180.6</v>
      </c>
      <c r="Q40" s="238">
        <v>1040.5999999999999</v>
      </c>
      <c r="R40" s="135">
        <f>COUNTIF(Tabla12[FACTURA],Tabla12[[#This Row],[FACTURA]])</f>
        <v>1</v>
      </c>
      <c r="S40" s="237">
        <v>44470</v>
      </c>
      <c r="T40" s="135"/>
      <c r="U40" s="135" t="s">
        <v>520</v>
      </c>
      <c r="V40" s="238">
        <v>264</v>
      </c>
      <c r="W40" s="238">
        <v>55.44</v>
      </c>
      <c r="X40" s="238">
        <v>319.44</v>
      </c>
      <c r="Z40" s="237">
        <v>44470</v>
      </c>
      <c r="AA40" s="135" t="str">
        <f t="shared" si="3"/>
        <v>Pablo</v>
      </c>
      <c r="AB40" s="135" t="s">
        <v>520</v>
      </c>
      <c r="AC40" s="238">
        <v>264</v>
      </c>
      <c r="AD40" s="238">
        <v>55.44</v>
      </c>
      <c r="AE40" s="238">
        <v>319.44</v>
      </c>
    </row>
    <row r="41" spans="3:31">
      <c r="C41" s="135">
        <v>1336</v>
      </c>
      <c r="D41" s="237">
        <v>44492</v>
      </c>
      <c r="E41" s="135" t="s">
        <v>459</v>
      </c>
      <c r="F41" s="135" t="s">
        <v>520</v>
      </c>
      <c r="G41" s="238">
        <v>137</v>
      </c>
      <c r="H41" s="238">
        <v>28.77</v>
      </c>
      <c r="I41" s="238">
        <v>165.77</v>
      </c>
      <c r="K41" s="135">
        <v>1348</v>
      </c>
      <c r="L41" s="237">
        <v>44499</v>
      </c>
      <c r="M41" s="135" t="s">
        <v>406</v>
      </c>
      <c r="N41" s="135" t="s">
        <v>534</v>
      </c>
      <c r="O41" s="238">
        <v>6</v>
      </c>
      <c r="P41" s="238">
        <v>1.26</v>
      </c>
      <c r="Q41" s="238">
        <v>7.26</v>
      </c>
      <c r="R41" s="135">
        <f>COUNTIF(Tabla12[FACTURA],Tabla12[[#This Row],[FACTURA]])</f>
        <v>1</v>
      </c>
      <c r="S41" s="237">
        <v>44470</v>
      </c>
      <c r="T41" s="135" t="s">
        <v>1522</v>
      </c>
      <c r="U41" s="135" t="s">
        <v>520</v>
      </c>
      <c r="V41" s="238">
        <v>860</v>
      </c>
      <c r="W41" s="238">
        <v>180.6</v>
      </c>
      <c r="X41" s="238">
        <v>1040.5999999999999</v>
      </c>
      <c r="Z41" s="237">
        <v>44470</v>
      </c>
      <c r="AA41" s="135" t="s">
        <v>1522</v>
      </c>
      <c r="AB41" s="135" t="s">
        <v>520</v>
      </c>
      <c r="AC41" s="238">
        <v>860</v>
      </c>
      <c r="AD41" s="238">
        <v>180.6</v>
      </c>
      <c r="AE41" s="238">
        <v>1040.5999999999999</v>
      </c>
    </row>
    <row r="42" spans="3:31">
      <c r="C42" s="135">
        <v>1337</v>
      </c>
      <c r="D42" s="237">
        <v>44493</v>
      </c>
      <c r="E42" s="135" t="s">
        <v>1520</v>
      </c>
      <c r="F42" s="135" t="s">
        <v>530</v>
      </c>
      <c r="G42" s="238">
        <v>11</v>
      </c>
      <c r="H42" s="238">
        <v>2.31</v>
      </c>
      <c r="I42" s="238">
        <v>13.31</v>
      </c>
      <c r="K42" s="135">
        <v>1349</v>
      </c>
      <c r="L42" s="237">
        <v>44501</v>
      </c>
      <c r="M42" s="135" t="s">
        <v>1522</v>
      </c>
      <c r="N42" s="135" t="s">
        <v>518</v>
      </c>
      <c r="O42" s="238">
        <v>63</v>
      </c>
      <c r="P42" s="238">
        <v>13.23</v>
      </c>
      <c r="Q42" s="238">
        <v>76.23</v>
      </c>
      <c r="R42" s="135">
        <f>COUNTIF(Tabla12[FACTURA],Tabla12[[#This Row],[FACTURA]])</f>
        <v>1</v>
      </c>
      <c r="S42" s="237">
        <v>44470</v>
      </c>
      <c r="T42" s="135"/>
      <c r="U42" s="135" t="s">
        <v>534</v>
      </c>
      <c r="V42" s="238">
        <v>6</v>
      </c>
      <c r="W42" s="238">
        <v>1.26</v>
      </c>
      <c r="X42" s="238">
        <v>7.26</v>
      </c>
      <c r="Z42" s="237">
        <v>44470</v>
      </c>
      <c r="AA42" s="135" t="str">
        <f t="shared" ref="AA42:AA50" si="4">AA41</f>
        <v>Maria</v>
      </c>
      <c r="AB42" s="135" t="s">
        <v>534</v>
      </c>
      <c r="AC42" s="238">
        <v>6</v>
      </c>
      <c r="AD42" s="238">
        <v>1.26</v>
      </c>
      <c r="AE42" s="238">
        <v>7.26</v>
      </c>
    </row>
    <row r="43" spans="3:31">
      <c r="C43" s="135">
        <v>1338</v>
      </c>
      <c r="D43" s="237">
        <v>44493</v>
      </c>
      <c r="E43" s="135" t="s">
        <v>1520</v>
      </c>
      <c r="F43" s="135" t="s">
        <v>518</v>
      </c>
      <c r="G43" s="238">
        <v>23</v>
      </c>
      <c r="H43" s="238">
        <v>4.83</v>
      </c>
      <c r="I43" s="238">
        <v>27.83</v>
      </c>
      <c r="K43" s="135">
        <v>1350</v>
      </c>
      <c r="L43" s="237">
        <v>44501</v>
      </c>
      <c r="M43" s="135" t="s">
        <v>1521</v>
      </c>
      <c r="N43" s="135" t="s">
        <v>534</v>
      </c>
      <c r="O43" s="238">
        <v>6</v>
      </c>
      <c r="P43" s="238">
        <v>1.26</v>
      </c>
      <c r="Q43" s="238">
        <v>7.26</v>
      </c>
      <c r="R43" s="135">
        <f>COUNTIF(Tabla12[FACTURA],Tabla12[[#This Row],[FACTURA]])</f>
        <v>1</v>
      </c>
      <c r="S43" s="237">
        <v>44470</v>
      </c>
      <c r="T43" s="135"/>
      <c r="U43" s="135" t="s">
        <v>518</v>
      </c>
      <c r="V43" s="238">
        <v>63</v>
      </c>
      <c r="W43" s="238">
        <v>13.23</v>
      </c>
      <c r="X43" s="238">
        <v>76.23</v>
      </c>
      <c r="Z43" s="237">
        <v>44470</v>
      </c>
      <c r="AA43" s="135" t="str">
        <f t="shared" si="4"/>
        <v>Maria</v>
      </c>
      <c r="AB43" s="135" t="s">
        <v>518</v>
      </c>
      <c r="AC43" s="238">
        <v>63</v>
      </c>
      <c r="AD43" s="238">
        <v>13.23</v>
      </c>
      <c r="AE43" s="238">
        <v>76.23</v>
      </c>
    </row>
    <row r="44" spans="3:31">
      <c r="C44" s="135">
        <v>1339</v>
      </c>
      <c r="D44" s="237">
        <v>44493</v>
      </c>
      <c r="E44" s="135" t="s">
        <v>1521</v>
      </c>
      <c r="F44" s="135" t="s">
        <v>525</v>
      </c>
      <c r="G44" s="238">
        <v>20</v>
      </c>
      <c r="H44" s="238">
        <v>4.2</v>
      </c>
      <c r="I44" s="238">
        <v>24.2</v>
      </c>
      <c r="K44" s="135">
        <v>1351</v>
      </c>
      <c r="L44" s="237">
        <v>44504</v>
      </c>
      <c r="M44" s="135" t="s">
        <v>1522</v>
      </c>
      <c r="N44" s="135" t="s">
        <v>530</v>
      </c>
      <c r="O44" s="238">
        <v>17</v>
      </c>
      <c r="P44" s="238">
        <v>3.57</v>
      </c>
      <c r="Q44" s="238">
        <v>20.57</v>
      </c>
      <c r="R44" s="135">
        <f>COUNTIF(Tabla12[FACTURA],Tabla12[[#This Row],[FACTURA]])</f>
        <v>1</v>
      </c>
      <c r="S44" s="237">
        <v>44470</v>
      </c>
      <c r="T44" s="135"/>
      <c r="U44" s="135" t="s">
        <v>534</v>
      </c>
      <c r="V44" s="238">
        <v>6</v>
      </c>
      <c r="W44" s="238">
        <v>1.26</v>
      </c>
      <c r="X44" s="238">
        <v>7.26</v>
      </c>
      <c r="Z44" s="237">
        <v>44470</v>
      </c>
      <c r="AA44" s="135" t="str">
        <f t="shared" si="4"/>
        <v>Maria</v>
      </c>
      <c r="AB44" s="135" t="s">
        <v>534</v>
      </c>
      <c r="AC44" s="238">
        <v>6</v>
      </c>
      <c r="AD44" s="238">
        <v>1.26</v>
      </c>
      <c r="AE44" s="238">
        <v>7.26</v>
      </c>
    </row>
    <row r="45" spans="3:31">
      <c r="C45" s="135"/>
      <c r="D45" s="135"/>
      <c r="E45" s="135"/>
      <c r="F45" s="135"/>
      <c r="G45" s="135"/>
      <c r="H45" s="135"/>
      <c r="I45" s="135"/>
      <c r="K45" s="135">
        <v>1352</v>
      </c>
      <c r="L45" s="237">
        <v>44507</v>
      </c>
      <c r="M45" s="135" t="s">
        <v>1520</v>
      </c>
      <c r="N45" s="135" t="s">
        <v>518</v>
      </c>
      <c r="O45" s="238">
        <v>15</v>
      </c>
      <c r="P45" s="238">
        <v>3.15</v>
      </c>
      <c r="Q45" s="238">
        <v>18.149999999999999</v>
      </c>
      <c r="R45" s="135">
        <f>COUNTIF(Tabla12[FACTURA],Tabla12[[#This Row],[FACTURA]])</f>
        <v>1</v>
      </c>
      <c r="S45" s="237">
        <v>44470</v>
      </c>
      <c r="T45" s="135"/>
      <c r="U45" s="135" t="s">
        <v>530</v>
      </c>
      <c r="V45" s="135" t="s">
        <v>1524</v>
      </c>
      <c r="W45" s="135" t="s">
        <v>1525</v>
      </c>
      <c r="X45" s="135" t="s">
        <v>1526</v>
      </c>
      <c r="Z45" s="237">
        <v>44470</v>
      </c>
      <c r="AA45" s="135" t="str">
        <f t="shared" si="4"/>
        <v>Maria</v>
      </c>
      <c r="AB45" s="135" t="s">
        <v>530</v>
      </c>
      <c r="AC45" s="135" t="s">
        <v>1524</v>
      </c>
      <c r="AD45" s="135" t="s">
        <v>1525</v>
      </c>
      <c r="AE45" s="135" t="s">
        <v>1526</v>
      </c>
    </row>
    <row r="46" spans="3:31">
      <c r="C46" s="135"/>
      <c r="D46" s="135"/>
      <c r="E46" s="135"/>
      <c r="F46" s="135"/>
      <c r="G46" s="135"/>
      <c r="H46" s="135"/>
      <c r="I46" s="135"/>
      <c r="K46" s="135">
        <v>1353</v>
      </c>
      <c r="L46" s="237">
        <v>44507</v>
      </c>
      <c r="M46" s="135" t="s">
        <v>1520</v>
      </c>
      <c r="N46" s="135" t="s">
        <v>525</v>
      </c>
      <c r="O46" s="238">
        <v>6</v>
      </c>
      <c r="P46" s="238">
        <v>1.26</v>
      </c>
      <c r="Q46" s="238">
        <v>7.26</v>
      </c>
      <c r="R46" s="135">
        <f>COUNTIF(Tabla12[FACTURA],Tabla12[[#This Row],[FACTURA]])</f>
        <v>1</v>
      </c>
      <c r="S46" s="237">
        <v>44470</v>
      </c>
      <c r="T46" s="135"/>
      <c r="U46" s="135" t="s">
        <v>518</v>
      </c>
      <c r="V46" s="238">
        <v>15</v>
      </c>
      <c r="W46" s="238">
        <v>3.15</v>
      </c>
      <c r="X46" s="238">
        <v>18.149999999999999</v>
      </c>
      <c r="Z46" s="237">
        <v>44470</v>
      </c>
      <c r="AA46" s="135" t="str">
        <f t="shared" si="4"/>
        <v>Maria</v>
      </c>
      <c r="AB46" s="135" t="s">
        <v>518</v>
      </c>
      <c r="AC46" s="238">
        <v>15</v>
      </c>
      <c r="AD46" s="238">
        <v>3.15</v>
      </c>
      <c r="AE46" s="238">
        <v>18.149999999999999</v>
      </c>
    </row>
    <row r="47" spans="3:31">
      <c r="C47" s="135"/>
      <c r="D47" s="135"/>
      <c r="E47" s="135"/>
      <c r="F47" s="135"/>
      <c r="G47" s="135"/>
      <c r="H47" s="135"/>
      <c r="I47" s="135"/>
      <c r="K47" s="135">
        <v>1354</v>
      </c>
      <c r="L47" s="237">
        <v>44508</v>
      </c>
      <c r="M47" s="135" t="s">
        <v>459</v>
      </c>
      <c r="N47" s="135" t="s">
        <v>518</v>
      </c>
      <c r="O47" s="238">
        <v>198</v>
      </c>
      <c r="P47" s="238">
        <v>41.58</v>
      </c>
      <c r="Q47" s="238">
        <v>239.58</v>
      </c>
      <c r="R47" s="135">
        <f>COUNTIF(Tabla12[FACTURA],Tabla12[[#This Row],[FACTURA]])</f>
        <v>1</v>
      </c>
      <c r="S47" s="237">
        <v>44470</v>
      </c>
      <c r="T47" s="135"/>
      <c r="U47" s="135" t="s">
        <v>525</v>
      </c>
      <c r="V47" s="238">
        <v>6</v>
      </c>
      <c r="W47" s="238">
        <v>1.26</v>
      </c>
      <c r="X47" s="238">
        <v>7.26</v>
      </c>
      <c r="Z47" s="237">
        <v>44470</v>
      </c>
      <c r="AA47" s="135" t="str">
        <f t="shared" si="4"/>
        <v>Maria</v>
      </c>
      <c r="AB47" s="135" t="s">
        <v>525</v>
      </c>
      <c r="AC47" s="238">
        <v>6</v>
      </c>
      <c r="AD47" s="238">
        <v>1.26</v>
      </c>
      <c r="AE47" s="238">
        <v>7.26</v>
      </c>
    </row>
    <row r="48" spans="3:31">
      <c r="C48" s="135"/>
      <c r="D48" s="135"/>
      <c r="E48" s="135"/>
      <c r="F48" s="135"/>
      <c r="G48" s="135"/>
      <c r="H48" s="135"/>
      <c r="I48" s="135"/>
      <c r="K48" s="135">
        <v>1355</v>
      </c>
      <c r="L48" s="237">
        <v>44508</v>
      </c>
      <c r="M48" s="135" t="s">
        <v>1521</v>
      </c>
      <c r="N48" s="135" t="s">
        <v>520</v>
      </c>
      <c r="O48" s="238">
        <v>621</v>
      </c>
      <c r="P48" s="238">
        <v>130.41</v>
      </c>
      <c r="Q48" s="238">
        <v>751.41</v>
      </c>
      <c r="R48" s="135">
        <f>COUNTIF(Tabla12[FACTURA],Tabla12[[#This Row],[FACTURA]])</f>
        <v>1</v>
      </c>
      <c r="S48" s="237">
        <v>44470</v>
      </c>
      <c r="T48" s="135"/>
      <c r="U48" s="135" t="s">
        <v>518</v>
      </c>
      <c r="V48" s="238">
        <v>198</v>
      </c>
      <c r="W48" s="238">
        <v>41.58</v>
      </c>
      <c r="X48" s="238">
        <v>239.58</v>
      </c>
      <c r="Z48" s="237">
        <v>44470</v>
      </c>
      <c r="AA48" s="135" t="str">
        <f t="shared" si="4"/>
        <v>Maria</v>
      </c>
      <c r="AB48" s="135" t="s">
        <v>518</v>
      </c>
      <c r="AC48" s="238">
        <v>198</v>
      </c>
      <c r="AD48" s="238">
        <v>41.58</v>
      </c>
      <c r="AE48" s="238">
        <v>239.58</v>
      </c>
    </row>
    <row r="49" spans="3:31">
      <c r="C49" s="135"/>
      <c r="D49" s="135"/>
      <c r="E49" s="135"/>
      <c r="F49" s="135"/>
      <c r="G49" s="135"/>
      <c r="H49" s="135"/>
      <c r="I49" s="135"/>
      <c r="K49" s="135">
        <v>1356</v>
      </c>
      <c r="L49" s="237">
        <v>44509</v>
      </c>
      <c r="M49" s="135" t="s">
        <v>1522</v>
      </c>
      <c r="N49" s="135" t="s">
        <v>525</v>
      </c>
      <c r="O49" s="238">
        <v>16</v>
      </c>
      <c r="P49" s="238">
        <v>3.36</v>
      </c>
      <c r="Q49" s="238">
        <v>19.36</v>
      </c>
      <c r="R49" s="135">
        <f>COUNTIF(Tabla12[FACTURA],Tabla12[[#This Row],[FACTURA]])</f>
        <v>1</v>
      </c>
      <c r="S49" s="237">
        <v>44470</v>
      </c>
      <c r="T49" s="135"/>
      <c r="U49" s="135" t="s">
        <v>520</v>
      </c>
      <c r="V49" s="238">
        <v>621</v>
      </c>
      <c r="W49" s="238">
        <v>130.41</v>
      </c>
      <c r="X49" s="238">
        <v>751.41</v>
      </c>
      <c r="Z49" s="237">
        <v>44470</v>
      </c>
      <c r="AA49" s="135" t="str">
        <f t="shared" si="4"/>
        <v>Maria</v>
      </c>
      <c r="AB49" s="135" t="s">
        <v>520</v>
      </c>
      <c r="AC49" s="238">
        <v>621</v>
      </c>
      <c r="AD49" s="238">
        <v>130.41</v>
      </c>
      <c r="AE49" s="238">
        <v>751.41</v>
      </c>
    </row>
    <row r="50" spans="3:31">
      <c r="C50" s="135"/>
      <c r="D50" s="135"/>
      <c r="E50" s="135"/>
      <c r="F50" s="135"/>
      <c r="G50" s="135"/>
      <c r="H50" s="135"/>
      <c r="I50" s="135"/>
      <c r="K50" s="135">
        <v>1357</v>
      </c>
      <c r="L50" s="237">
        <v>44509</v>
      </c>
      <c r="M50" s="135" t="s">
        <v>1521</v>
      </c>
      <c r="N50" s="135" t="s">
        <v>518</v>
      </c>
      <c r="O50" s="238">
        <v>31</v>
      </c>
      <c r="P50" s="238">
        <v>6.51</v>
      </c>
      <c r="Q50" s="238">
        <v>37.51</v>
      </c>
      <c r="R50" s="135">
        <f>COUNTIF(Tabla12[FACTURA],Tabla12[[#This Row],[FACTURA]])</f>
        <v>1</v>
      </c>
      <c r="S50" s="237">
        <v>44470</v>
      </c>
      <c r="T50" s="135"/>
      <c r="U50" s="135" t="s">
        <v>525</v>
      </c>
      <c r="V50" s="238">
        <v>16</v>
      </c>
      <c r="W50" s="238">
        <v>3.36</v>
      </c>
      <c r="X50" s="238">
        <v>19.36</v>
      </c>
      <c r="Z50" s="237">
        <v>44470</v>
      </c>
      <c r="AA50" s="135" t="str">
        <f t="shared" si="4"/>
        <v>Maria</v>
      </c>
      <c r="AB50" s="135" t="s">
        <v>525</v>
      </c>
      <c r="AC50" s="238">
        <v>16</v>
      </c>
      <c r="AD50" s="238">
        <v>3.36</v>
      </c>
      <c r="AE50" s="238">
        <v>19.36</v>
      </c>
    </row>
    <row r="51" spans="3:31">
      <c r="C51" s="135"/>
      <c r="D51" s="135"/>
      <c r="E51" s="135"/>
      <c r="F51" s="135"/>
      <c r="G51" s="135"/>
      <c r="H51" s="135"/>
      <c r="I51" s="135"/>
      <c r="K51" s="135">
        <v>1358</v>
      </c>
      <c r="L51" s="237">
        <v>44509</v>
      </c>
      <c r="M51" s="135" t="s">
        <v>1522</v>
      </c>
      <c r="N51" s="135" t="s">
        <v>520</v>
      </c>
      <c r="O51" s="238">
        <v>663</v>
      </c>
      <c r="P51" s="238">
        <v>139.22999999999999</v>
      </c>
      <c r="Q51" s="238">
        <v>802.23</v>
      </c>
      <c r="R51" s="135">
        <f>COUNTIF(Tabla12[FACTURA],Tabla12[[#This Row],[FACTURA]])</f>
        <v>1</v>
      </c>
      <c r="S51" s="237">
        <v>44471</v>
      </c>
      <c r="T51" s="135" t="s">
        <v>1520</v>
      </c>
      <c r="U51" s="135" t="s">
        <v>534</v>
      </c>
      <c r="V51" s="238">
        <v>9</v>
      </c>
      <c r="W51" s="238">
        <v>1.89</v>
      </c>
      <c r="X51" s="238">
        <v>10.89</v>
      </c>
      <c r="Z51" s="237">
        <v>44471</v>
      </c>
      <c r="AA51" s="135" t="s">
        <v>1520</v>
      </c>
      <c r="AB51" s="135" t="s">
        <v>534</v>
      </c>
      <c r="AC51" s="238">
        <v>9</v>
      </c>
      <c r="AD51" s="238">
        <v>1.89</v>
      </c>
      <c r="AE51" s="238">
        <v>10.89</v>
      </c>
    </row>
    <row r="52" spans="3:31">
      <c r="C52" s="135"/>
      <c r="D52" s="135"/>
      <c r="E52" s="135"/>
      <c r="F52" s="135"/>
      <c r="G52" s="135"/>
      <c r="H52" s="135"/>
      <c r="I52" s="135"/>
      <c r="K52" s="135">
        <v>1359</v>
      </c>
      <c r="L52" s="237">
        <v>44510</v>
      </c>
      <c r="M52" s="135" t="s">
        <v>459</v>
      </c>
      <c r="N52" s="135" t="s">
        <v>525</v>
      </c>
      <c r="O52" s="238">
        <v>22</v>
      </c>
      <c r="P52" s="238">
        <v>4.62</v>
      </c>
      <c r="Q52" s="238">
        <v>26.62</v>
      </c>
      <c r="R52" s="135">
        <f>COUNTIF(Tabla12[FACTURA],Tabla12[[#This Row],[FACTURA]])</f>
        <v>1</v>
      </c>
      <c r="S52" s="237">
        <v>44471</v>
      </c>
      <c r="T52" s="135"/>
      <c r="U52" s="135" t="s">
        <v>530</v>
      </c>
      <c r="V52" s="238">
        <v>21</v>
      </c>
      <c r="W52" s="238">
        <v>4.41</v>
      </c>
      <c r="X52" s="238">
        <v>25.41</v>
      </c>
      <c r="Z52" s="237">
        <v>44471</v>
      </c>
      <c r="AA52" s="135" t="str">
        <f t="shared" ref="AA52:AA59" si="5">AA51</f>
        <v>Ana</v>
      </c>
      <c r="AB52" s="135" t="s">
        <v>530</v>
      </c>
      <c r="AC52" s="238">
        <v>21</v>
      </c>
      <c r="AD52" s="238">
        <v>4.41</v>
      </c>
      <c r="AE52" s="238">
        <v>25.41</v>
      </c>
    </row>
    <row r="53" spans="3:31">
      <c r="C53" s="135">
        <v>1340</v>
      </c>
      <c r="D53" s="237">
        <v>44493</v>
      </c>
      <c r="E53" s="135" t="s">
        <v>406</v>
      </c>
      <c r="F53" s="135" t="s">
        <v>530</v>
      </c>
      <c r="G53" s="238">
        <v>25</v>
      </c>
      <c r="H53" s="238">
        <v>5.25</v>
      </c>
      <c r="I53" s="238">
        <v>30.25</v>
      </c>
      <c r="K53" s="135">
        <v>1360</v>
      </c>
      <c r="L53" s="237">
        <v>44510</v>
      </c>
      <c r="M53" s="135" t="s">
        <v>406</v>
      </c>
      <c r="N53" s="135" t="s">
        <v>534</v>
      </c>
      <c r="O53" s="238">
        <v>7</v>
      </c>
      <c r="P53" s="238">
        <v>1.47</v>
      </c>
      <c r="Q53" s="238">
        <v>8.4700000000000006</v>
      </c>
      <c r="R53" s="135">
        <f>COUNTIF(Tabla12[FACTURA],Tabla12[[#This Row],[FACTURA]])</f>
        <v>1</v>
      </c>
      <c r="S53" s="237">
        <v>44471</v>
      </c>
      <c r="T53" s="135"/>
      <c r="U53" s="135" t="s">
        <v>534</v>
      </c>
      <c r="V53" s="238">
        <v>10</v>
      </c>
      <c r="W53" s="238">
        <v>2.1</v>
      </c>
      <c r="X53" s="238">
        <v>12.1</v>
      </c>
      <c r="Z53" s="237">
        <v>44471</v>
      </c>
      <c r="AA53" s="135" t="str">
        <f t="shared" si="5"/>
        <v>Ana</v>
      </c>
      <c r="AB53" s="135" t="s">
        <v>534</v>
      </c>
      <c r="AC53" s="238">
        <v>10</v>
      </c>
      <c r="AD53" s="238">
        <v>2.1</v>
      </c>
      <c r="AE53" s="238">
        <v>12.1</v>
      </c>
    </row>
    <row r="54" spans="3:31">
      <c r="C54" s="135">
        <v>1341</v>
      </c>
      <c r="D54" s="237">
        <v>44493</v>
      </c>
      <c r="E54" s="135" t="s">
        <v>459</v>
      </c>
      <c r="F54" s="135" t="s">
        <v>534</v>
      </c>
      <c r="G54" s="238">
        <v>6</v>
      </c>
      <c r="H54" s="238">
        <v>1.26</v>
      </c>
      <c r="I54" s="238">
        <v>7.26</v>
      </c>
      <c r="K54" s="135">
        <v>1361</v>
      </c>
      <c r="L54" s="237">
        <v>44511</v>
      </c>
      <c r="M54" s="135" t="s">
        <v>459</v>
      </c>
      <c r="N54" s="135" t="s">
        <v>525</v>
      </c>
      <c r="O54" s="238">
        <v>21</v>
      </c>
      <c r="P54" s="238">
        <v>4.41</v>
      </c>
      <c r="Q54" s="238">
        <v>25.41</v>
      </c>
      <c r="R54" s="135">
        <f>COUNTIF(Tabla12[FACTURA],Tabla12[[#This Row],[FACTURA]])</f>
        <v>1</v>
      </c>
      <c r="S54" s="237">
        <v>44471</v>
      </c>
      <c r="T54" s="135"/>
      <c r="U54" s="135" t="s">
        <v>534</v>
      </c>
      <c r="V54" s="238">
        <v>18</v>
      </c>
      <c r="W54" s="238">
        <v>3.78</v>
      </c>
      <c r="X54" s="238">
        <v>21.78</v>
      </c>
      <c r="Z54" s="237">
        <v>44471</v>
      </c>
      <c r="AA54" s="135" t="str">
        <f t="shared" si="5"/>
        <v>Ana</v>
      </c>
      <c r="AB54" s="135" t="s">
        <v>534</v>
      </c>
      <c r="AC54" s="238">
        <v>18</v>
      </c>
      <c r="AD54" s="238">
        <v>3.78</v>
      </c>
      <c r="AE54" s="238">
        <v>21.78</v>
      </c>
    </row>
    <row r="55" spans="3:31">
      <c r="C55" s="135">
        <v>1342</v>
      </c>
      <c r="D55" s="237">
        <v>44494</v>
      </c>
      <c r="E55" s="135" t="s">
        <v>1520</v>
      </c>
      <c r="F55" s="135" t="s">
        <v>534</v>
      </c>
      <c r="G55" s="238">
        <v>9</v>
      </c>
      <c r="H55" s="238">
        <v>1.89</v>
      </c>
      <c r="I55" s="238">
        <v>10.89</v>
      </c>
      <c r="K55" s="135">
        <v>1362</v>
      </c>
      <c r="L55" s="237">
        <v>44512</v>
      </c>
      <c r="M55" s="135" t="s">
        <v>1522</v>
      </c>
      <c r="N55" s="135" t="s">
        <v>525</v>
      </c>
      <c r="O55" s="238">
        <v>15</v>
      </c>
      <c r="P55" s="238">
        <v>3.15</v>
      </c>
      <c r="Q55" s="238">
        <v>18.149999999999999</v>
      </c>
      <c r="R55" s="135">
        <f>COUNTIF(Tabla12[FACTURA],Tabla12[[#This Row],[FACTURA]])</f>
        <v>1</v>
      </c>
      <c r="S55" s="237">
        <v>44471</v>
      </c>
      <c r="T55" s="135"/>
      <c r="U55" s="135" t="s">
        <v>530</v>
      </c>
      <c r="V55" s="238">
        <v>29</v>
      </c>
      <c r="W55" s="238">
        <v>6.09</v>
      </c>
      <c r="X55" s="238">
        <v>35.090000000000003</v>
      </c>
      <c r="Z55" s="237">
        <v>44471</v>
      </c>
      <c r="AA55" s="135" t="str">
        <f t="shared" si="5"/>
        <v>Ana</v>
      </c>
      <c r="AB55" s="135" t="s">
        <v>530</v>
      </c>
      <c r="AC55" s="238">
        <v>29</v>
      </c>
      <c r="AD55" s="238">
        <v>6.09</v>
      </c>
      <c r="AE55" s="238">
        <v>35.090000000000003</v>
      </c>
    </row>
    <row r="56" spans="3:31">
      <c r="C56" s="135">
        <v>1343</v>
      </c>
      <c r="D56" s="237">
        <v>44494</v>
      </c>
      <c r="E56" s="135" t="s">
        <v>459</v>
      </c>
      <c r="F56" s="135" t="s">
        <v>534</v>
      </c>
      <c r="G56" s="238">
        <v>5</v>
      </c>
      <c r="H56" s="238">
        <v>1.05</v>
      </c>
      <c r="I56" s="238">
        <v>6.05</v>
      </c>
      <c r="K56" s="135">
        <v>1363</v>
      </c>
      <c r="L56" s="237">
        <v>44513</v>
      </c>
      <c r="M56" s="135" t="s">
        <v>406</v>
      </c>
      <c r="N56" s="135" t="s">
        <v>520</v>
      </c>
      <c r="O56" s="238">
        <v>329</v>
      </c>
      <c r="P56" s="238">
        <v>69.09</v>
      </c>
      <c r="Q56" s="238">
        <v>398.09</v>
      </c>
      <c r="R56" s="135">
        <f>COUNTIF(Tabla12[FACTURA],Tabla12[[#This Row],[FACTURA]])</f>
        <v>1</v>
      </c>
      <c r="S56" s="237">
        <v>44471</v>
      </c>
      <c r="T56" s="135"/>
      <c r="U56" s="135" t="s">
        <v>534</v>
      </c>
      <c r="V56" s="238">
        <v>19</v>
      </c>
      <c r="W56" s="238">
        <v>3.99</v>
      </c>
      <c r="X56" s="238">
        <v>22.99</v>
      </c>
      <c r="Z56" s="237">
        <v>44471</v>
      </c>
      <c r="AA56" s="135" t="str">
        <f t="shared" si="5"/>
        <v>Ana</v>
      </c>
      <c r="AB56" s="135" t="s">
        <v>534</v>
      </c>
      <c r="AC56" s="238">
        <v>19</v>
      </c>
      <c r="AD56" s="238">
        <v>3.99</v>
      </c>
      <c r="AE56" s="238">
        <v>22.99</v>
      </c>
    </row>
    <row r="57" spans="3:31">
      <c r="C57" s="135">
        <v>1344</v>
      </c>
      <c r="D57" s="237">
        <v>44495</v>
      </c>
      <c r="E57" s="135" t="s">
        <v>459</v>
      </c>
      <c r="F57" s="135" t="s">
        <v>534</v>
      </c>
      <c r="G57" s="238">
        <v>9</v>
      </c>
      <c r="H57" s="238">
        <v>1.89</v>
      </c>
      <c r="I57" s="238">
        <v>10.89</v>
      </c>
      <c r="K57" s="135">
        <v>1364</v>
      </c>
      <c r="L57" s="237">
        <v>44514</v>
      </c>
      <c r="M57" s="135" t="s">
        <v>1522</v>
      </c>
      <c r="N57" s="135" t="s">
        <v>534</v>
      </c>
      <c r="O57" s="238">
        <v>6</v>
      </c>
      <c r="P57" s="238">
        <v>1.26</v>
      </c>
      <c r="Q57" s="238">
        <v>7.26</v>
      </c>
      <c r="R57" s="135">
        <f>COUNTIF(Tabla12[FACTURA],Tabla12[[#This Row],[FACTURA]])</f>
        <v>1</v>
      </c>
      <c r="S57" s="237">
        <v>44471</v>
      </c>
      <c r="T57" s="135"/>
      <c r="U57" s="135" t="s">
        <v>520</v>
      </c>
      <c r="V57" s="238">
        <v>644</v>
      </c>
      <c r="W57" s="238">
        <v>135.24</v>
      </c>
      <c r="X57" s="238">
        <v>779.24</v>
      </c>
      <c r="Z57" s="237">
        <v>44471</v>
      </c>
      <c r="AA57" s="135" t="str">
        <f t="shared" si="5"/>
        <v>Ana</v>
      </c>
      <c r="AB57" s="135" t="s">
        <v>520</v>
      </c>
      <c r="AC57" s="238">
        <v>644</v>
      </c>
      <c r="AD57" s="238">
        <v>135.24</v>
      </c>
      <c r="AE57" s="238">
        <v>779.24</v>
      </c>
    </row>
    <row r="58" spans="3:31">
      <c r="C58" s="135">
        <v>1345</v>
      </c>
      <c r="D58" s="237">
        <v>44495</v>
      </c>
      <c r="E58" s="135" t="s">
        <v>406</v>
      </c>
      <c r="F58" s="135" t="s">
        <v>530</v>
      </c>
      <c r="G58" s="238">
        <v>49</v>
      </c>
      <c r="H58" s="238">
        <v>10.29</v>
      </c>
      <c r="I58" s="238">
        <v>59.29</v>
      </c>
      <c r="K58" s="135">
        <v>1365</v>
      </c>
      <c r="L58" s="237">
        <v>44516</v>
      </c>
      <c r="M58" s="135" t="s">
        <v>1522</v>
      </c>
      <c r="N58" s="135" t="s">
        <v>518</v>
      </c>
      <c r="O58" s="238">
        <v>244</v>
      </c>
      <c r="P58" s="238">
        <v>51.24</v>
      </c>
      <c r="Q58" s="238">
        <v>295.24</v>
      </c>
      <c r="R58" s="135">
        <f>COUNTIF(Tabla12[FACTURA],Tabla12[[#This Row],[FACTURA]])</f>
        <v>1</v>
      </c>
      <c r="S58" s="237">
        <v>44471</v>
      </c>
      <c r="T58" s="135"/>
      <c r="U58" s="135" t="s">
        <v>534</v>
      </c>
      <c r="V58" s="238">
        <v>20</v>
      </c>
      <c r="W58" s="238">
        <v>4.2</v>
      </c>
      <c r="X58" s="238">
        <v>24.2</v>
      </c>
      <c r="Z58" s="237">
        <v>44471</v>
      </c>
      <c r="AA58" s="135" t="str">
        <f t="shared" si="5"/>
        <v>Ana</v>
      </c>
      <c r="AB58" s="135" t="s">
        <v>534</v>
      </c>
      <c r="AC58" s="238">
        <v>20</v>
      </c>
      <c r="AD58" s="238">
        <v>4.2</v>
      </c>
      <c r="AE58" s="238">
        <v>24.2</v>
      </c>
    </row>
    <row r="59" spans="3:31">
      <c r="C59" s="135">
        <v>1346</v>
      </c>
      <c r="D59" s="237">
        <v>44496</v>
      </c>
      <c r="E59" s="135" t="s">
        <v>1521</v>
      </c>
      <c r="F59" s="135" t="s">
        <v>520</v>
      </c>
      <c r="G59" s="238">
        <v>264</v>
      </c>
      <c r="H59" s="238">
        <v>55.44</v>
      </c>
      <c r="I59" s="238">
        <v>319.44</v>
      </c>
      <c r="K59" s="135">
        <v>1366</v>
      </c>
      <c r="L59" s="237">
        <v>44517</v>
      </c>
      <c r="M59" s="135" t="s">
        <v>459</v>
      </c>
      <c r="N59" s="135" t="s">
        <v>534</v>
      </c>
      <c r="O59" s="238">
        <v>8</v>
      </c>
      <c r="P59" s="238">
        <v>1.68</v>
      </c>
      <c r="Q59" s="238">
        <v>9.68</v>
      </c>
      <c r="R59" s="135">
        <f>COUNTIF(Tabla12[FACTURA],Tabla12[[#This Row],[FACTURA]])</f>
        <v>1</v>
      </c>
      <c r="S59" s="237">
        <v>44471</v>
      </c>
      <c r="T59" s="135"/>
      <c r="U59" s="135" t="s">
        <v>520</v>
      </c>
      <c r="V59" s="238">
        <v>546</v>
      </c>
      <c r="W59" s="238">
        <v>114.66</v>
      </c>
      <c r="X59" s="238">
        <v>660.66</v>
      </c>
      <c r="Z59" s="237">
        <v>44471</v>
      </c>
      <c r="AA59" s="135" t="str">
        <f t="shared" si="5"/>
        <v>Ana</v>
      </c>
      <c r="AB59" s="135" t="s">
        <v>520</v>
      </c>
      <c r="AC59" s="238">
        <v>546</v>
      </c>
      <c r="AD59" s="238">
        <v>114.66</v>
      </c>
      <c r="AE59" s="238">
        <v>660.66</v>
      </c>
    </row>
    <row r="60" spans="3:31">
      <c r="C60" s="135">
        <v>1347</v>
      </c>
      <c r="D60" s="237">
        <v>44497</v>
      </c>
      <c r="E60" s="135" t="s">
        <v>1522</v>
      </c>
      <c r="F60" s="135" t="s">
        <v>520</v>
      </c>
      <c r="G60" s="238">
        <v>860</v>
      </c>
      <c r="H60" s="238">
        <v>180.6</v>
      </c>
      <c r="I60" s="238">
        <v>1040.5999999999999</v>
      </c>
      <c r="K60" s="135">
        <v>1367</v>
      </c>
      <c r="L60" s="237">
        <v>44518</v>
      </c>
      <c r="M60" s="135" t="s">
        <v>1520</v>
      </c>
      <c r="N60" s="135" t="s">
        <v>525</v>
      </c>
      <c r="O60" s="238">
        <v>12</v>
      </c>
      <c r="P60" s="238">
        <v>2.52</v>
      </c>
      <c r="Q60" s="238">
        <v>14.52</v>
      </c>
      <c r="R60" s="135">
        <f>COUNTIF(Tabla12[FACTURA],Tabla12[[#This Row],[FACTURA]])</f>
        <v>1</v>
      </c>
      <c r="S60" s="237">
        <v>44471</v>
      </c>
      <c r="T60" s="135" t="s">
        <v>1521</v>
      </c>
      <c r="U60" s="135" t="s">
        <v>534</v>
      </c>
      <c r="V60" s="238">
        <v>9</v>
      </c>
      <c r="W60" s="238">
        <v>1.89</v>
      </c>
      <c r="X60" s="238">
        <v>10.89</v>
      </c>
      <c r="Z60" s="237">
        <v>44471</v>
      </c>
      <c r="AA60" s="135" t="s">
        <v>1521</v>
      </c>
      <c r="AB60" s="135" t="s">
        <v>534</v>
      </c>
      <c r="AC60" s="238">
        <v>9</v>
      </c>
      <c r="AD60" s="238">
        <v>1.89</v>
      </c>
      <c r="AE60" s="238">
        <v>10.89</v>
      </c>
    </row>
    <row r="61" spans="3:31">
      <c r="C61" s="135">
        <v>1348</v>
      </c>
      <c r="D61" s="237">
        <v>44499</v>
      </c>
      <c r="E61" s="135" t="s">
        <v>406</v>
      </c>
      <c r="F61" s="135" t="s">
        <v>534</v>
      </c>
      <c r="G61" s="238">
        <v>6</v>
      </c>
      <c r="H61" s="238">
        <v>1.26</v>
      </c>
      <c r="I61" s="238">
        <v>7.26</v>
      </c>
      <c r="K61" s="135">
        <v>1368</v>
      </c>
      <c r="L61" s="237">
        <v>44521</v>
      </c>
      <c r="M61" s="135" t="s">
        <v>406</v>
      </c>
      <c r="N61" s="135" t="s">
        <v>530</v>
      </c>
      <c r="O61" s="238">
        <v>22</v>
      </c>
      <c r="P61" s="238">
        <v>4.62</v>
      </c>
      <c r="Q61" s="238">
        <v>26.62</v>
      </c>
      <c r="R61" s="135">
        <f>COUNTIF(Tabla12[FACTURA],Tabla12[[#This Row],[FACTURA]])</f>
        <v>1</v>
      </c>
      <c r="S61" s="237">
        <v>44471</v>
      </c>
      <c r="T61" s="135"/>
      <c r="U61" s="135" t="s">
        <v>530</v>
      </c>
      <c r="V61" s="238">
        <v>40</v>
      </c>
      <c r="W61" s="238">
        <v>8.4</v>
      </c>
      <c r="X61" s="238">
        <v>48.4</v>
      </c>
      <c r="Z61" s="237">
        <v>44471</v>
      </c>
      <c r="AA61" s="135" t="str">
        <f t="shared" ref="AA61:AA67" si="6">AA60</f>
        <v>Mario</v>
      </c>
      <c r="AB61" s="135" t="s">
        <v>530</v>
      </c>
      <c r="AC61" s="238">
        <v>40</v>
      </c>
      <c r="AD61" s="238">
        <v>8.4</v>
      </c>
      <c r="AE61" s="238">
        <v>48.4</v>
      </c>
    </row>
    <row r="62" spans="3:31">
      <c r="C62" s="135">
        <v>1349</v>
      </c>
      <c r="D62" s="237">
        <v>44501</v>
      </c>
      <c r="E62" s="135" t="s">
        <v>1522</v>
      </c>
      <c r="F62" s="135" t="s">
        <v>518</v>
      </c>
      <c r="G62" s="238">
        <v>63</v>
      </c>
      <c r="H62" s="238">
        <v>13.23</v>
      </c>
      <c r="I62" s="238">
        <v>76.23</v>
      </c>
      <c r="K62" s="135">
        <v>1369</v>
      </c>
      <c r="L62" s="237">
        <v>44521</v>
      </c>
      <c r="M62" s="135" t="s">
        <v>459</v>
      </c>
      <c r="N62" s="135" t="s">
        <v>534</v>
      </c>
      <c r="O62" s="238">
        <v>8</v>
      </c>
      <c r="P62" s="238">
        <v>1.68</v>
      </c>
      <c r="Q62" s="238">
        <v>9.68</v>
      </c>
      <c r="R62" s="135">
        <f>COUNTIF(Tabla12[FACTURA],Tabla12[[#This Row],[FACTURA]])</f>
        <v>1</v>
      </c>
      <c r="S62" s="237">
        <v>44471</v>
      </c>
      <c r="T62" s="135"/>
      <c r="U62" s="135" t="s">
        <v>518</v>
      </c>
      <c r="V62" s="238">
        <v>22</v>
      </c>
      <c r="W62" s="238">
        <v>4.62</v>
      </c>
      <c r="X62" s="238">
        <v>26.62</v>
      </c>
      <c r="Z62" s="237">
        <v>44471</v>
      </c>
      <c r="AA62" s="135" t="str">
        <f t="shared" si="6"/>
        <v>Mario</v>
      </c>
      <c r="AB62" s="135" t="s">
        <v>518</v>
      </c>
      <c r="AC62" s="238">
        <v>22</v>
      </c>
      <c r="AD62" s="238">
        <v>4.62</v>
      </c>
      <c r="AE62" s="238">
        <v>26.62</v>
      </c>
    </row>
    <row r="63" spans="3:31">
      <c r="C63" s="135">
        <v>1350</v>
      </c>
      <c r="D63" s="237">
        <v>44501</v>
      </c>
      <c r="E63" s="135" t="s">
        <v>1521</v>
      </c>
      <c r="F63" s="135" t="s">
        <v>534</v>
      </c>
      <c r="G63" s="238">
        <v>6</v>
      </c>
      <c r="H63" s="238">
        <v>1.26</v>
      </c>
      <c r="I63" s="238">
        <v>7.26</v>
      </c>
      <c r="K63" s="135">
        <v>1370</v>
      </c>
      <c r="L63" s="237">
        <v>44524</v>
      </c>
      <c r="M63" s="135" t="s">
        <v>1520</v>
      </c>
      <c r="N63" s="135" t="s">
        <v>518</v>
      </c>
      <c r="O63" s="238">
        <v>20</v>
      </c>
      <c r="P63" s="238">
        <v>4.2</v>
      </c>
      <c r="Q63" s="238">
        <v>24.2</v>
      </c>
      <c r="R63" s="135">
        <f>COUNTIF(Tabla12[FACTURA],Tabla12[[#This Row],[FACTURA]])</f>
        <v>1</v>
      </c>
      <c r="S63" s="237">
        <v>44471</v>
      </c>
      <c r="T63" s="135"/>
      <c r="U63" s="135" t="s">
        <v>518</v>
      </c>
      <c r="V63" s="238">
        <v>115</v>
      </c>
      <c r="W63" s="238">
        <v>24.15</v>
      </c>
      <c r="X63" s="238">
        <v>139.15</v>
      </c>
      <c r="Z63" s="237">
        <v>44471</v>
      </c>
      <c r="AA63" s="135" t="str">
        <f t="shared" si="6"/>
        <v>Mario</v>
      </c>
      <c r="AB63" s="135" t="s">
        <v>518</v>
      </c>
      <c r="AC63" s="238">
        <v>115</v>
      </c>
      <c r="AD63" s="238">
        <v>24.15</v>
      </c>
      <c r="AE63" s="238">
        <v>139.15</v>
      </c>
    </row>
    <row r="64" spans="3:31">
      <c r="C64" s="135"/>
      <c r="D64" s="135"/>
      <c r="E64" s="135"/>
      <c r="F64" s="135"/>
      <c r="G64" s="135"/>
      <c r="H64" s="135"/>
      <c r="I64" s="135"/>
      <c r="K64" s="135">
        <v>1371</v>
      </c>
      <c r="L64" s="237">
        <v>44524</v>
      </c>
      <c r="M64" s="135" t="s">
        <v>1521</v>
      </c>
      <c r="N64" s="135" t="s">
        <v>530</v>
      </c>
      <c r="O64" s="238">
        <v>19</v>
      </c>
      <c r="P64" s="238">
        <v>3.99</v>
      </c>
      <c r="Q64" s="238">
        <v>22.99</v>
      </c>
      <c r="R64" s="135">
        <f>COUNTIF(Tabla12[FACTURA],Tabla12[[#This Row],[FACTURA]])</f>
        <v>1</v>
      </c>
      <c r="S64" s="237">
        <v>44471</v>
      </c>
      <c r="T64" s="135"/>
      <c r="U64" s="135" t="s">
        <v>525</v>
      </c>
      <c r="V64" s="238">
        <v>30</v>
      </c>
      <c r="W64" s="238">
        <v>6.3</v>
      </c>
      <c r="X64" s="238">
        <v>36.299999999999997</v>
      </c>
      <c r="Z64" s="237">
        <v>44471</v>
      </c>
      <c r="AA64" s="135" t="str">
        <f t="shared" si="6"/>
        <v>Mario</v>
      </c>
      <c r="AB64" s="135" t="s">
        <v>525</v>
      </c>
      <c r="AC64" s="238">
        <v>30</v>
      </c>
      <c r="AD64" s="238">
        <v>6.3</v>
      </c>
      <c r="AE64" s="238">
        <v>36.299999999999997</v>
      </c>
    </row>
    <row r="65" spans="3:31">
      <c r="C65" s="135">
        <v>1351</v>
      </c>
      <c r="D65" s="237">
        <v>44504</v>
      </c>
      <c r="E65" s="135" t="s">
        <v>1522</v>
      </c>
      <c r="F65" s="135" t="s">
        <v>530</v>
      </c>
      <c r="G65" s="238">
        <v>17</v>
      </c>
      <c r="H65" s="238">
        <v>3.57</v>
      </c>
      <c r="I65" s="238">
        <v>20.57</v>
      </c>
      <c r="K65" s="135">
        <v>1372</v>
      </c>
      <c r="L65" s="237">
        <v>44526</v>
      </c>
      <c r="M65" s="135" t="s">
        <v>1522</v>
      </c>
      <c r="N65" s="135" t="s">
        <v>530</v>
      </c>
      <c r="O65" s="238">
        <v>44</v>
      </c>
      <c r="P65" s="238">
        <v>9.24</v>
      </c>
      <c r="Q65" s="238">
        <v>53.24</v>
      </c>
      <c r="R65" s="135">
        <f>COUNTIF(Tabla12[FACTURA],Tabla12[[#This Row],[FACTURA]])</f>
        <v>1</v>
      </c>
      <c r="S65" s="237">
        <v>44471</v>
      </c>
      <c r="T65" s="135"/>
      <c r="U65" s="135" t="s">
        <v>525</v>
      </c>
      <c r="V65" s="238">
        <v>21</v>
      </c>
      <c r="W65" s="238">
        <v>4.41</v>
      </c>
      <c r="X65" s="238">
        <v>25.41</v>
      </c>
      <c r="Z65" s="237">
        <v>44471</v>
      </c>
      <c r="AA65" s="135" t="str">
        <f t="shared" si="6"/>
        <v>Mario</v>
      </c>
      <c r="AB65" s="135" t="s">
        <v>525</v>
      </c>
      <c r="AC65" s="238">
        <v>21</v>
      </c>
      <c r="AD65" s="238">
        <v>4.41</v>
      </c>
      <c r="AE65" s="238">
        <v>25.41</v>
      </c>
    </row>
    <row r="66" spans="3:31">
      <c r="C66" s="135">
        <v>1352</v>
      </c>
      <c r="D66" s="237">
        <v>44507</v>
      </c>
      <c r="E66" s="135" t="s">
        <v>1520</v>
      </c>
      <c r="F66" s="135" t="s">
        <v>518</v>
      </c>
      <c r="G66" s="238">
        <v>15</v>
      </c>
      <c r="H66" s="238">
        <v>3.15</v>
      </c>
      <c r="I66" s="238">
        <v>18.149999999999999</v>
      </c>
      <c r="K66" s="135">
        <v>1373</v>
      </c>
      <c r="L66" s="237">
        <v>44526</v>
      </c>
      <c r="M66" s="135" t="s">
        <v>459</v>
      </c>
      <c r="N66" s="135" t="s">
        <v>518</v>
      </c>
      <c r="O66" s="238">
        <v>23</v>
      </c>
      <c r="P66" s="238">
        <v>4.83</v>
      </c>
      <c r="Q66" s="238">
        <v>27.83</v>
      </c>
      <c r="R66" s="135">
        <f>COUNTIF(Tabla12[FACTURA],Tabla12[[#This Row],[FACTURA]])</f>
        <v>1</v>
      </c>
      <c r="S66" s="237">
        <v>44471</v>
      </c>
      <c r="T66" s="135"/>
      <c r="U66" s="135" t="s">
        <v>534</v>
      </c>
      <c r="V66" s="238">
        <v>14</v>
      </c>
      <c r="W66" s="238">
        <v>2.94</v>
      </c>
      <c r="X66" s="238">
        <v>16.940000000000001</v>
      </c>
      <c r="Z66" s="237">
        <v>44471</v>
      </c>
      <c r="AA66" s="135" t="str">
        <f t="shared" si="6"/>
        <v>Mario</v>
      </c>
      <c r="AB66" s="135" t="s">
        <v>534</v>
      </c>
      <c r="AC66" s="238">
        <v>14</v>
      </c>
      <c r="AD66" s="238">
        <v>2.94</v>
      </c>
      <c r="AE66" s="238">
        <v>16.940000000000001</v>
      </c>
    </row>
    <row r="67" spans="3:31">
      <c r="C67" s="135">
        <v>1353</v>
      </c>
      <c r="D67" s="237">
        <v>44507</v>
      </c>
      <c r="E67" s="135" t="s">
        <v>1520</v>
      </c>
      <c r="F67" s="135" t="s">
        <v>525</v>
      </c>
      <c r="G67" s="238">
        <v>6</v>
      </c>
      <c r="H67" s="238">
        <v>1.26</v>
      </c>
      <c r="I67" s="238">
        <v>7.26</v>
      </c>
      <c r="K67" s="135">
        <v>1374</v>
      </c>
      <c r="L67" s="237">
        <v>44527</v>
      </c>
      <c r="M67" s="135" t="s">
        <v>1521</v>
      </c>
      <c r="N67" s="135" t="s">
        <v>520</v>
      </c>
      <c r="O67" s="238">
        <v>200</v>
      </c>
      <c r="P67" s="238">
        <v>42</v>
      </c>
      <c r="Q67" s="238">
        <v>242</v>
      </c>
      <c r="R67" s="135">
        <f>COUNTIF(Tabla12[FACTURA],Tabla12[[#This Row],[FACTURA]])</f>
        <v>1</v>
      </c>
      <c r="S67" s="237">
        <v>44471</v>
      </c>
      <c r="T67" s="135"/>
      <c r="U67" s="135" t="s">
        <v>534</v>
      </c>
      <c r="V67" s="135" t="s">
        <v>1524</v>
      </c>
      <c r="W67" s="135" t="s">
        <v>1525</v>
      </c>
      <c r="X67" s="135" t="s">
        <v>1526</v>
      </c>
      <c r="Z67" s="237">
        <v>44471</v>
      </c>
      <c r="AA67" s="135" t="str">
        <f t="shared" si="6"/>
        <v>Mario</v>
      </c>
      <c r="AB67" s="135" t="s">
        <v>534</v>
      </c>
      <c r="AC67" s="135" t="s">
        <v>1524</v>
      </c>
      <c r="AD67" s="135" t="s">
        <v>1525</v>
      </c>
      <c r="AE67" s="135" t="s">
        <v>1526</v>
      </c>
    </row>
    <row r="68" spans="3:31">
      <c r="C68" s="135"/>
      <c r="D68" s="135"/>
      <c r="E68" s="135"/>
      <c r="F68" s="135"/>
      <c r="G68" s="135"/>
      <c r="H68" s="135"/>
      <c r="I68" s="135"/>
      <c r="K68" s="135">
        <v>1375</v>
      </c>
      <c r="L68" s="237">
        <v>44527</v>
      </c>
      <c r="M68" s="135" t="s">
        <v>1522</v>
      </c>
      <c r="N68" s="135" t="s">
        <v>530</v>
      </c>
      <c r="O68" s="238">
        <v>20</v>
      </c>
      <c r="P68" s="238">
        <v>4.2</v>
      </c>
      <c r="Q68" s="238">
        <v>24.2</v>
      </c>
      <c r="R68" s="135">
        <f>COUNTIF(Tabla12[FACTURA],Tabla12[[#This Row],[FACTURA]])</f>
        <v>1</v>
      </c>
      <c r="S68" s="237">
        <v>44471</v>
      </c>
      <c r="T68" s="135" t="s">
        <v>406</v>
      </c>
      <c r="U68" s="135" t="s">
        <v>525</v>
      </c>
      <c r="V68" s="135" t="s">
        <v>1524</v>
      </c>
      <c r="W68" s="135" t="s">
        <v>1525</v>
      </c>
      <c r="X68" s="135" t="s">
        <v>1526</v>
      </c>
      <c r="Z68" s="237">
        <v>44471</v>
      </c>
      <c r="AA68" s="135" t="s">
        <v>406</v>
      </c>
      <c r="AB68" s="135" t="s">
        <v>525</v>
      </c>
      <c r="AC68" s="135" t="s">
        <v>1524</v>
      </c>
      <c r="AD68" s="135" t="s">
        <v>1525</v>
      </c>
      <c r="AE68" s="135" t="s">
        <v>1526</v>
      </c>
    </row>
    <row r="69" spans="3:31">
      <c r="C69" s="135">
        <v>1354</v>
      </c>
      <c r="D69" s="237">
        <v>44508</v>
      </c>
      <c r="E69" s="135" t="s">
        <v>459</v>
      </c>
      <c r="F69" s="135" t="s">
        <v>518</v>
      </c>
      <c r="G69" s="238">
        <v>198</v>
      </c>
      <c r="H69" s="238">
        <v>41.58</v>
      </c>
      <c r="I69" s="238">
        <v>239.58</v>
      </c>
      <c r="K69" s="135">
        <v>1376</v>
      </c>
      <c r="L69" s="237">
        <v>44530</v>
      </c>
      <c r="M69" s="135" t="s">
        <v>406</v>
      </c>
      <c r="N69" s="135" t="s">
        <v>530</v>
      </c>
      <c r="O69" s="238">
        <v>12</v>
      </c>
      <c r="P69" s="238">
        <v>2.52</v>
      </c>
      <c r="Q69" s="238">
        <v>14.52</v>
      </c>
      <c r="R69" s="135">
        <f>COUNTIF(Tabla12[FACTURA],Tabla12[[#This Row],[FACTURA]])</f>
        <v>1</v>
      </c>
      <c r="S69" s="237">
        <v>44471</v>
      </c>
      <c r="T69" s="135"/>
      <c r="U69" s="135" t="s">
        <v>530</v>
      </c>
      <c r="V69" s="238">
        <v>35</v>
      </c>
      <c r="W69" s="238">
        <v>7.35</v>
      </c>
      <c r="X69" s="238">
        <v>42.35</v>
      </c>
      <c r="Z69" s="237">
        <v>44471</v>
      </c>
      <c r="AA69" s="135" t="str">
        <f t="shared" ref="AA69:AA78" si="7">AA68</f>
        <v>Luis</v>
      </c>
      <c r="AB69" s="135" t="s">
        <v>530</v>
      </c>
      <c r="AC69" s="238">
        <v>35</v>
      </c>
      <c r="AD69" s="238">
        <v>7.35</v>
      </c>
      <c r="AE69" s="238">
        <v>42.35</v>
      </c>
    </row>
    <row r="70" spans="3:31">
      <c r="C70" s="135">
        <v>1355</v>
      </c>
      <c r="D70" s="237">
        <v>44508</v>
      </c>
      <c r="E70" s="135" t="s">
        <v>1521</v>
      </c>
      <c r="F70" s="135" t="s">
        <v>520</v>
      </c>
      <c r="G70" s="238">
        <v>621</v>
      </c>
      <c r="H70" s="238">
        <v>130.41</v>
      </c>
      <c r="I70" s="238">
        <v>751.41</v>
      </c>
      <c r="K70" s="135">
        <v>1377</v>
      </c>
      <c r="L70" s="237">
        <v>44532</v>
      </c>
      <c r="M70" s="135" t="s">
        <v>1520</v>
      </c>
      <c r="N70" s="135" t="s">
        <v>518</v>
      </c>
      <c r="O70" s="238">
        <v>140</v>
      </c>
      <c r="P70" s="238">
        <v>29.4</v>
      </c>
      <c r="Q70" s="238">
        <v>169.4</v>
      </c>
      <c r="R70" s="135">
        <f>COUNTIF(Tabla12[FACTURA],Tabla12[[#This Row],[FACTURA]])</f>
        <v>1</v>
      </c>
      <c r="S70" s="237">
        <v>44471</v>
      </c>
      <c r="T70" s="135"/>
      <c r="U70" s="135" t="s">
        <v>534</v>
      </c>
      <c r="V70" s="238">
        <v>17</v>
      </c>
      <c r="W70" s="238">
        <v>3.57</v>
      </c>
      <c r="X70" s="238">
        <v>20.57</v>
      </c>
      <c r="Z70" s="237">
        <v>44471</v>
      </c>
      <c r="AA70" s="135" t="str">
        <f t="shared" si="7"/>
        <v>Luis</v>
      </c>
      <c r="AB70" s="135" t="s">
        <v>534</v>
      </c>
      <c r="AC70" s="238">
        <v>17</v>
      </c>
      <c r="AD70" s="238">
        <v>3.57</v>
      </c>
      <c r="AE70" s="238">
        <v>20.57</v>
      </c>
    </row>
    <row r="71" spans="3:31">
      <c r="C71" s="135">
        <v>1356</v>
      </c>
      <c r="D71" s="237">
        <v>44509</v>
      </c>
      <c r="E71" s="135" t="s">
        <v>1522</v>
      </c>
      <c r="F71" s="135" t="s">
        <v>525</v>
      </c>
      <c r="G71" s="238">
        <v>16</v>
      </c>
      <c r="H71" s="238">
        <v>3.36</v>
      </c>
      <c r="I71" s="238">
        <v>19.36</v>
      </c>
      <c r="K71" s="135">
        <v>1378</v>
      </c>
      <c r="L71" s="237">
        <v>44533</v>
      </c>
      <c r="M71" s="135" t="s">
        <v>406</v>
      </c>
      <c r="N71" s="135" t="s">
        <v>534</v>
      </c>
      <c r="O71" s="238">
        <v>5</v>
      </c>
      <c r="P71" s="238">
        <v>1.05</v>
      </c>
      <c r="Q71" s="238">
        <v>6.05</v>
      </c>
      <c r="R71" s="135">
        <f>COUNTIF(Tabla12[FACTURA],Tabla12[[#This Row],[FACTURA]])</f>
        <v>1</v>
      </c>
      <c r="S71" s="237">
        <v>44471</v>
      </c>
      <c r="T71" s="135"/>
      <c r="U71" s="135" t="s">
        <v>518</v>
      </c>
      <c r="V71" s="238">
        <v>162</v>
      </c>
      <c r="W71" s="238">
        <v>34.020000000000003</v>
      </c>
      <c r="X71" s="238">
        <v>196.02</v>
      </c>
      <c r="Z71" s="237">
        <v>44471</v>
      </c>
      <c r="AA71" s="135" t="str">
        <f t="shared" si="7"/>
        <v>Luis</v>
      </c>
      <c r="AB71" s="135" t="s">
        <v>518</v>
      </c>
      <c r="AC71" s="238">
        <v>162</v>
      </c>
      <c r="AD71" s="238">
        <v>34.020000000000003</v>
      </c>
      <c r="AE71" s="238">
        <v>196.02</v>
      </c>
    </row>
    <row r="72" spans="3:31">
      <c r="C72" s="135">
        <v>1357</v>
      </c>
      <c r="D72" s="237">
        <v>44509</v>
      </c>
      <c r="E72" s="135" t="s">
        <v>1521</v>
      </c>
      <c r="F72" s="135" t="s">
        <v>518</v>
      </c>
      <c r="G72" s="238">
        <v>31</v>
      </c>
      <c r="H72" s="238">
        <v>6.51</v>
      </c>
      <c r="I72" s="238">
        <v>37.51</v>
      </c>
      <c r="K72" s="135">
        <v>1379</v>
      </c>
      <c r="L72" s="237">
        <v>44535</v>
      </c>
      <c r="M72" s="135" t="s">
        <v>1521</v>
      </c>
      <c r="N72" s="135" t="s">
        <v>520</v>
      </c>
      <c r="O72" s="238">
        <v>277</v>
      </c>
      <c r="P72" s="238">
        <v>58.17</v>
      </c>
      <c r="Q72" s="238">
        <v>335.17</v>
      </c>
      <c r="R72" s="135">
        <f>COUNTIF(Tabla12[FACTURA],Tabla12[[#This Row],[FACTURA]])</f>
        <v>1</v>
      </c>
      <c r="S72" s="237">
        <v>44471</v>
      </c>
      <c r="T72" s="135"/>
      <c r="U72" s="135" t="s">
        <v>518</v>
      </c>
      <c r="V72" s="238">
        <v>120</v>
      </c>
      <c r="W72" s="238">
        <v>25.2</v>
      </c>
      <c r="X72" s="238">
        <v>145.19999999999999</v>
      </c>
      <c r="Z72" s="237">
        <v>44471</v>
      </c>
      <c r="AA72" s="135" t="str">
        <f t="shared" si="7"/>
        <v>Luis</v>
      </c>
      <c r="AB72" s="135" t="s">
        <v>518</v>
      </c>
      <c r="AC72" s="238">
        <v>120</v>
      </c>
      <c r="AD72" s="238">
        <v>25.2</v>
      </c>
      <c r="AE72" s="238">
        <v>145.19999999999999</v>
      </c>
    </row>
    <row r="73" spans="3:31">
      <c r="C73" s="135"/>
      <c r="D73" s="135"/>
      <c r="E73" s="135"/>
      <c r="F73" s="135"/>
      <c r="G73" s="135"/>
      <c r="H73" s="135"/>
      <c r="I73" s="135"/>
      <c r="K73" s="135">
        <v>1380</v>
      </c>
      <c r="L73" s="237">
        <v>44535</v>
      </c>
      <c r="M73" s="135" t="s">
        <v>1521</v>
      </c>
      <c r="N73" s="135" t="s">
        <v>525</v>
      </c>
      <c r="O73" s="238">
        <v>6</v>
      </c>
      <c r="P73" s="238">
        <v>1.26</v>
      </c>
      <c r="Q73" s="238">
        <v>7.26</v>
      </c>
      <c r="R73" s="135">
        <f>COUNTIF(Tabla12[FACTURA],Tabla12[[#This Row],[FACTURA]])</f>
        <v>1</v>
      </c>
      <c r="S73" s="237">
        <v>44471</v>
      </c>
      <c r="T73" s="135"/>
      <c r="U73" s="135" t="s">
        <v>525</v>
      </c>
      <c r="V73" s="238">
        <v>13</v>
      </c>
      <c r="W73" s="238">
        <v>2.73</v>
      </c>
      <c r="X73" s="238">
        <v>15.73</v>
      </c>
      <c r="Z73" s="237">
        <v>44471</v>
      </c>
      <c r="AA73" s="135" t="str">
        <f t="shared" si="7"/>
        <v>Luis</v>
      </c>
      <c r="AB73" s="135" t="s">
        <v>525</v>
      </c>
      <c r="AC73" s="238">
        <v>13</v>
      </c>
      <c r="AD73" s="238">
        <v>2.73</v>
      </c>
      <c r="AE73" s="238">
        <v>15.73</v>
      </c>
    </row>
    <row r="74" spans="3:31">
      <c r="C74" s="135">
        <v>1358</v>
      </c>
      <c r="D74" s="237">
        <v>44509</v>
      </c>
      <c r="E74" s="135" t="s">
        <v>1522</v>
      </c>
      <c r="F74" s="135" t="s">
        <v>520</v>
      </c>
      <c r="G74" s="238">
        <v>663</v>
      </c>
      <c r="H74" s="238">
        <v>139.22999999999999</v>
      </c>
      <c r="I74" s="238">
        <v>802.23</v>
      </c>
      <c r="K74" s="135">
        <v>1381</v>
      </c>
      <c r="L74" s="237">
        <v>44537</v>
      </c>
      <c r="M74" s="135" t="s">
        <v>459</v>
      </c>
      <c r="N74" s="135" t="s">
        <v>520</v>
      </c>
      <c r="O74" s="238">
        <v>834</v>
      </c>
      <c r="P74" s="238">
        <v>175.14</v>
      </c>
      <c r="Q74" s="238">
        <v>1009.14</v>
      </c>
      <c r="R74" s="135">
        <f>COUNTIF(Tabla12[FACTURA],Tabla12[[#This Row],[FACTURA]])</f>
        <v>1</v>
      </c>
      <c r="S74" s="237">
        <v>44471</v>
      </c>
      <c r="T74" s="135"/>
      <c r="U74" s="135" t="s">
        <v>530</v>
      </c>
      <c r="V74" s="238">
        <v>24</v>
      </c>
      <c r="W74" s="238">
        <v>5.04</v>
      </c>
      <c r="X74" s="238">
        <v>29.04</v>
      </c>
      <c r="Z74" s="237">
        <v>44471</v>
      </c>
      <c r="AA74" s="135" t="str">
        <f t="shared" si="7"/>
        <v>Luis</v>
      </c>
      <c r="AB74" s="135" t="s">
        <v>530</v>
      </c>
      <c r="AC74" s="238">
        <v>24</v>
      </c>
      <c r="AD74" s="238">
        <v>5.04</v>
      </c>
      <c r="AE74" s="238">
        <v>29.04</v>
      </c>
    </row>
    <row r="75" spans="3:31">
      <c r="C75" s="135">
        <v>1359</v>
      </c>
      <c r="D75" s="237">
        <v>44510</v>
      </c>
      <c r="E75" s="135" t="s">
        <v>459</v>
      </c>
      <c r="F75" s="135" t="s">
        <v>525</v>
      </c>
      <c r="G75" s="238">
        <v>22</v>
      </c>
      <c r="H75" s="238">
        <v>4.62</v>
      </c>
      <c r="I75" s="238">
        <v>26.62</v>
      </c>
      <c r="K75" s="135">
        <v>1382</v>
      </c>
      <c r="L75" s="237">
        <v>44538</v>
      </c>
      <c r="M75" s="135" t="s">
        <v>1521</v>
      </c>
      <c r="N75" s="135" t="s">
        <v>530</v>
      </c>
      <c r="O75" s="238">
        <v>15</v>
      </c>
      <c r="P75" s="238">
        <v>3.15</v>
      </c>
      <c r="Q75" s="238">
        <v>18.149999999999999</v>
      </c>
      <c r="R75" s="135">
        <f>COUNTIF(Tabla12[FACTURA],Tabla12[[#This Row],[FACTURA]])</f>
        <v>1</v>
      </c>
      <c r="S75" s="237">
        <v>44471</v>
      </c>
      <c r="T75" s="135"/>
      <c r="U75" s="135" t="s">
        <v>525</v>
      </c>
      <c r="V75" s="135" t="s">
        <v>1524</v>
      </c>
      <c r="W75" s="135" t="s">
        <v>1525</v>
      </c>
      <c r="X75" s="135" t="s">
        <v>1526</v>
      </c>
      <c r="Z75" s="237">
        <v>44471</v>
      </c>
      <c r="AA75" s="135" t="str">
        <f t="shared" si="7"/>
        <v>Luis</v>
      </c>
      <c r="AB75" s="135" t="s">
        <v>525</v>
      </c>
      <c r="AC75" s="135" t="s">
        <v>1524</v>
      </c>
      <c r="AD75" s="135" t="s">
        <v>1525</v>
      </c>
      <c r="AE75" s="135" t="s">
        <v>1526</v>
      </c>
    </row>
    <row r="76" spans="3:31">
      <c r="C76" s="135"/>
      <c r="D76" s="135"/>
      <c r="E76" s="135"/>
      <c r="F76" s="135"/>
      <c r="G76" s="135"/>
      <c r="H76" s="135"/>
      <c r="I76" s="135"/>
      <c r="K76" s="135">
        <v>1383</v>
      </c>
      <c r="L76" s="237">
        <v>44539</v>
      </c>
      <c r="M76" s="135" t="s">
        <v>1521</v>
      </c>
      <c r="N76" s="135" t="s">
        <v>534</v>
      </c>
      <c r="O76" s="238">
        <v>7</v>
      </c>
      <c r="P76" s="238">
        <v>1.47</v>
      </c>
      <c r="Q76" s="238">
        <v>8.4700000000000006</v>
      </c>
      <c r="R76" s="135">
        <f>COUNTIF(Tabla12[FACTURA],Tabla12[[#This Row],[FACTURA]])</f>
        <v>1</v>
      </c>
      <c r="S76" s="237">
        <v>44471</v>
      </c>
      <c r="T76" s="135"/>
      <c r="U76" s="135" t="s">
        <v>534</v>
      </c>
      <c r="V76" s="238">
        <v>9</v>
      </c>
      <c r="W76" s="238">
        <v>1.89</v>
      </c>
      <c r="X76" s="238">
        <v>10.89</v>
      </c>
      <c r="Z76" s="237">
        <v>44471</v>
      </c>
      <c r="AA76" s="135" t="str">
        <f t="shared" si="7"/>
        <v>Luis</v>
      </c>
      <c r="AB76" s="135" t="s">
        <v>534</v>
      </c>
      <c r="AC76" s="238">
        <v>9</v>
      </c>
      <c r="AD76" s="238">
        <v>1.89</v>
      </c>
      <c r="AE76" s="238">
        <v>10.89</v>
      </c>
    </row>
    <row r="77" spans="3:31">
      <c r="C77" s="135">
        <v>1360</v>
      </c>
      <c r="D77" s="237">
        <v>44510</v>
      </c>
      <c r="E77" s="135" t="s">
        <v>406</v>
      </c>
      <c r="F77" s="135" t="s">
        <v>534</v>
      </c>
      <c r="G77" s="238">
        <v>7</v>
      </c>
      <c r="H77" s="238">
        <v>1.47</v>
      </c>
      <c r="I77" s="238">
        <v>8.4700000000000006</v>
      </c>
      <c r="K77" s="135">
        <v>1384</v>
      </c>
      <c r="L77" s="237">
        <v>44540</v>
      </c>
      <c r="M77" s="135" t="s">
        <v>459</v>
      </c>
      <c r="N77" s="135" t="s">
        <v>534</v>
      </c>
      <c r="O77" s="238">
        <v>6</v>
      </c>
      <c r="P77" s="238">
        <v>1.26</v>
      </c>
      <c r="Q77" s="238">
        <v>7.26</v>
      </c>
      <c r="R77" s="135">
        <f>COUNTIF(Tabla12[FACTURA],Tabla12[[#This Row],[FACTURA]])</f>
        <v>1</v>
      </c>
      <c r="S77" s="237">
        <v>44471</v>
      </c>
      <c r="T77" s="135"/>
      <c r="U77" s="135" t="s">
        <v>530</v>
      </c>
      <c r="V77" s="238">
        <v>38</v>
      </c>
      <c r="W77" s="238">
        <v>7.98</v>
      </c>
      <c r="X77" s="238">
        <v>45.98</v>
      </c>
      <c r="Z77" s="237">
        <v>44471</v>
      </c>
      <c r="AA77" s="135" t="str">
        <f t="shared" si="7"/>
        <v>Luis</v>
      </c>
      <c r="AB77" s="135" t="s">
        <v>530</v>
      </c>
      <c r="AC77" s="238">
        <v>38</v>
      </c>
      <c r="AD77" s="238">
        <v>7.98</v>
      </c>
      <c r="AE77" s="238">
        <v>45.98</v>
      </c>
    </row>
    <row r="78" spans="3:31">
      <c r="C78" s="135">
        <v>1361</v>
      </c>
      <c r="D78" s="237">
        <v>44511</v>
      </c>
      <c r="E78" s="135" t="s">
        <v>459</v>
      </c>
      <c r="F78" s="135" t="s">
        <v>525</v>
      </c>
      <c r="G78" s="238">
        <v>21</v>
      </c>
      <c r="H78" s="238">
        <v>4.41</v>
      </c>
      <c r="I78" s="238">
        <v>25.41</v>
      </c>
      <c r="K78" s="135">
        <v>1385</v>
      </c>
      <c r="L78" s="237">
        <v>44542</v>
      </c>
      <c r="M78" s="135" t="s">
        <v>1521</v>
      </c>
      <c r="N78" s="135" t="s">
        <v>530</v>
      </c>
      <c r="O78" s="238">
        <v>13</v>
      </c>
      <c r="P78" s="238">
        <v>2.73</v>
      </c>
      <c r="Q78" s="238">
        <v>15.73</v>
      </c>
      <c r="R78" s="135">
        <f>COUNTIF(Tabla12[FACTURA],Tabla12[[#This Row],[FACTURA]])</f>
        <v>1</v>
      </c>
      <c r="S78" s="237">
        <v>44471</v>
      </c>
      <c r="T78" s="135"/>
      <c r="U78" s="135" t="s">
        <v>525</v>
      </c>
      <c r="V78" s="135" t="s">
        <v>1524</v>
      </c>
      <c r="W78" s="135" t="s">
        <v>1525</v>
      </c>
      <c r="X78" s="135" t="s">
        <v>1526</v>
      </c>
      <c r="Z78" s="237">
        <v>44471</v>
      </c>
      <c r="AA78" s="135" t="str">
        <f t="shared" si="7"/>
        <v>Luis</v>
      </c>
      <c r="AB78" s="135" t="s">
        <v>525</v>
      </c>
      <c r="AC78" s="135" t="s">
        <v>1524</v>
      </c>
      <c r="AD78" s="135" t="s">
        <v>1525</v>
      </c>
      <c r="AE78" s="135" t="s">
        <v>1526</v>
      </c>
    </row>
    <row r="79" spans="3:31">
      <c r="C79" s="135">
        <v>1362</v>
      </c>
      <c r="D79" s="237">
        <v>44512</v>
      </c>
      <c r="E79" s="135" t="s">
        <v>1522</v>
      </c>
      <c r="F79" s="135" t="s">
        <v>525</v>
      </c>
      <c r="G79" s="238">
        <v>15</v>
      </c>
      <c r="H79" s="238">
        <v>3.15</v>
      </c>
      <c r="I79" s="238">
        <v>18.149999999999999</v>
      </c>
      <c r="K79" s="135">
        <v>1386</v>
      </c>
      <c r="L79" s="237">
        <v>44543</v>
      </c>
      <c r="M79" s="135" t="s">
        <v>1520</v>
      </c>
      <c r="N79" s="135" t="s">
        <v>530</v>
      </c>
      <c r="O79" s="238">
        <v>17</v>
      </c>
      <c r="P79" s="238">
        <v>3.57</v>
      </c>
      <c r="Q79" s="238">
        <v>20.57</v>
      </c>
      <c r="R79" s="135">
        <f>COUNTIF(Tabla12[FACTURA],Tabla12[[#This Row],[FACTURA]])</f>
        <v>1</v>
      </c>
      <c r="S79" s="237">
        <v>44471</v>
      </c>
      <c r="T79" s="135" t="s">
        <v>459</v>
      </c>
      <c r="U79" s="135" t="s">
        <v>520</v>
      </c>
      <c r="V79" s="238">
        <v>583</v>
      </c>
      <c r="W79" s="238">
        <v>122.43</v>
      </c>
      <c r="X79" s="238">
        <v>705.43</v>
      </c>
      <c r="Z79" s="237">
        <v>44471</v>
      </c>
      <c r="AA79" s="135" t="s">
        <v>459</v>
      </c>
      <c r="AB79" s="135" t="s">
        <v>520</v>
      </c>
      <c r="AC79" s="238">
        <v>583</v>
      </c>
      <c r="AD79" s="238">
        <v>122.43</v>
      </c>
      <c r="AE79" s="238">
        <v>705.43</v>
      </c>
    </row>
    <row r="80" spans="3:31">
      <c r="C80" s="135">
        <v>1363</v>
      </c>
      <c r="D80" s="237">
        <v>44513</v>
      </c>
      <c r="E80" s="135" t="s">
        <v>406</v>
      </c>
      <c r="F80" s="135" t="s">
        <v>520</v>
      </c>
      <c r="G80" s="238">
        <v>329</v>
      </c>
      <c r="H80" s="238">
        <v>69.09</v>
      </c>
      <c r="I80" s="238">
        <v>398.09</v>
      </c>
      <c r="K80" s="135">
        <v>1387</v>
      </c>
      <c r="L80" s="237">
        <v>44545</v>
      </c>
      <c r="M80" s="135" t="s">
        <v>1521</v>
      </c>
      <c r="N80" s="135" t="s">
        <v>534</v>
      </c>
      <c r="O80" s="238">
        <v>6</v>
      </c>
      <c r="P80" s="238">
        <v>1.26</v>
      </c>
      <c r="Q80" s="238">
        <v>7.26</v>
      </c>
      <c r="R80" s="135">
        <f>COUNTIF(Tabla12[FACTURA],Tabla12[[#This Row],[FACTURA]])</f>
        <v>1</v>
      </c>
      <c r="S80" s="237">
        <v>44471</v>
      </c>
      <c r="T80" s="135"/>
      <c r="U80" s="135" t="s">
        <v>530</v>
      </c>
      <c r="V80" s="238">
        <v>25</v>
      </c>
      <c r="W80" s="238">
        <v>5.25</v>
      </c>
      <c r="X80" s="238">
        <v>30.25</v>
      </c>
      <c r="Z80" s="237">
        <v>44471</v>
      </c>
      <c r="AA80" s="135" t="str">
        <f t="shared" ref="AA80:AA89" si="8">AA79</f>
        <v>Pablo</v>
      </c>
      <c r="AB80" s="135" t="s">
        <v>530</v>
      </c>
      <c r="AC80" s="238">
        <v>25</v>
      </c>
      <c r="AD80" s="238">
        <v>5.25</v>
      </c>
      <c r="AE80" s="238">
        <v>30.25</v>
      </c>
    </row>
    <row r="81" spans="3:31">
      <c r="C81" s="135">
        <v>1364</v>
      </c>
      <c r="D81" s="237">
        <v>44514</v>
      </c>
      <c r="E81" s="135" t="s">
        <v>1522</v>
      </c>
      <c r="F81" s="135" t="s">
        <v>534</v>
      </c>
      <c r="G81" s="238">
        <v>6</v>
      </c>
      <c r="H81" s="238">
        <v>1.26</v>
      </c>
      <c r="I81" s="238">
        <v>7.26</v>
      </c>
      <c r="K81" s="135">
        <v>1388</v>
      </c>
      <c r="L81" s="237">
        <v>44546</v>
      </c>
      <c r="M81" s="135" t="s">
        <v>459</v>
      </c>
      <c r="N81" s="135" t="s">
        <v>530</v>
      </c>
      <c r="O81" s="238">
        <v>20</v>
      </c>
      <c r="P81" s="238">
        <v>4.2</v>
      </c>
      <c r="Q81" s="238">
        <v>24.2</v>
      </c>
      <c r="R81" s="135">
        <f>COUNTIF(Tabla12[FACTURA],Tabla12[[#This Row],[FACTURA]])</f>
        <v>1</v>
      </c>
      <c r="S81" s="237">
        <v>44471</v>
      </c>
      <c r="T81" s="135"/>
      <c r="U81" s="135" t="s">
        <v>518</v>
      </c>
      <c r="V81" s="238">
        <v>132</v>
      </c>
      <c r="W81" s="238">
        <v>27.72</v>
      </c>
      <c r="X81" s="238">
        <v>159.72</v>
      </c>
      <c r="Z81" s="237">
        <v>44471</v>
      </c>
      <c r="AA81" s="135" t="str">
        <f t="shared" si="8"/>
        <v>Pablo</v>
      </c>
      <c r="AB81" s="135" t="s">
        <v>518</v>
      </c>
      <c r="AC81" s="238">
        <v>132</v>
      </c>
      <c r="AD81" s="238">
        <v>27.72</v>
      </c>
      <c r="AE81" s="238">
        <v>159.72</v>
      </c>
    </row>
    <row r="82" spans="3:31">
      <c r="C82" s="135">
        <v>1365</v>
      </c>
      <c r="D82" s="237">
        <v>44516</v>
      </c>
      <c r="E82" s="135" t="s">
        <v>1522</v>
      </c>
      <c r="F82" s="135" t="s">
        <v>518</v>
      </c>
      <c r="G82" s="238">
        <v>244</v>
      </c>
      <c r="H82" s="238">
        <v>51.24</v>
      </c>
      <c r="I82" s="238">
        <v>295.24</v>
      </c>
      <c r="K82" s="135">
        <v>1389</v>
      </c>
      <c r="L82" s="237">
        <v>44549</v>
      </c>
      <c r="M82" s="135" t="s">
        <v>1522</v>
      </c>
      <c r="N82" s="135" t="s">
        <v>530</v>
      </c>
      <c r="O82" s="238">
        <v>27</v>
      </c>
      <c r="P82" s="238">
        <v>5.67</v>
      </c>
      <c r="Q82" s="238">
        <v>32.67</v>
      </c>
      <c r="R82" s="135">
        <f>COUNTIF(Tabla12[FACTURA],Tabla12[[#This Row],[FACTURA]])</f>
        <v>1</v>
      </c>
      <c r="S82" s="237">
        <v>44471</v>
      </c>
      <c r="T82" s="135"/>
      <c r="U82" s="135" t="s">
        <v>525</v>
      </c>
      <c r="V82" s="238">
        <v>35</v>
      </c>
      <c r="W82" s="238">
        <v>7.35</v>
      </c>
      <c r="X82" s="238">
        <v>42.35</v>
      </c>
      <c r="Z82" s="237">
        <v>44471</v>
      </c>
      <c r="AA82" s="135" t="str">
        <f t="shared" si="8"/>
        <v>Pablo</v>
      </c>
      <c r="AB82" s="135" t="s">
        <v>525</v>
      </c>
      <c r="AC82" s="238">
        <v>35</v>
      </c>
      <c r="AD82" s="238">
        <v>7.35</v>
      </c>
      <c r="AE82" s="238">
        <v>42.35</v>
      </c>
    </row>
    <row r="83" spans="3:31">
      <c r="C83" s="135">
        <v>1366</v>
      </c>
      <c r="D83" s="237">
        <v>44517</v>
      </c>
      <c r="E83" s="135" t="s">
        <v>459</v>
      </c>
      <c r="F83" s="135" t="s">
        <v>534</v>
      </c>
      <c r="G83" s="238">
        <v>8</v>
      </c>
      <c r="H83" s="238">
        <v>1.68</v>
      </c>
      <c r="I83" s="238">
        <v>9.68</v>
      </c>
      <c r="K83" s="135">
        <v>1390</v>
      </c>
      <c r="L83" s="237">
        <v>44549</v>
      </c>
      <c r="M83" s="135" t="s">
        <v>1521</v>
      </c>
      <c r="N83" s="135" t="s">
        <v>520</v>
      </c>
      <c r="O83" s="238">
        <v>236</v>
      </c>
      <c r="P83" s="238">
        <v>49.56</v>
      </c>
      <c r="Q83" s="238">
        <v>285.56</v>
      </c>
      <c r="R83" s="135">
        <f>COUNTIF(Tabla12[FACTURA],Tabla12[[#This Row],[FACTURA]])</f>
        <v>1</v>
      </c>
      <c r="S83" s="237">
        <v>44471</v>
      </c>
      <c r="T83" s="135"/>
      <c r="U83" s="135" t="s">
        <v>530</v>
      </c>
      <c r="V83" s="238">
        <v>24</v>
      </c>
      <c r="W83" s="238">
        <v>5.04</v>
      </c>
      <c r="X83" s="238">
        <v>29.04</v>
      </c>
      <c r="Z83" s="237">
        <v>44471</v>
      </c>
      <c r="AA83" s="135" t="str">
        <f t="shared" si="8"/>
        <v>Pablo</v>
      </c>
      <c r="AB83" s="135" t="s">
        <v>530</v>
      </c>
      <c r="AC83" s="238">
        <v>24</v>
      </c>
      <c r="AD83" s="238">
        <v>5.04</v>
      </c>
      <c r="AE83" s="238">
        <v>29.04</v>
      </c>
    </row>
    <row r="84" spans="3:31">
      <c r="C84" s="135"/>
      <c r="D84" s="135"/>
      <c r="E84" s="135"/>
      <c r="F84" s="135"/>
      <c r="G84" s="135"/>
      <c r="H84" s="135"/>
      <c r="I84" s="135"/>
      <c r="K84" s="135">
        <v>1391</v>
      </c>
      <c r="L84" s="237">
        <v>44549</v>
      </c>
      <c r="M84" s="135" t="s">
        <v>406</v>
      </c>
      <c r="N84" s="135" t="s">
        <v>518</v>
      </c>
      <c r="O84" s="238">
        <v>81</v>
      </c>
      <c r="P84" s="238">
        <v>17.010000000000002</v>
      </c>
      <c r="Q84" s="238">
        <v>98.01</v>
      </c>
      <c r="R84" s="135">
        <f>COUNTIF(Tabla12[FACTURA],Tabla12[[#This Row],[FACTURA]])</f>
        <v>1</v>
      </c>
      <c r="S84" s="237">
        <v>44471</v>
      </c>
      <c r="T84" s="135"/>
      <c r="U84" s="135" t="s">
        <v>534</v>
      </c>
      <c r="V84" s="238">
        <v>7</v>
      </c>
      <c r="W84" s="238">
        <v>1.47</v>
      </c>
      <c r="X84" s="238">
        <v>8.4700000000000006</v>
      </c>
      <c r="Z84" s="237">
        <v>44471</v>
      </c>
      <c r="AA84" s="135" t="str">
        <f t="shared" si="8"/>
        <v>Pablo</v>
      </c>
      <c r="AB84" s="135" t="s">
        <v>534</v>
      </c>
      <c r="AC84" s="238">
        <v>7</v>
      </c>
      <c r="AD84" s="238">
        <v>1.47</v>
      </c>
      <c r="AE84" s="238">
        <v>8.4700000000000006</v>
      </c>
    </row>
    <row r="85" spans="3:31">
      <c r="C85" s="135">
        <v>1367</v>
      </c>
      <c r="D85" s="237">
        <v>44518</v>
      </c>
      <c r="E85" s="135" t="s">
        <v>1520</v>
      </c>
      <c r="F85" s="135" t="s">
        <v>525</v>
      </c>
      <c r="G85" s="238">
        <v>12</v>
      </c>
      <c r="H85" s="238">
        <v>2.52</v>
      </c>
      <c r="I85" s="238">
        <v>14.52</v>
      </c>
      <c r="K85" s="135">
        <v>1392</v>
      </c>
      <c r="L85" s="237">
        <v>44550</v>
      </c>
      <c r="M85" s="135" t="s">
        <v>406</v>
      </c>
      <c r="N85" s="135" t="s">
        <v>520</v>
      </c>
      <c r="O85" s="238">
        <v>304</v>
      </c>
      <c r="P85" s="238">
        <v>63.84</v>
      </c>
      <c r="Q85" s="238">
        <v>367.84</v>
      </c>
      <c r="R85" s="135">
        <f>COUNTIF(Tabla12[FACTURA],Tabla12[[#This Row],[FACTURA]])</f>
        <v>1</v>
      </c>
      <c r="S85" s="237">
        <v>44471</v>
      </c>
      <c r="T85" s="135"/>
      <c r="U85" s="135" t="s">
        <v>534</v>
      </c>
      <c r="V85" s="238">
        <v>9</v>
      </c>
      <c r="W85" s="238">
        <v>1.89</v>
      </c>
      <c r="X85" s="238">
        <v>10.89</v>
      </c>
      <c r="Z85" s="237">
        <v>44471</v>
      </c>
      <c r="AA85" s="135" t="str">
        <f t="shared" si="8"/>
        <v>Pablo</v>
      </c>
      <c r="AB85" s="135" t="s">
        <v>534</v>
      </c>
      <c r="AC85" s="238">
        <v>9</v>
      </c>
      <c r="AD85" s="238">
        <v>1.89</v>
      </c>
      <c r="AE85" s="238">
        <v>10.89</v>
      </c>
    </row>
    <row r="86" spans="3:31">
      <c r="C86" s="135">
        <v>1368</v>
      </c>
      <c r="D86" s="237">
        <v>44521</v>
      </c>
      <c r="E86" s="135" t="s">
        <v>406</v>
      </c>
      <c r="F86" s="135" t="s">
        <v>530</v>
      </c>
      <c r="G86" s="238">
        <v>22</v>
      </c>
      <c r="H86" s="238">
        <v>4.62</v>
      </c>
      <c r="I86" s="238">
        <v>26.62</v>
      </c>
      <c r="K86" s="135">
        <v>1393</v>
      </c>
      <c r="L86" s="237">
        <v>44550</v>
      </c>
      <c r="M86" s="135" t="s">
        <v>459</v>
      </c>
      <c r="N86" s="135" t="s">
        <v>525</v>
      </c>
      <c r="O86" s="238">
        <v>9</v>
      </c>
      <c r="P86" s="238">
        <v>1.89</v>
      </c>
      <c r="Q86" s="238">
        <v>10.89</v>
      </c>
      <c r="R86" s="135">
        <f>COUNTIF(Tabla12[FACTURA],Tabla12[[#This Row],[FACTURA]])</f>
        <v>1</v>
      </c>
      <c r="S86" s="237">
        <v>44471</v>
      </c>
      <c r="T86" s="135"/>
      <c r="U86" s="135" t="s">
        <v>534</v>
      </c>
      <c r="V86" s="238">
        <v>17</v>
      </c>
      <c r="W86" s="238">
        <v>3.57</v>
      </c>
      <c r="X86" s="238">
        <v>20.57</v>
      </c>
      <c r="Z86" s="237">
        <v>44471</v>
      </c>
      <c r="AA86" s="135" t="str">
        <f t="shared" si="8"/>
        <v>Pablo</v>
      </c>
      <c r="AB86" s="135" t="s">
        <v>534</v>
      </c>
      <c r="AC86" s="238">
        <v>17</v>
      </c>
      <c r="AD86" s="238">
        <v>3.57</v>
      </c>
      <c r="AE86" s="238">
        <v>20.57</v>
      </c>
    </row>
    <row r="87" spans="3:31">
      <c r="C87" s="135">
        <v>1369</v>
      </c>
      <c r="D87" s="237">
        <v>44521</v>
      </c>
      <c r="E87" s="135" t="s">
        <v>459</v>
      </c>
      <c r="F87" s="135" t="s">
        <v>534</v>
      </c>
      <c r="G87" s="238">
        <v>8</v>
      </c>
      <c r="H87" s="238">
        <v>1.68</v>
      </c>
      <c r="I87" s="238">
        <v>9.68</v>
      </c>
      <c r="K87" s="135">
        <v>1394</v>
      </c>
      <c r="L87" s="237">
        <v>44550</v>
      </c>
      <c r="M87" s="135" t="s">
        <v>1521</v>
      </c>
      <c r="N87" s="135" t="s">
        <v>525</v>
      </c>
      <c r="O87" s="238">
        <v>8</v>
      </c>
      <c r="P87" s="238">
        <v>1.68</v>
      </c>
      <c r="Q87" s="238">
        <v>9.68</v>
      </c>
      <c r="R87" s="135">
        <f>COUNTIF(Tabla12[FACTURA],Tabla12[[#This Row],[FACTURA]])</f>
        <v>1</v>
      </c>
      <c r="S87" s="237">
        <v>44471</v>
      </c>
      <c r="T87" s="135"/>
      <c r="U87" s="135" t="s">
        <v>534</v>
      </c>
      <c r="V87" s="238">
        <v>18</v>
      </c>
      <c r="W87" s="238">
        <v>3.78</v>
      </c>
      <c r="X87" s="238">
        <v>21.78</v>
      </c>
      <c r="Z87" s="237">
        <v>44471</v>
      </c>
      <c r="AA87" s="135" t="str">
        <f t="shared" si="8"/>
        <v>Pablo</v>
      </c>
      <c r="AB87" s="135" t="s">
        <v>534</v>
      </c>
      <c r="AC87" s="238">
        <v>18</v>
      </c>
      <c r="AD87" s="238">
        <v>3.78</v>
      </c>
      <c r="AE87" s="238">
        <v>21.78</v>
      </c>
    </row>
    <row r="88" spans="3:31">
      <c r="C88" s="135">
        <v>1370</v>
      </c>
      <c r="D88" s="237">
        <v>44524</v>
      </c>
      <c r="E88" s="135" t="s">
        <v>1520</v>
      </c>
      <c r="F88" s="135" t="s">
        <v>518</v>
      </c>
      <c r="G88" s="238">
        <v>20</v>
      </c>
      <c r="H88" s="238">
        <v>4.2</v>
      </c>
      <c r="I88" s="238">
        <v>24.2</v>
      </c>
      <c r="K88" s="135">
        <v>1395</v>
      </c>
      <c r="L88" s="237">
        <v>44552</v>
      </c>
      <c r="M88" s="135" t="s">
        <v>1520</v>
      </c>
      <c r="N88" s="135" t="s">
        <v>518</v>
      </c>
      <c r="O88" s="238">
        <v>31</v>
      </c>
      <c r="P88" s="238">
        <v>6.51</v>
      </c>
      <c r="Q88" s="238">
        <v>37.51</v>
      </c>
      <c r="R88" s="135">
        <f>COUNTIF(Tabla12[FACTURA],Tabla12[[#This Row],[FACTURA]])</f>
        <v>1</v>
      </c>
      <c r="S88" s="237">
        <v>44471</v>
      </c>
      <c r="T88" s="135"/>
      <c r="U88" s="135" t="s">
        <v>530</v>
      </c>
      <c r="V88" s="238">
        <v>23</v>
      </c>
      <c r="W88" s="238">
        <v>4.83</v>
      </c>
      <c r="X88" s="238">
        <v>27.83</v>
      </c>
      <c r="Z88" s="237">
        <v>44471</v>
      </c>
      <c r="AA88" s="135" t="str">
        <f t="shared" si="8"/>
        <v>Pablo</v>
      </c>
      <c r="AB88" s="135" t="s">
        <v>530</v>
      </c>
      <c r="AC88" s="238">
        <v>23</v>
      </c>
      <c r="AD88" s="238">
        <v>4.83</v>
      </c>
      <c r="AE88" s="238">
        <v>27.83</v>
      </c>
    </row>
    <row r="89" spans="3:31">
      <c r="C89" s="135"/>
      <c r="D89" s="135"/>
      <c r="E89" s="135"/>
      <c r="F89" s="135"/>
      <c r="G89" s="135"/>
      <c r="H89" s="135"/>
      <c r="I89" s="135"/>
      <c r="K89" s="135">
        <v>1396</v>
      </c>
      <c r="L89" s="237">
        <v>44552</v>
      </c>
      <c r="M89" s="135" t="s">
        <v>1520</v>
      </c>
      <c r="N89" s="135" t="s">
        <v>525</v>
      </c>
      <c r="O89" s="238">
        <v>25</v>
      </c>
      <c r="P89" s="238">
        <v>5.25</v>
      </c>
      <c r="Q89" s="238">
        <v>30.25</v>
      </c>
      <c r="R89" s="135">
        <f>COUNTIF(Tabla12[FACTURA],Tabla12[[#This Row],[FACTURA]])</f>
        <v>1</v>
      </c>
      <c r="S89" s="237">
        <v>44471</v>
      </c>
      <c r="T89" s="135"/>
      <c r="U89" s="135" t="s">
        <v>520</v>
      </c>
      <c r="V89" s="238">
        <v>654</v>
      </c>
      <c r="W89" s="238">
        <v>137.34</v>
      </c>
      <c r="X89" s="238">
        <v>791.34</v>
      </c>
      <c r="Z89" s="237">
        <v>44471</v>
      </c>
      <c r="AA89" s="135" t="str">
        <f t="shared" si="8"/>
        <v>Pablo</v>
      </c>
      <c r="AB89" s="135" t="s">
        <v>520</v>
      </c>
      <c r="AC89" s="238">
        <v>654</v>
      </c>
      <c r="AD89" s="238">
        <v>137.34</v>
      </c>
      <c r="AE89" s="238">
        <v>791.34</v>
      </c>
    </row>
    <row r="90" spans="3:31">
      <c r="C90" s="135">
        <v>1371</v>
      </c>
      <c r="D90" s="237">
        <v>44524</v>
      </c>
      <c r="E90" s="135" t="s">
        <v>1521</v>
      </c>
      <c r="F90" s="135" t="s">
        <v>530</v>
      </c>
      <c r="G90" s="238">
        <v>19</v>
      </c>
      <c r="H90" s="238">
        <v>3.99</v>
      </c>
      <c r="I90" s="238">
        <v>22.99</v>
      </c>
      <c r="K90" s="135">
        <v>1397</v>
      </c>
      <c r="L90" s="237">
        <v>44557</v>
      </c>
      <c r="M90" s="135" t="s">
        <v>1522</v>
      </c>
      <c r="N90" s="135" t="s">
        <v>520</v>
      </c>
      <c r="O90" s="238">
        <v>936</v>
      </c>
      <c r="P90" s="238">
        <v>196.56</v>
      </c>
      <c r="Q90" s="238">
        <v>1132.56</v>
      </c>
      <c r="R90" s="135">
        <f>COUNTIF(Tabla12[FACTURA],Tabla12[[#This Row],[FACTURA]])</f>
        <v>1</v>
      </c>
      <c r="S90" s="237">
        <v>44471</v>
      </c>
      <c r="T90" s="135" t="s">
        <v>1522</v>
      </c>
      <c r="U90" s="135" t="s">
        <v>520</v>
      </c>
      <c r="V90" s="135" t="s">
        <v>1524</v>
      </c>
      <c r="W90" s="135" t="s">
        <v>1525</v>
      </c>
      <c r="X90" s="135" t="s">
        <v>1526</v>
      </c>
      <c r="Z90" s="237">
        <v>44471</v>
      </c>
      <c r="AA90" s="135" t="s">
        <v>1522</v>
      </c>
      <c r="AB90" s="135" t="s">
        <v>520</v>
      </c>
      <c r="AC90" s="135" t="s">
        <v>1524</v>
      </c>
      <c r="AD90" s="135" t="s">
        <v>1525</v>
      </c>
      <c r="AE90" s="135" t="s">
        <v>1526</v>
      </c>
    </row>
    <row r="91" spans="3:31">
      <c r="C91" s="135">
        <v>1372</v>
      </c>
      <c r="D91" s="237">
        <v>44526</v>
      </c>
      <c r="E91" s="135" t="s">
        <v>1522</v>
      </c>
      <c r="F91" s="135" t="s">
        <v>530</v>
      </c>
      <c r="G91" s="238">
        <v>44</v>
      </c>
      <c r="H91" s="238">
        <v>9.24</v>
      </c>
      <c r="I91" s="238">
        <v>53.24</v>
      </c>
      <c r="K91" s="135">
        <v>1398</v>
      </c>
      <c r="L91" s="237">
        <v>44558</v>
      </c>
      <c r="M91" s="135" t="s">
        <v>1522</v>
      </c>
      <c r="N91" s="135" t="s">
        <v>518</v>
      </c>
      <c r="O91" s="238">
        <v>50</v>
      </c>
      <c r="P91" s="238">
        <v>10.5</v>
      </c>
      <c r="Q91" s="238">
        <v>60.5</v>
      </c>
      <c r="R91" s="135">
        <f>COUNTIF(Tabla12[FACTURA],Tabla12[[#This Row],[FACTURA]])</f>
        <v>1</v>
      </c>
      <c r="S91" s="237">
        <v>44471</v>
      </c>
      <c r="T91" s="135"/>
      <c r="U91" s="135" t="s">
        <v>534</v>
      </c>
      <c r="V91" s="238">
        <v>5</v>
      </c>
      <c r="W91" s="238">
        <v>1.05</v>
      </c>
      <c r="X91" s="238">
        <v>6.05</v>
      </c>
      <c r="Z91" s="237">
        <v>44471</v>
      </c>
      <c r="AA91" s="135" t="str">
        <f t="shared" ref="AA91:AA99" si="9">AA90</f>
        <v>Maria</v>
      </c>
      <c r="AB91" s="135" t="s">
        <v>534</v>
      </c>
      <c r="AC91" s="238">
        <v>5</v>
      </c>
      <c r="AD91" s="238">
        <v>1.05</v>
      </c>
      <c r="AE91" s="238">
        <v>6.05</v>
      </c>
    </row>
    <row r="92" spans="3:31">
      <c r="C92" s="135">
        <v>1373</v>
      </c>
      <c r="D92" s="237">
        <v>44526</v>
      </c>
      <c r="E92" s="135" t="s">
        <v>459</v>
      </c>
      <c r="F92" s="135" t="s">
        <v>518</v>
      </c>
      <c r="G92" s="238">
        <v>23</v>
      </c>
      <c r="H92" s="238">
        <v>4.83</v>
      </c>
      <c r="I92" s="238">
        <v>27.83</v>
      </c>
      <c r="K92" s="135">
        <v>1399</v>
      </c>
      <c r="L92" s="237">
        <v>44559</v>
      </c>
      <c r="M92" s="135" t="s">
        <v>1522</v>
      </c>
      <c r="N92" s="135" t="s">
        <v>525</v>
      </c>
      <c r="O92" s="238">
        <v>7</v>
      </c>
      <c r="P92" s="238">
        <v>1.47</v>
      </c>
      <c r="Q92" s="238">
        <v>8.4700000000000006</v>
      </c>
      <c r="R92" s="135">
        <f>COUNTIF(Tabla12[FACTURA],Tabla12[[#This Row],[FACTURA]])</f>
        <v>1</v>
      </c>
      <c r="S92" s="237">
        <v>44471</v>
      </c>
      <c r="T92" s="135"/>
      <c r="U92" s="135" t="s">
        <v>518</v>
      </c>
      <c r="V92" s="238">
        <v>99</v>
      </c>
      <c r="W92" s="238">
        <v>20.79</v>
      </c>
      <c r="X92" s="238">
        <v>119.79</v>
      </c>
      <c r="Z92" s="237">
        <v>44471</v>
      </c>
      <c r="AA92" s="135" t="str">
        <f t="shared" si="9"/>
        <v>Maria</v>
      </c>
      <c r="AB92" s="135" t="s">
        <v>518</v>
      </c>
      <c r="AC92" s="238">
        <v>99</v>
      </c>
      <c r="AD92" s="238">
        <v>20.79</v>
      </c>
      <c r="AE92" s="238">
        <v>119.79</v>
      </c>
    </row>
    <row r="93" spans="3:31">
      <c r="C93" s="135">
        <v>1374</v>
      </c>
      <c r="D93" s="237">
        <v>44527</v>
      </c>
      <c r="E93" s="135" t="s">
        <v>1521</v>
      </c>
      <c r="F93" s="135" t="s">
        <v>520</v>
      </c>
      <c r="G93" s="238">
        <v>200</v>
      </c>
      <c r="H93" s="238">
        <v>42</v>
      </c>
      <c r="I93" s="238">
        <v>242</v>
      </c>
      <c r="K93" s="135">
        <v>1400</v>
      </c>
      <c r="L93" s="237">
        <v>44559</v>
      </c>
      <c r="M93" s="135" t="s">
        <v>1520</v>
      </c>
      <c r="N93" s="135" t="s">
        <v>534</v>
      </c>
      <c r="O93" s="238">
        <v>8</v>
      </c>
      <c r="P93" s="238">
        <v>1.68</v>
      </c>
      <c r="Q93" s="238">
        <v>9.68</v>
      </c>
      <c r="R93" s="135">
        <f>COUNTIF(Tabla12[FACTURA],Tabla12[[#This Row],[FACTURA]])</f>
        <v>1</v>
      </c>
      <c r="S93" s="237">
        <v>44471</v>
      </c>
      <c r="T93" s="135"/>
      <c r="U93" s="135" t="s">
        <v>534</v>
      </c>
      <c r="V93" s="238">
        <v>12</v>
      </c>
      <c r="W93" s="238">
        <v>2.52</v>
      </c>
      <c r="X93" s="238">
        <v>14.52</v>
      </c>
      <c r="Z93" s="237">
        <v>44471</v>
      </c>
      <c r="AA93" s="135" t="str">
        <f t="shared" si="9"/>
        <v>Maria</v>
      </c>
      <c r="AB93" s="135" t="s">
        <v>534</v>
      </c>
      <c r="AC93" s="238">
        <v>12</v>
      </c>
      <c r="AD93" s="238">
        <v>2.52</v>
      </c>
      <c r="AE93" s="238">
        <v>14.52</v>
      </c>
    </row>
    <row r="94" spans="3:31">
      <c r="C94" s="135"/>
      <c r="D94" s="135"/>
      <c r="E94" s="135"/>
      <c r="F94" s="135"/>
      <c r="G94" s="135"/>
      <c r="H94" s="135"/>
      <c r="I94" s="135"/>
      <c r="K94" s="135">
        <v>1401</v>
      </c>
      <c r="L94" s="237">
        <v>44560</v>
      </c>
      <c r="M94" s="135" t="s">
        <v>459</v>
      </c>
      <c r="N94" s="135" t="s">
        <v>520</v>
      </c>
      <c r="O94" s="238">
        <v>894</v>
      </c>
      <c r="P94" s="238">
        <v>187.74</v>
      </c>
      <c r="Q94" s="238">
        <v>1081.74</v>
      </c>
      <c r="R94" s="135">
        <f>COUNTIF(Tabla12[FACTURA],Tabla12[[#This Row],[FACTURA]])</f>
        <v>1</v>
      </c>
      <c r="S94" s="237">
        <v>44471</v>
      </c>
      <c r="T94" s="135"/>
      <c r="U94" s="135" t="s">
        <v>530</v>
      </c>
      <c r="V94" s="238">
        <v>32</v>
      </c>
      <c r="W94" s="238">
        <v>6.72</v>
      </c>
      <c r="X94" s="238">
        <v>38.72</v>
      </c>
      <c r="Z94" s="237">
        <v>44471</v>
      </c>
      <c r="AA94" s="135" t="str">
        <f t="shared" si="9"/>
        <v>Maria</v>
      </c>
      <c r="AB94" s="135" t="s">
        <v>530</v>
      </c>
      <c r="AC94" s="238">
        <v>32</v>
      </c>
      <c r="AD94" s="238">
        <v>6.72</v>
      </c>
      <c r="AE94" s="238">
        <v>38.72</v>
      </c>
    </row>
    <row r="95" spans="3:31">
      <c r="C95" s="135">
        <v>1375</v>
      </c>
      <c r="D95" s="237">
        <v>44527</v>
      </c>
      <c r="E95" s="135" t="s">
        <v>1522</v>
      </c>
      <c r="F95" s="135" t="s">
        <v>530</v>
      </c>
      <c r="G95" s="238">
        <v>20</v>
      </c>
      <c r="H95" s="238">
        <v>4.2</v>
      </c>
      <c r="I95" s="238">
        <v>24.2</v>
      </c>
      <c r="K95" s="135">
        <v>1402</v>
      </c>
      <c r="L95" s="237">
        <v>44561</v>
      </c>
      <c r="M95" s="135" t="s">
        <v>1521</v>
      </c>
      <c r="N95" s="135" t="s">
        <v>530</v>
      </c>
      <c r="O95" s="238">
        <v>10</v>
      </c>
      <c r="P95" s="238">
        <v>2.1</v>
      </c>
      <c r="Q95" s="238">
        <v>12.1</v>
      </c>
      <c r="R95" s="135">
        <f>COUNTIF(Tabla12[FACTURA],Tabla12[[#This Row],[FACTURA]])</f>
        <v>1</v>
      </c>
      <c r="S95" s="237">
        <v>44471</v>
      </c>
      <c r="T95" s="135"/>
      <c r="U95" s="135" t="s">
        <v>518</v>
      </c>
      <c r="V95" s="238">
        <v>23</v>
      </c>
      <c r="W95" s="238">
        <v>4.83</v>
      </c>
      <c r="X95" s="238">
        <v>27.83</v>
      </c>
      <c r="Z95" s="237">
        <v>44471</v>
      </c>
      <c r="AA95" s="135" t="str">
        <f t="shared" si="9"/>
        <v>Maria</v>
      </c>
      <c r="AB95" s="135" t="s">
        <v>518</v>
      </c>
      <c r="AC95" s="238">
        <v>23</v>
      </c>
      <c r="AD95" s="238">
        <v>4.83</v>
      </c>
      <c r="AE95" s="238">
        <v>27.83</v>
      </c>
    </row>
    <row r="96" spans="3:31">
      <c r="C96" s="135">
        <v>1376</v>
      </c>
      <c r="D96" s="237">
        <v>44530</v>
      </c>
      <c r="E96" s="135" t="s">
        <v>406</v>
      </c>
      <c r="F96" s="135" t="s">
        <v>530</v>
      </c>
      <c r="G96" s="238">
        <v>12</v>
      </c>
      <c r="H96" s="238">
        <v>2.52</v>
      </c>
      <c r="I96" s="238">
        <v>14.52</v>
      </c>
      <c r="K96" s="135">
        <v>1403</v>
      </c>
      <c r="L96" s="237">
        <v>44562</v>
      </c>
      <c r="M96" s="135" t="s">
        <v>459</v>
      </c>
      <c r="N96" s="135" t="s">
        <v>520</v>
      </c>
      <c r="O96" s="238">
        <v>465</v>
      </c>
      <c r="P96" s="238">
        <v>97.65</v>
      </c>
      <c r="Q96" s="238">
        <v>562.65</v>
      </c>
      <c r="R96" s="135">
        <f>COUNTIF(Tabla12[FACTURA],Tabla12[[#This Row],[FACTURA]])</f>
        <v>1</v>
      </c>
      <c r="S96" s="237">
        <v>44471</v>
      </c>
      <c r="T96" s="135"/>
      <c r="U96" s="135" t="s">
        <v>525</v>
      </c>
      <c r="V96" s="238">
        <v>12</v>
      </c>
      <c r="W96" s="238">
        <v>2.52</v>
      </c>
      <c r="X96" s="238">
        <v>14.52</v>
      </c>
      <c r="Z96" s="237">
        <v>44471</v>
      </c>
      <c r="AA96" s="135" t="str">
        <f t="shared" si="9"/>
        <v>Maria</v>
      </c>
      <c r="AB96" s="135" t="s">
        <v>525</v>
      </c>
      <c r="AC96" s="238">
        <v>12</v>
      </c>
      <c r="AD96" s="238">
        <v>2.52</v>
      </c>
      <c r="AE96" s="238">
        <v>14.52</v>
      </c>
    </row>
    <row r="97" spans="3:31">
      <c r="C97" s="135">
        <v>1377</v>
      </c>
      <c r="D97" s="237">
        <v>44532</v>
      </c>
      <c r="E97" s="135" t="s">
        <v>1520</v>
      </c>
      <c r="F97" s="135" t="s">
        <v>518</v>
      </c>
      <c r="G97" s="238">
        <v>140</v>
      </c>
      <c r="H97" s="238">
        <v>29.4</v>
      </c>
      <c r="I97" s="238">
        <v>169.4</v>
      </c>
      <c r="K97" s="135">
        <v>1404</v>
      </c>
      <c r="L97" s="237">
        <v>44563</v>
      </c>
      <c r="M97" s="135" t="s">
        <v>459</v>
      </c>
      <c r="N97" s="135" t="s">
        <v>525</v>
      </c>
      <c r="O97" s="238">
        <v>49</v>
      </c>
      <c r="P97" s="238">
        <v>10.29</v>
      </c>
      <c r="Q97" s="238">
        <v>59.29</v>
      </c>
      <c r="R97" s="135">
        <f>COUNTIF(Tabla12[FACTURA],Tabla12[[#This Row],[FACTURA]])</f>
        <v>1</v>
      </c>
      <c r="S97" s="237">
        <v>44471</v>
      </c>
      <c r="T97" s="135"/>
      <c r="U97" s="135" t="s">
        <v>518</v>
      </c>
      <c r="V97" s="135" t="s">
        <v>1524</v>
      </c>
      <c r="W97" s="135" t="s">
        <v>1525</v>
      </c>
      <c r="X97" s="135" t="s">
        <v>1526</v>
      </c>
      <c r="Z97" s="237">
        <v>44471</v>
      </c>
      <c r="AA97" s="135" t="str">
        <f t="shared" si="9"/>
        <v>Maria</v>
      </c>
      <c r="AB97" s="135" t="s">
        <v>518</v>
      </c>
      <c r="AC97" s="135" t="s">
        <v>1524</v>
      </c>
      <c r="AD97" s="135" t="s">
        <v>1525</v>
      </c>
      <c r="AE97" s="135" t="s">
        <v>1526</v>
      </c>
    </row>
    <row r="98" spans="3:31">
      <c r="C98" s="135">
        <v>1378</v>
      </c>
      <c r="D98" s="237">
        <v>44533</v>
      </c>
      <c r="E98" s="135" t="s">
        <v>406</v>
      </c>
      <c r="F98" s="135" t="s">
        <v>534</v>
      </c>
      <c r="G98" s="238">
        <v>5</v>
      </c>
      <c r="H98" s="238">
        <v>1.05</v>
      </c>
      <c r="I98" s="238">
        <v>6.05</v>
      </c>
      <c r="K98" s="135">
        <v>1405</v>
      </c>
      <c r="L98" s="237">
        <v>44564</v>
      </c>
      <c r="M98" s="135" t="s">
        <v>459</v>
      </c>
      <c r="N98" s="135" t="s">
        <v>530</v>
      </c>
      <c r="O98" s="238">
        <v>15</v>
      </c>
      <c r="P98" s="238">
        <v>3.15</v>
      </c>
      <c r="Q98" s="238">
        <v>18.149999999999999</v>
      </c>
      <c r="R98" s="135">
        <f>COUNTIF(Tabla12[FACTURA],Tabla12[[#This Row],[FACTURA]])</f>
        <v>1</v>
      </c>
      <c r="S98" s="237">
        <v>44471</v>
      </c>
      <c r="T98" s="135"/>
      <c r="U98" s="135" t="s">
        <v>520</v>
      </c>
      <c r="V98" s="238">
        <v>400</v>
      </c>
      <c r="W98" s="238">
        <v>84</v>
      </c>
      <c r="X98" s="238">
        <v>484</v>
      </c>
      <c r="Z98" s="237">
        <v>44471</v>
      </c>
      <c r="AA98" s="135" t="str">
        <f t="shared" si="9"/>
        <v>Maria</v>
      </c>
      <c r="AB98" s="135" t="s">
        <v>520</v>
      </c>
      <c r="AC98" s="238">
        <v>400</v>
      </c>
      <c r="AD98" s="238">
        <v>84</v>
      </c>
      <c r="AE98" s="238">
        <v>484</v>
      </c>
    </row>
    <row r="99" spans="3:31">
      <c r="C99" s="135"/>
      <c r="D99" s="135"/>
      <c r="E99" s="135"/>
      <c r="F99" s="135"/>
      <c r="G99" s="135"/>
      <c r="H99" s="135"/>
      <c r="I99" s="135"/>
      <c r="K99" s="135">
        <v>1406</v>
      </c>
      <c r="L99" s="237">
        <v>44564</v>
      </c>
      <c r="M99" s="135" t="s">
        <v>459</v>
      </c>
      <c r="N99" s="135" t="s">
        <v>534</v>
      </c>
      <c r="O99" s="238">
        <v>8</v>
      </c>
      <c r="P99" s="238">
        <v>1.68</v>
      </c>
      <c r="Q99" s="238">
        <v>9.68</v>
      </c>
      <c r="R99" s="135">
        <f>COUNTIF(Tabla12[FACTURA],Tabla12[[#This Row],[FACTURA]])</f>
        <v>1</v>
      </c>
      <c r="S99" s="237">
        <v>44471</v>
      </c>
      <c r="T99" s="135"/>
      <c r="U99" s="135" t="s">
        <v>525</v>
      </c>
      <c r="V99" s="238">
        <v>19</v>
      </c>
      <c r="W99" s="238">
        <v>3.99</v>
      </c>
      <c r="X99" s="238">
        <v>22.99</v>
      </c>
      <c r="Z99" s="237">
        <v>44471</v>
      </c>
      <c r="AA99" s="135" t="str">
        <f t="shared" si="9"/>
        <v>Maria</v>
      </c>
      <c r="AB99" s="135" t="s">
        <v>525</v>
      </c>
      <c r="AC99" s="238">
        <v>19</v>
      </c>
      <c r="AD99" s="238">
        <v>3.99</v>
      </c>
      <c r="AE99" s="238">
        <v>22.99</v>
      </c>
    </row>
    <row r="100" spans="3:31">
      <c r="C100" s="135">
        <v>1379</v>
      </c>
      <c r="D100" s="237">
        <v>44535</v>
      </c>
      <c r="E100" s="135" t="s">
        <v>1521</v>
      </c>
      <c r="F100" s="135" t="s">
        <v>520</v>
      </c>
      <c r="G100" s="238">
        <v>277</v>
      </c>
      <c r="H100" s="238">
        <v>58.17</v>
      </c>
      <c r="I100" s="238">
        <v>335.17</v>
      </c>
      <c r="K100" s="135">
        <v>1407</v>
      </c>
      <c r="L100" s="237">
        <v>44564</v>
      </c>
      <c r="M100" s="135" t="s">
        <v>406</v>
      </c>
      <c r="N100" s="135" t="s">
        <v>520</v>
      </c>
      <c r="O100" s="238">
        <v>329</v>
      </c>
      <c r="P100" s="238">
        <v>69.09</v>
      </c>
      <c r="Q100" s="238">
        <v>398.09</v>
      </c>
      <c r="R100" s="135">
        <f>COUNTIF(Tabla12[FACTURA],Tabla12[[#This Row],[FACTURA]])</f>
        <v>1</v>
      </c>
      <c r="S100" s="237">
        <v>44472</v>
      </c>
      <c r="T100" s="135" t="s">
        <v>1520</v>
      </c>
      <c r="U100" s="135" t="s">
        <v>534</v>
      </c>
      <c r="V100" s="238">
        <v>10</v>
      </c>
      <c r="W100" s="238">
        <v>2.1</v>
      </c>
      <c r="X100" s="238">
        <v>12.1</v>
      </c>
      <c r="Z100" s="237">
        <v>44472</v>
      </c>
      <c r="AA100" s="135" t="s">
        <v>1520</v>
      </c>
      <c r="AB100" s="135" t="s">
        <v>534</v>
      </c>
      <c r="AC100" s="238">
        <v>10</v>
      </c>
      <c r="AD100" s="238">
        <v>2.1</v>
      </c>
      <c r="AE100" s="238">
        <v>12.1</v>
      </c>
    </row>
    <row r="101" spans="3:31">
      <c r="C101" s="135"/>
      <c r="D101" s="135"/>
      <c r="E101" s="135"/>
      <c r="F101" s="135"/>
      <c r="G101" s="135"/>
      <c r="H101" s="135"/>
      <c r="I101" s="135"/>
      <c r="K101" s="135">
        <v>1408</v>
      </c>
      <c r="L101" s="237">
        <v>44565</v>
      </c>
      <c r="M101" s="135" t="s">
        <v>1522</v>
      </c>
      <c r="N101" s="135" t="s">
        <v>534</v>
      </c>
      <c r="O101" s="238">
        <v>9</v>
      </c>
      <c r="P101" s="238">
        <v>1.89</v>
      </c>
      <c r="Q101" s="238">
        <v>10.89</v>
      </c>
      <c r="R101" s="135">
        <f>COUNTIF(Tabla12[FACTURA],Tabla12[[#This Row],[FACTURA]])</f>
        <v>1</v>
      </c>
      <c r="S101" s="237">
        <v>44472</v>
      </c>
      <c r="T101" s="135"/>
      <c r="U101" s="135" t="s">
        <v>530</v>
      </c>
      <c r="V101" s="238">
        <v>37</v>
      </c>
      <c r="W101" s="238">
        <v>7.77</v>
      </c>
      <c r="X101" s="238">
        <v>44.77</v>
      </c>
      <c r="Z101" s="237">
        <v>44472</v>
      </c>
      <c r="AA101" s="135" t="str">
        <f t="shared" ref="AA101:AA108" si="10">AA100</f>
        <v>Ana</v>
      </c>
      <c r="AB101" s="135" t="s">
        <v>530</v>
      </c>
      <c r="AC101" s="238">
        <v>37</v>
      </c>
      <c r="AD101" s="238">
        <v>7.77</v>
      </c>
      <c r="AE101" s="238">
        <v>44.77</v>
      </c>
    </row>
    <row r="102" spans="3:31">
      <c r="C102" s="135">
        <v>1380</v>
      </c>
      <c r="D102" s="237">
        <v>44535</v>
      </c>
      <c r="E102" s="135" t="s">
        <v>1521</v>
      </c>
      <c r="F102" s="135" t="s">
        <v>525</v>
      </c>
      <c r="G102" s="238">
        <v>6</v>
      </c>
      <c r="H102" s="238">
        <v>1.26</v>
      </c>
      <c r="I102" s="238">
        <v>7.26</v>
      </c>
      <c r="K102" s="135">
        <v>1409</v>
      </c>
      <c r="L102" s="237">
        <v>44566</v>
      </c>
      <c r="M102" s="135" t="s">
        <v>1520</v>
      </c>
      <c r="N102" s="135" t="s">
        <v>520</v>
      </c>
      <c r="O102" s="238">
        <v>300</v>
      </c>
      <c r="P102" s="238">
        <v>63</v>
      </c>
      <c r="Q102" s="238">
        <v>363</v>
      </c>
      <c r="R102" s="135">
        <f>COUNTIF(Tabla12[FACTURA],Tabla12[[#This Row],[FACTURA]])</f>
        <v>1</v>
      </c>
      <c r="S102" s="237">
        <v>44472</v>
      </c>
      <c r="T102" s="135"/>
      <c r="U102" s="135" t="s">
        <v>534</v>
      </c>
      <c r="V102" s="238">
        <v>13</v>
      </c>
      <c r="W102" s="238">
        <v>2.73</v>
      </c>
      <c r="X102" s="238">
        <v>15.73</v>
      </c>
      <c r="Z102" s="237">
        <v>44472</v>
      </c>
      <c r="AA102" s="135" t="str">
        <f t="shared" si="10"/>
        <v>Ana</v>
      </c>
      <c r="AB102" s="135" t="s">
        <v>534</v>
      </c>
      <c r="AC102" s="238">
        <v>13</v>
      </c>
      <c r="AD102" s="238">
        <v>2.73</v>
      </c>
      <c r="AE102" s="238">
        <v>15.73</v>
      </c>
    </row>
    <row r="103" spans="3:31">
      <c r="C103" s="135">
        <v>1381</v>
      </c>
      <c r="D103" s="237">
        <v>44537</v>
      </c>
      <c r="E103" s="135" t="s">
        <v>459</v>
      </c>
      <c r="F103" s="135" t="s">
        <v>520</v>
      </c>
      <c r="G103" s="238">
        <v>834</v>
      </c>
      <c r="H103" s="238">
        <v>175.14</v>
      </c>
      <c r="I103" s="238">
        <v>1009.14</v>
      </c>
      <c r="K103" s="135">
        <v>1410</v>
      </c>
      <c r="L103" s="237">
        <v>44569</v>
      </c>
      <c r="M103" s="135" t="s">
        <v>459</v>
      </c>
      <c r="N103" s="135" t="s">
        <v>530</v>
      </c>
      <c r="O103" s="238">
        <v>41</v>
      </c>
      <c r="P103" s="238">
        <v>8.61</v>
      </c>
      <c r="Q103" s="238">
        <v>49.61</v>
      </c>
      <c r="R103" s="135">
        <f>COUNTIF(Tabla12[FACTURA],Tabla12[[#This Row],[FACTURA]])</f>
        <v>1</v>
      </c>
      <c r="S103" s="237">
        <v>44472</v>
      </c>
      <c r="T103" s="135"/>
      <c r="U103" s="135" t="s">
        <v>534</v>
      </c>
      <c r="V103" s="135" t="s">
        <v>1524</v>
      </c>
      <c r="W103" s="135" t="s">
        <v>1525</v>
      </c>
      <c r="X103" s="135" t="s">
        <v>1526</v>
      </c>
      <c r="Z103" s="237">
        <v>44472</v>
      </c>
      <c r="AA103" s="135" t="str">
        <f t="shared" si="10"/>
        <v>Ana</v>
      </c>
      <c r="AB103" s="135" t="s">
        <v>534</v>
      </c>
      <c r="AC103" s="135" t="s">
        <v>1524</v>
      </c>
      <c r="AD103" s="135" t="s">
        <v>1525</v>
      </c>
      <c r="AE103" s="135" t="s">
        <v>1526</v>
      </c>
    </row>
    <row r="104" spans="3:31">
      <c r="C104" s="135"/>
      <c r="D104" s="135"/>
      <c r="E104" s="135"/>
      <c r="F104" s="135"/>
      <c r="G104" s="135"/>
      <c r="H104" s="135"/>
      <c r="I104" s="135"/>
      <c r="K104" s="135">
        <v>1411</v>
      </c>
      <c r="L104" s="237">
        <v>44569</v>
      </c>
      <c r="M104" s="135" t="s">
        <v>1521</v>
      </c>
      <c r="N104" s="135" t="s">
        <v>534</v>
      </c>
      <c r="O104" s="238">
        <v>9</v>
      </c>
      <c r="P104" s="238">
        <v>1.89</v>
      </c>
      <c r="Q104" s="238">
        <v>10.89</v>
      </c>
      <c r="R104" s="135">
        <f>COUNTIF(Tabla12[FACTURA],Tabla12[[#This Row],[FACTURA]])</f>
        <v>1</v>
      </c>
      <c r="S104" s="237">
        <v>44472</v>
      </c>
      <c r="T104" s="135"/>
      <c r="U104" s="135" t="s">
        <v>530</v>
      </c>
      <c r="V104" s="238">
        <v>32</v>
      </c>
      <c r="W104" s="238">
        <v>6.72</v>
      </c>
      <c r="X104" s="238">
        <v>38.72</v>
      </c>
      <c r="Z104" s="237">
        <v>44472</v>
      </c>
      <c r="AA104" s="135" t="str">
        <f t="shared" si="10"/>
        <v>Ana</v>
      </c>
      <c r="AB104" s="135" t="s">
        <v>530</v>
      </c>
      <c r="AC104" s="238">
        <v>32</v>
      </c>
      <c r="AD104" s="238">
        <v>6.72</v>
      </c>
      <c r="AE104" s="238">
        <v>38.72</v>
      </c>
    </row>
    <row r="105" spans="3:31">
      <c r="C105" s="135">
        <v>1382</v>
      </c>
      <c r="D105" s="237">
        <v>44538</v>
      </c>
      <c r="E105" s="135" t="s">
        <v>1521</v>
      </c>
      <c r="F105" s="135" t="s">
        <v>530</v>
      </c>
      <c r="G105" s="238">
        <v>15</v>
      </c>
      <c r="H105" s="238">
        <v>3.15</v>
      </c>
      <c r="I105" s="238">
        <v>18.149999999999999</v>
      </c>
      <c r="K105" s="135">
        <v>1412</v>
      </c>
      <c r="L105" s="237">
        <v>44571</v>
      </c>
      <c r="M105" s="135" t="s">
        <v>1520</v>
      </c>
      <c r="N105" s="135" t="s">
        <v>534</v>
      </c>
      <c r="O105" s="238">
        <v>7</v>
      </c>
      <c r="P105" s="238">
        <v>1.47</v>
      </c>
      <c r="Q105" s="238">
        <v>8.4700000000000006</v>
      </c>
      <c r="R105" s="135">
        <f>COUNTIF(Tabla12[FACTURA],Tabla12[[#This Row],[FACTURA]])</f>
        <v>1</v>
      </c>
      <c r="S105" s="237">
        <v>44472</v>
      </c>
      <c r="T105" s="135"/>
      <c r="U105" s="135" t="s">
        <v>534</v>
      </c>
      <c r="V105" s="238">
        <v>9</v>
      </c>
      <c r="W105" s="238">
        <v>1.89</v>
      </c>
      <c r="X105" s="238">
        <v>10.89</v>
      </c>
      <c r="Z105" s="237">
        <v>44472</v>
      </c>
      <c r="AA105" s="135" t="str">
        <f t="shared" si="10"/>
        <v>Ana</v>
      </c>
      <c r="AB105" s="135" t="s">
        <v>534</v>
      </c>
      <c r="AC105" s="238">
        <v>9</v>
      </c>
      <c r="AD105" s="238">
        <v>1.89</v>
      </c>
      <c r="AE105" s="238">
        <v>10.89</v>
      </c>
    </row>
    <row r="106" spans="3:31">
      <c r="C106" s="135">
        <v>1383</v>
      </c>
      <c r="D106" s="237">
        <v>44539</v>
      </c>
      <c r="E106" s="135" t="s">
        <v>1521</v>
      </c>
      <c r="F106" s="135" t="s">
        <v>534</v>
      </c>
      <c r="G106" s="238">
        <v>7</v>
      </c>
      <c r="H106" s="238">
        <v>1.47</v>
      </c>
      <c r="I106" s="238">
        <v>8.4700000000000006</v>
      </c>
      <c r="K106" s="135">
        <v>1413</v>
      </c>
      <c r="L106" s="237">
        <v>44572</v>
      </c>
      <c r="M106" s="135" t="s">
        <v>1520</v>
      </c>
      <c r="N106" s="135" t="s">
        <v>520</v>
      </c>
      <c r="O106" s="238">
        <v>616</v>
      </c>
      <c r="P106" s="238">
        <v>129.36000000000001</v>
      </c>
      <c r="Q106" s="238">
        <v>745.36</v>
      </c>
      <c r="R106" s="135">
        <f>COUNTIF(Tabla12[FACTURA],Tabla12[[#This Row],[FACTURA]])</f>
        <v>1</v>
      </c>
      <c r="S106" s="237">
        <v>44472</v>
      </c>
      <c r="T106" s="135"/>
      <c r="U106" s="135" t="s">
        <v>520</v>
      </c>
      <c r="V106" s="135" t="s">
        <v>1524</v>
      </c>
      <c r="W106" s="135" t="s">
        <v>1525</v>
      </c>
      <c r="X106" s="135" t="s">
        <v>1526</v>
      </c>
      <c r="Z106" s="237">
        <v>44472</v>
      </c>
      <c r="AA106" s="135" t="str">
        <f t="shared" si="10"/>
        <v>Ana</v>
      </c>
      <c r="AB106" s="135" t="s">
        <v>520</v>
      </c>
      <c r="AC106" s="135" t="s">
        <v>1524</v>
      </c>
      <c r="AD106" s="135" t="s">
        <v>1525</v>
      </c>
      <c r="AE106" s="135" t="s">
        <v>1526</v>
      </c>
    </row>
    <row r="107" spans="3:31">
      <c r="C107" s="135">
        <v>1384</v>
      </c>
      <c r="D107" s="237">
        <v>44540</v>
      </c>
      <c r="E107" s="135" t="s">
        <v>459</v>
      </c>
      <c r="F107" s="135" t="s">
        <v>534</v>
      </c>
      <c r="G107" s="238">
        <v>6</v>
      </c>
      <c r="H107" s="238">
        <v>1.26</v>
      </c>
      <c r="I107" s="238">
        <v>7.26</v>
      </c>
      <c r="K107" s="135">
        <v>1414</v>
      </c>
      <c r="L107" s="237">
        <v>44572</v>
      </c>
      <c r="M107" s="135" t="s">
        <v>406</v>
      </c>
      <c r="N107" s="135" t="s">
        <v>534</v>
      </c>
      <c r="O107" s="238">
        <v>7</v>
      </c>
      <c r="P107" s="238">
        <v>1.47</v>
      </c>
      <c r="Q107" s="238">
        <v>8.4700000000000006</v>
      </c>
      <c r="R107" s="135">
        <f>COUNTIF(Tabla12[FACTURA],Tabla12[[#This Row],[FACTURA]])</f>
        <v>1</v>
      </c>
      <c r="S107" s="237">
        <v>44472</v>
      </c>
      <c r="T107" s="135"/>
      <c r="U107" s="135" t="s">
        <v>534</v>
      </c>
      <c r="V107" s="238">
        <v>20</v>
      </c>
      <c r="W107" s="238">
        <v>4.2</v>
      </c>
      <c r="X107" s="238">
        <v>24.2</v>
      </c>
      <c r="Z107" s="237">
        <v>44472</v>
      </c>
      <c r="AA107" s="135" t="str">
        <f t="shared" si="10"/>
        <v>Ana</v>
      </c>
      <c r="AB107" s="135" t="s">
        <v>534</v>
      </c>
      <c r="AC107" s="238">
        <v>20</v>
      </c>
      <c r="AD107" s="238">
        <v>4.2</v>
      </c>
      <c r="AE107" s="238">
        <v>24.2</v>
      </c>
    </row>
    <row r="108" spans="3:31">
      <c r="C108" s="135"/>
      <c r="D108" s="135"/>
      <c r="E108" s="135"/>
      <c r="F108" s="135"/>
      <c r="G108" s="135"/>
      <c r="H108" s="135"/>
      <c r="I108" s="135"/>
      <c r="K108" s="135">
        <v>1415</v>
      </c>
      <c r="L108" s="237"/>
      <c r="M108" s="135"/>
      <c r="N108" s="135"/>
      <c r="O108" s="238"/>
      <c r="P108" s="238"/>
      <c r="Q108" s="238"/>
      <c r="R108" s="135">
        <f>COUNTIF(Tabla12[FACTURA],Tabla12[[#This Row],[FACTURA]])</f>
        <v>1</v>
      </c>
      <c r="S108" s="237">
        <v>44472</v>
      </c>
      <c r="T108" s="135"/>
      <c r="U108" s="135" t="s">
        <v>520</v>
      </c>
      <c r="V108" s="238">
        <v>605</v>
      </c>
      <c r="W108" s="238">
        <v>127.05</v>
      </c>
      <c r="X108" s="238">
        <v>732.05</v>
      </c>
      <c r="Z108" s="237">
        <v>44472</v>
      </c>
      <c r="AA108" s="135" t="str">
        <f t="shared" si="10"/>
        <v>Ana</v>
      </c>
      <c r="AB108" s="135" t="s">
        <v>520</v>
      </c>
      <c r="AC108" s="238">
        <v>605</v>
      </c>
      <c r="AD108" s="238">
        <v>127.05</v>
      </c>
      <c r="AE108" s="238">
        <v>732.05</v>
      </c>
    </row>
    <row r="109" spans="3:31">
      <c r="C109" s="135">
        <v>1385</v>
      </c>
      <c r="D109" s="237">
        <v>44542</v>
      </c>
      <c r="E109" s="135" t="s">
        <v>1521</v>
      </c>
      <c r="F109" s="135" t="s">
        <v>530</v>
      </c>
      <c r="G109" s="238">
        <v>13</v>
      </c>
      <c r="H109" s="238">
        <v>2.73</v>
      </c>
      <c r="I109" s="238">
        <v>15.73</v>
      </c>
      <c r="K109" s="135"/>
      <c r="L109" s="237"/>
      <c r="M109" s="135"/>
      <c r="N109" s="135"/>
      <c r="O109" s="238"/>
      <c r="P109" s="238"/>
      <c r="Q109" s="238"/>
      <c r="R109" s="135">
        <f>COUNTIF(Tabla12[FACTURA],Tabla12[[#This Row],[FACTURA]])</f>
        <v>0</v>
      </c>
      <c r="S109" s="237">
        <v>44472</v>
      </c>
      <c r="T109" s="135" t="s">
        <v>1521</v>
      </c>
      <c r="U109" s="135" t="s">
        <v>534</v>
      </c>
      <c r="V109" s="238">
        <v>19</v>
      </c>
      <c r="W109" s="238">
        <v>3.99</v>
      </c>
      <c r="X109" s="238">
        <v>22.99</v>
      </c>
      <c r="Z109" s="237">
        <v>44472</v>
      </c>
      <c r="AA109" s="135" t="s">
        <v>1521</v>
      </c>
      <c r="AB109" s="135" t="s">
        <v>534</v>
      </c>
      <c r="AC109" s="238">
        <v>19</v>
      </c>
      <c r="AD109" s="238">
        <v>3.99</v>
      </c>
      <c r="AE109" s="238">
        <v>22.99</v>
      </c>
    </row>
    <row r="110" spans="3:31">
      <c r="C110" s="135">
        <v>1386</v>
      </c>
      <c r="D110" s="237">
        <v>44543</v>
      </c>
      <c r="E110" s="135" t="s">
        <v>1520</v>
      </c>
      <c r="F110" s="135" t="s">
        <v>530</v>
      </c>
      <c r="G110" s="238">
        <v>17</v>
      </c>
      <c r="H110" s="238">
        <v>3.57</v>
      </c>
      <c r="I110" s="238">
        <v>20.57</v>
      </c>
      <c r="K110" s="135"/>
      <c r="L110" s="237"/>
      <c r="M110" s="135"/>
      <c r="N110" s="135"/>
      <c r="O110" s="238"/>
      <c r="P110" s="238"/>
      <c r="Q110" s="238"/>
      <c r="R110" s="135">
        <f>COUNTIF(Tabla12[FACTURA],Tabla12[[#This Row],[FACTURA]])</f>
        <v>0</v>
      </c>
      <c r="S110" s="237">
        <v>44472</v>
      </c>
      <c r="T110" s="135"/>
      <c r="U110" s="135" t="s">
        <v>530</v>
      </c>
      <c r="V110" s="238">
        <v>39</v>
      </c>
      <c r="W110" s="238">
        <v>8.19</v>
      </c>
      <c r="X110" s="238">
        <v>47.19</v>
      </c>
      <c r="Z110" s="237">
        <v>44472</v>
      </c>
      <c r="AA110" s="135" t="str">
        <f t="shared" ref="AA110:AA116" si="11">AA109</f>
        <v>Mario</v>
      </c>
      <c r="AB110" s="135" t="s">
        <v>530</v>
      </c>
      <c r="AC110" s="238">
        <v>39</v>
      </c>
      <c r="AD110" s="238">
        <v>8.19</v>
      </c>
      <c r="AE110" s="238">
        <v>47.19</v>
      </c>
    </row>
    <row r="111" spans="3:31">
      <c r="C111" s="135">
        <v>1387</v>
      </c>
      <c r="D111" s="237">
        <v>44545</v>
      </c>
      <c r="E111" s="135" t="s">
        <v>1521</v>
      </c>
      <c r="F111" s="135" t="s">
        <v>534</v>
      </c>
      <c r="G111" s="238">
        <v>6</v>
      </c>
      <c r="H111" s="238">
        <v>1.26</v>
      </c>
      <c r="I111" s="238">
        <v>7.26</v>
      </c>
      <c r="K111" s="135"/>
      <c r="L111" s="237"/>
      <c r="M111" s="135"/>
      <c r="N111" s="135"/>
      <c r="O111" s="238"/>
      <c r="P111" s="238"/>
      <c r="Q111" s="238"/>
      <c r="R111" s="135">
        <f>COUNTIF(Tabla12[FACTURA],Tabla12[[#This Row],[FACTURA]])</f>
        <v>0</v>
      </c>
      <c r="S111" s="237">
        <v>44472</v>
      </c>
      <c r="T111" s="135"/>
      <c r="U111" s="135" t="s">
        <v>518</v>
      </c>
      <c r="V111" s="238">
        <v>58</v>
      </c>
      <c r="W111" s="238">
        <v>12.18</v>
      </c>
      <c r="X111" s="238">
        <v>70.180000000000007</v>
      </c>
      <c r="Z111" s="237">
        <v>44472</v>
      </c>
      <c r="AA111" s="135" t="str">
        <f t="shared" si="11"/>
        <v>Mario</v>
      </c>
      <c r="AB111" s="135" t="s">
        <v>518</v>
      </c>
      <c r="AC111" s="238">
        <v>58</v>
      </c>
      <c r="AD111" s="238">
        <v>12.18</v>
      </c>
      <c r="AE111" s="238">
        <v>70.180000000000007</v>
      </c>
    </row>
    <row r="112" spans="3:31">
      <c r="C112" s="135"/>
      <c r="D112" s="135"/>
      <c r="E112" s="135"/>
      <c r="F112" s="135"/>
      <c r="G112" s="135"/>
      <c r="H112" s="135"/>
      <c r="I112" s="135"/>
      <c r="K112" s="265" t="s">
        <v>1537</v>
      </c>
      <c r="L112" s="265"/>
      <c r="M112" s="265"/>
      <c r="N112" s="265"/>
      <c r="O112" s="265"/>
      <c r="P112" s="265"/>
      <c r="Q112" s="265"/>
      <c r="R112" s="265"/>
      <c r="S112" s="237">
        <v>44472</v>
      </c>
      <c r="T112" s="135"/>
      <c r="U112" s="135" t="s">
        <v>518</v>
      </c>
      <c r="V112" s="238">
        <v>52</v>
      </c>
      <c r="W112" s="238">
        <v>10.92</v>
      </c>
      <c r="X112" s="238">
        <v>62.92</v>
      </c>
      <c r="Z112" s="237">
        <v>44472</v>
      </c>
      <c r="AA112" s="135" t="str">
        <f t="shared" si="11"/>
        <v>Mario</v>
      </c>
      <c r="AB112" s="135" t="s">
        <v>518</v>
      </c>
      <c r="AC112" s="238">
        <v>52</v>
      </c>
      <c r="AD112" s="238">
        <v>10.92</v>
      </c>
      <c r="AE112" s="238">
        <v>62.92</v>
      </c>
    </row>
    <row r="113" spans="3:31">
      <c r="C113" s="135">
        <v>1388</v>
      </c>
      <c r="D113" s="237">
        <v>44546</v>
      </c>
      <c r="E113" s="135" t="s">
        <v>459</v>
      </c>
      <c r="F113" s="135" t="s">
        <v>530</v>
      </c>
      <c r="G113" s="238">
        <v>20</v>
      </c>
      <c r="H113" s="238">
        <v>4.2</v>
      </c>
      <c r="I113" s="238">
        <v>24.2</v>
      </c>
      <c r="K113" s="265"/>
      <c r="L113" s="265"/>
      <c r="M113" s="265"/>
      <c r="N113" s="265"/>
      <c r="O113" s="265"/>
      <c r="P113" s="265"/>
      <c r="Q113" s="265"/>
      <c r="R113" s="265"/>
      <c r="S113" s="237">
        <v>44472</v>
      </c>
      <c r="T113" s="135"/>
      <c r="U113" s="135" t="s">
        <v>525</v>
      </c>
      <c r="V113" s="238">
        <v>15</v>
      </c>
      <c r="W113" s="238">
        <v>3.15</v>
      </c>
      <c r="X113" s="238">
        <v>18.149999999999999</v>
      </c>
      <c r="Z113" s="237">
        <v>44472</v>
      </c>
      <c r="AA113" s="135" t="str">
        <f t="shared" si="11"/>
        <v>Mario</v>
      </c>
      <c r="AB113" s="135" t="s">
        <v>525</v>
      </c>
      <c r="AC113" s="238">
        <v>15</v>
      </c>
      <c r="AD113" s="238">
        <v>3.15</v>
      </c>
      <c r="AE113" s="238">
        <v>18.149999999999999</v>
      </c>
    </row>
    <row r="114" spans="3:31">
      <c r="C114" s="135">
        <v>1389</v>
      </c>
      <c r="D114" s="237">
        <v>44549</v>
      </c>
      <c r="E114" s="135" t="s">
        <v>1522</v>
      </c>
      <c r="F114" s="135" t="s">
        <v>530</v>
      </c>
      <c r="G114" s="238">
        <v>27</v>
      </c>
      <c r="H114" s="238">
        <v>5.67</v>
      </c>
      <c r="I114" s="238">
        <v>32.67</v>
      </c>
      <c r="S114" s="237">
        <v>44472</v>
      </c>
      <c r="T114" s="135"/>
      <c r="U114" s="135" t="s">
        <v>525</v>
      </c>
      <c r="V114" s="135" t="s">
        <v>1524</v>
      </c>
      <c r="W114" s="135" t="s">
        <v>1525</v>
      </c>
      <c r="X114" s="135" t="s">
        <v>1526</v>
      </c>
      <c r="Z114" s="237">
        <v>44472</v>
      </c>
      <c r="AA114" s="135" t="str">
        <f t="shared" si="11"/>
        <v>Mario</v>
      </c>
      <c r="AB114" s="135" t="s">
        <v>525</v>
      </c>
      <c r="AC114" s="135" t="s">
        <v>1524</v>
      </c>
      <c r="AD114" s="135" t="s">
        <v>1525</v>
      </c>
      <c r="AE114" s="135" t="s">
        <v>1526</v>
      </c>
    </row>
    <row r="115" spans="3:31">
      <c r="C115" s="135">
        <v>1390</v>
      </c>
      <c r="D115" s="237">
        <v>44549</v>
      </c>
      <c r="E115" s="135" t="s">
        <v>1521</v>
      </c>
      <c r="F115" s="135" t="s">
        <v>520</v>
      </c>
      <c r="G115" s="238">
        <v>236</v>
      </c>
      <c r="H115" s="238">
        <v>49.56</v>
      </c>
      <c r="I115" s="238">
        <v>285.56</v>
      </c>
      <c r="S115" s="237">
        <v>44472</v>
      </c>
      <c r="T115" s="135"/>
      <c r="U115" s="135" t="s">
        <v>534</v>
      </c>
      <c r="V115" s="135" t="s">
        <v>1524</v>
      </c>
      <c r="W115" s="135" t="s">
        <v>1525</v>
      </c>
      <c r="X115" s="135" t="s">
        <v>1526</v>
      </c>
      <c r="Z115" s="237">
        <v>44472</v>
      </c>
      <c r="AA115" s="135" t="str">
        <f t="shared" si="11"/>
        <v>Mario</v>
      </c>
      <c r="AB115" s="135" t="s">
        <v>534</v>
      </c>
      <c r="AC115" s="135" t="s">
        <v>1524</v>
      </c>
      <c r="AD115" s="135" t="s">
        <v>1525</v>
      </c>
      <c r="AE115" s="135" t="s">
        <v>1526</v>
      </c>
    </row>
    <row r="116" spans="3:31">
      <c r="C116" s="135"/>
      <c r="D116" s="135"/>
      <c r="E116" s="135"/>
      <c r="F116" s="135"/>
      <c r="G116" s="135"/>
      <c r="H116" s="135"/>
      <c r="I116" s="135"/>
      <c r="S116" s="237">
        <v>44472</v>
      </c>
      <c r="T116" s="135"/>
      <c r="U116" s="135" t="s">
        <v>534</v>
      </c>
      <c r="V116" s="238">
        <v>18</v>
      </c>
      <c r="W116" s="238">
        <v>3.78</v>
      </c>
      <c r="X116" s="238">
        <v>21.78</v>
      </c>
      <c r="Z116" s="237">
        <v>44472</v>
      </c>
      <c r="AA116" s="135" t="str">
        <f t="shared" si="11"/>
        <v>Mario</v>
      </c>
      <c r="AB116" s="135" t="s">
        <v>534</v>
      </c>
      <c r="AC116" s="238">
        <v>18</v>
      </c>
      <c r="AD116" s="238">
        <v>3.78</v>
      </c>
      <c r="AE116" s="238">
        <v>21.78</v>
      </c>
    </row>
    <row r="117" spans="3:31">
      <c r="C117" s="135">
        <v>1391</v>
      </c>
      <c r="D117" s="237">
        <v>44549</v>
      </c>
      <c r="E117" s="135" t="s">
        <v>406</v>
      </c>
      <c r="F117" s="135" t="s">
        <v>518</v>
      </c>
      <c r="G117" s="238">
        <v>81</v>
      </c>
      <c r="H117" s="238">
        <v>17.010000000000002</v>
      </c>
      <c r="I117" s="238">
        <v>98.01</v>
      </c>
      <c r="S117" s="237">
        <v>44472</v>
      </c>
      <c r="T117" s="135" t="s">
        <v>406</v>
      </c>
      <c r="U117" s="135" t="s">
        <v>525</v>
      </c>
      <c r="V117" s="238">
        <v>19</v>
      </c>
      <c r="W117" s="238">
        <v>3.99</v>
      </c>
      <c r="X117" s="238">
        <v>22.99</v>
      </c>
      <c r="Z117" s="237">
        <v>44472</v>
      </c>
      <c r="AA117" s="135" t="s">
        <v>406</v>
      </c>
      <c r="AB117" s="135" t="s">
        <v>525</v>
      </c>
      <c r="AC117" s="238">
        <v>19</v>
      </c>
      <c r="AD117" s="238">
        <v>3.99</v>
      </c>
      <c r="AE117" s="238">
        <v>22.99</v>
      </c>
    </row>
    <row r="118" spans="3:31">
      <c r="C118" s="135">
        <v>1392</v>
      </c>
      <c r="D118" s="237">
        <v>44550</v>
      </c>
      <c r="E118" s="135" t="s">
        <v>406</v>
      </c>
      <c r="F118" s="135" t="s">
        <v>520</v>
      </c>
      <c r="G118" s="238">
        <v>304</v>
      </c>
      <c r="H118" s="238">
        <v>63.84</v>
      </c>
      <c r="I118" s="238">
        <v>367.84</v>
      </c>
      <c r="S118" s="237">
        <v>44472</v>
      </c>
      <c r="T118" s="135"/>
      <c r="U118" s="135" t="s">
        <v>530</v>
      </c>
      <c r="V118" s="238">
        <v>26</v>
      </c>
      <c r="W118" s="238">
        <v>5.46</v>
      </c>
      <c r="X118" s="238">
        <v>31.46</v>
      </c>
      <c r="Z118" s="237">
        <v>44472</v>
      </c>
      <c r="AA118" s="135" t="str">
        <f t="shared" ref="AA118:AA127" si="12">AA117</f>
        <v>Luis</v>
      </c>
      <c r="AB118" s="135" t="s">
        <v>530</v>
      </c>
      <c r="AC118" s="238">
        <v>26</v>
      </c>
      <c r="AD118" s="238">
        <v>5.46</v>
      </c>
      <c r="AE118" s="238">
        <v>31.46</v>
      </c>
    </row>
    <row r="119" spans="3:31">
      <c r="C119" s="135">
        <v>1393</v>
      </c>
      <c r="D119" s="237">
        <v>44550</v>
      </c>
      <c r="E119" s="135" t="s">
        <v>459</v>
      </c>
      <c r="F119" s="135" t="s">
        <v>525</v>
      </c>
      <c r="G119" s="238">
        <v>9</v>
      </c>
      <c r="H119" s="238">
        <v>1.89</v>
      </c>
      <c r="I119" s="238">
        <v>10.89</v>
      </c>
      <c r="S119" s="237">
        <v>44472</v>
      </c>
      <c r="T119" s="135"/>
      <c r="U119" s="135" t="s">
        <v>534</v>
      </c>
      <c r="V119" s="238">
        <v>17</v>
      </c>
      <c r="W119" s="238">
        <v>3.57</v>
      </c>
      <c r="X119" s="238">
        <v>20.57</v>
      </c>
      <c r="Z119" s="237">
        <v>44472</v>
      </c>
      <c r="AA119" s="135" t="str">
        <f t="shared" si="12"/>
        <v>Luis</v>
      </c>
      <c r="AB119" s="135" t="s">
        <v>534</v>
      </c>
      <c r="AC119" s="238">
        <v>17</v>
      </c>
      <c r="AD119" s="238">
        <v>3.57</v>
      </c>
      <c r="AE119" s="238">
        <v>20.57</v>
      </c>
    </row>
    <row r="120" spans="3:31">
      <c r="C120" s="135">
        <v>1394</v>
      </c>
      <c r="D120" s="237">
        <v>44550</v>
      </c>
      <c r="E120" s="135" t="s">
        <v>1521</v>
      </c>
      <c r="F120" s="135" t="s">
        <v>525</v>
      </c>
      <c r="G120" s="238">
        <v>8</v>
      </c>
      <c r="H120" s="238">
        <v>1.68</v>
      </c>
      <c r="I120" s="238">
        <v>9.68</v>
      </c>
      <c r="S120" s="237">
        <v>44472</v>
      </c>
      <c r="T120" s="135"/>
      <c r="U120" s="135" t="s">
        <v>518</v>
      </c>
      <c r="V120" s="238">
        <v>161</v>
      </c>
      <c r="W120" s="238">
        <v>33.81</v>
      </c>
      <c r="X120" s="238">
        <v>194.81</v>
      </c>
      <c r="Z120" s="237">
        <v>44472</v>
      </c>
      <c r="AA120" s="135" t="str">
        <f t="shared" si="12"/>
        <v>Luis</v>
      </c>
      <c r="AB120" s="135" t="s">
        <v>518</v>
      </c>
      <c r="AC120" s="238">
        <v>161</v>
      </c>
      <c r="AD120" s="238">
        <v>33.81</v>
      </c>
      <c r="AE120" s="238">
        <v>194.81</v>
      </c>
    </row>
    <row r="121" spans="3:31">
      <c r="C121" s="135">
        <v>1395</v>
      </c>
      <c r="D121" s="237">
        <v>44552</v>
      </c>
      <c r="E121" s="135" t="s">
        <v>1520</v>
      </c>
      <c r="F121" s="135" t="s">
        <v>518</v>
      </c>
      <c r="G121" s="238">
        <v>31</v>
      </c>
      <c r="H121" s="238">
        <v>6.51</v>
      </c>
      <c r="I121" s="238">
        <v>37.51</v>
      </c>
      <c r="S121" s="237">
        <v>44472</v>
      </c>
      <c r="T121" s="135"/>
      <c r="U121" s="135" t="s">
        <v>518</v>
      </c>
      <c r="V121" s="135" t="s">
        <v>1524</v>
      </c>
      <c r="W121" s="135" t="s">
        <v>1525</v>
      </c>
      <c r="X121" s="135" t="s">
        <v>1526</v>
      </c>
      <c r="Z121" s="237">
        <v>44472</v>
      </c>
      <c r="AA121" s="135" t="str">
        <f t="shared" si="12"/>
        <v>Luis</v>
      </c>
      <c r="AB121" s="135" t="s">
        <v>518</v>
      </c>
      <c r="AC121" s="135" t="s">
        <v>1524</v>
      </c>
      <c r="AD121" s="135" t="s">
        <v>1525</v>
      </c>
      <c r="AE121" s="135" t="s">
        <v>1526</v>
      </c>
    </row>
    <row r="122" spans="3:31">
      <c r="C122" s="135"/>
      <c r="D122" s="135"/>
      <c r="E122" s="135"/>
      <c r="F122" s="135"/>
      <c r="G122" s="135"/>
      <c r="H122" s="135"/>
      <c r="I122" s="135"/>
      <c r="S122" s="237">
        <v>44472</v>
      </c>
      <c r="T122" s="135"/>
      <c r="U122" s="135" t="s">
        <v>525</v>
      </c>
      <c r="V122" s="238">
        <v>31</v>
      </c>
      <c r="W122" s="238">
        <v>6.51</v>
      </c>
      <c r="X122" s="238">
        <v>37.51</v>
      </c>
      <c r="Z122" s="237">
        <v>44472</v>
      </c>
      <c r="AA122" s="135" t="str">
        <f t="shared" si="12"/>
        <v>Luis</v>
      </c>
      <c r="AB122" s="135" t="s">
        <v>525</v>
      </c>
      <c r="AC122" s="238">
        <v>31</v>
      </c>
      <c r="AD122" s="238">
        <v>6.51</v>
      </c>
      <c r="AE122" s="238">
        <v>37.51</v>
      </c>
    </row>
    <row r="123" spans="3:31">
      <c r="C123" s="135"/>
      <c r="D123" s="135"/>
      <c r="E123" s="135"/>
      <c r="F123" s="135"/>
      <c r="G123" s="135"/>
      <c r="H123" s="135"/>
      <c r="I123" s="135"/>
      <c r="S123" s="237">
        <v>44472</v>
      </c>
      <c r="T123" s="135"/>
      <c r="U123" s="135" t="s">
        <v>530</v>
      </c>
      <c r="V123" s="238">
        <v>23</v>
      </c>
      <c r="W123" s="238">
        <v>4.83</v>
      </c>
      <c r="X123" s="238">
        <v>27.83</v>
      </c>
      <c r="Z123" s="237">
        <v>44472</v>
      </c>
      <c r="AA123" s="135" t="str">
        <f t="shared" si="12"/>
        <v>Luis</v>
      </c>
      <c r="AB123" s="135" t="s">
        <v>530</v>
      </c>
      <c r="AC123" s="238">
        <v>23</v>
      </c>
      <c r="AD123" s="238">
        <v>4.83</v>
      </c>
      <c r="AE123" s="238">
        <v>27.83</v>
      </c>
    </row>
    <row r="124" spans="3:31">
      <c r="C124" s="135"/>
      <c r="D124" s="135"/>
      <c r="E124" s="135"/>
      <c r="F124" s="135"/>
      <c r="G124" s="135"/>
      <c r="H124" s="135"/>
      <c r="I124" s="135"/>
      <c r="S124" s="237">
        <v>44472</v>
      </c>
      <c r="T124" s="135"/>
      <c r="U124" s="135" t="s">
        <v>525</v>
      </c>
      <c r="V124" s="238">
        <v>14</v>
      </c>
      <c r="W124" s="238">
        <v>2.94</v>
      </c>
      <c r="X124" s="238">
        <v>16.940000000000001</v>
      </c>
      <c r="Z124" s="237">
        <v>44472</v>
      </c>
      <c r="AA124" s="135" t="str">
        <f t="shared" si="12"/>
        <v>Luis</v>
      </c>
      <c r="AB124" s="135" t="s">
        <v>525</v>
      </c>
      <c r="AC124" s="238">
        <v>14</v>
      </c>
      <c r="AD124" s="238">
        <v>2.94</v>
      </c>
      <c r="AE124" s="238">
        <v>16.940000000000001</v>
      </c>
    </row>
    <row r="125" spans="3:31">
      <c r="C125" s="135"/>
      <c r="D125" s="135"/>
      <c r="E125" s="135"/>
      <c r="F125" s="135"/>
      <c r="G125" s="135"/>
      <c r="H125" s="135"/>
      <c r="I125" s="135"/>
      <c r="S125" s="237">
        <v>44472</v>
      </c>
      <c r="T125" s="135"/>
      <c r="U125" s="135" t="s">
        <v>534</v>
      </c>
      <c r="V125" s="238">
        <v>5</v>
      </c>
      <c r="W125" s="238">
        <v>1.05</v>
      </c>
      <c r="X125" s="238">
        <v>6.05</v>
      </c>
      <c r="Z125" s="237">
        <v>44472</v>
      </c>
      <c r="AA125" s="135" t="str">
        <f t="shared" si="12"/>
        <v>Luis</v>
      </c>
      <c r="AB125" s="135" t="s">
        <v>534</v>
      </c>
      <c r="AC125" s="238">
        <v>5</v>
      </c>
      <c r="AD125" s="238">
        <v>1.05</v>
      </c>
      <c r="AE125" s="238">
        <v>6.05</v>
      </c>
    </row>
    <row r="126" spans="3:31">
      <c r="C126" s="135"/>
      <c r="D126" s="135"/>
      <c r="E126" s="135"/>
      <c r="F126" s="135"/>
      <c r="G126" s="135"/>
      <c r="H126" s="135"/>
      <c r="I126" s="135"/>
      <c r="S126" s="237">
        <v>44472</v>
      </c>
      <c r="T126" s="135"/>
      <c r="U126" s="135" t="s">
        <v>530</v>
      </c>
      <c r="V126" s="135" t="s">
        <v>1524</v>
      </c>
      <c r="W126" s="135" t="s">
        <v>1525</v>
      </c>
      <c r="X126" s="135" t="s">
        <v>1526</v>
      </c>
      <c r="Z126" s="237">
        <v>44472</v>
      </c>
      <c r="AA126" s="135" t="str">
        <f t="shared" si="12"/>
        <v>Luis</v>
      </c>
      <c r="AB126" s="135" t="s">
        <v>530</v>
      </c>
      <c r="AC126" s="135" t="s">
        <v>1524</v>
      </c>
      <c r="AD126" s="135" t="s">
        <v>1525</v>
      </c>
      <c r="AE126" s="135" t="s">
        <v>1526</v>
      </c>
    </row>
    <row r="127" spans="3:31">
      <c r="C127" s="135"/>
      <c r="D127" s="135"/>
      <c r="E127" s="135"/>
      <c r="F127" s="135"/>
      <c r="G127" s="135"/>
      <c r="H127" s="135"/>
      <c r="I127" s="135"/>
      <c r="S127" s="237">
        <v>44472</v>
      </c>
      <c r="T127" s="135"/>
      <c r="U127" s="135" t="s">
        <v>525</v>
      </c>
      <c r="V127" s="135" t="s">
        <v>1524</v>
      </c>
      <c r="W127" s="135" t="s">
        <v>1525</v>
      </c>
      <c r="X127" s="135" t="s">
        <v>1526</v>
      </c>
      <c r="Z127" s="237">
        <v>44472</v>
      </c>
      <c r="AA127" s="135" t="str">
        <f t="shared" si="12"/>
        <v>Luis</v>
      </c>
      <c r="AB127" s="135" t="s">
        <v>525</v>
      </c>
      <c r="AC127" s="135" t="s">
        <v>1524</v>
      </c>
      <c r="AD127" s="135" t="s">
        <v>1525</v>
      </c>
      <c r="AE127" s="135" t="s">
        <v>1526</v>
      </c>
    </row>
    <row r="128" spans="3:31">
      <c r="C128" s="135">
        <v>1396</v>
      </c>
      <c r="D128" s="237">
        <v>44552</v>
      </c>
      <c r="E128" s="135" t="s">
        <v>1520</v>
      </c>
      <c r="F128" s="135" t="s">
        <v>525</v>
      </c>
      <c r="G128" s="238">
        <v>25</v>
      </c>
      <c r="H128" s="238">
        <v>5.25</v>
      </c>
      <c r="I128" s="238">
        <v>30.25</v>
      </c>
      <c r="S128" s="237">
        <v>44472</v>
      </c>
      <c r="T128" s="135" t="s">
        <v>459</v>
      </c>
      <c r="U128" s="135" t="s">
        <v>520</v>
      </c>
      <c r="V128" s="238">
        <v>716</v>
      </c>
      <c r="W128" s="238">
        <v>150.36000000000001</v>
      </c>
      <c r="X128" s="238">
        <v>866.36</v>
      </c>
      <c r="Z128" s="237">
        <v>44472</v>
      </c>
      <c r="AA128" s="135" t="s">
        <v>459</v>
      </c>
      <c r="AB128" s="135" t="s">
        <v>520</v>
      </c>
      <c r="AC128" s="238">
        <v>716</v>
      </c>
      <c r="AD128" s="238">
        <v>150.36000000000001</v>
      </c>
      <c r="AE128" s="238">
        <v>866.36</v>
      </c>
    </row>
    <row r="129" spans="3:31">
      <c r="C129" s="135">
        <v>1397</v>
      </c>
      <c r="D129" s="237">
        <v>44557</v>
      </c>
      <c r="E129" s="135" t="s">
        <v>1522</v>
      </c>
      <c r="F129" s="135" t="s">
        <v>520</v>
      </c>
      <c r="G129" s="238">
        <v>936</v>
      </c>
      <c r="H129" s="238">
        <v>196.56</v>
      </c>
      <c r="I129" s="238">
        <v>1132.56</v>
      </c>
      <c r="S129" s="237">
        <v>44472</v>
      </c>
      <c r="T129" s="135"/>
      <c r="U129" s="135" t="s">
        <v>530</v>
      </c>
      <c r="V129" s="238">
        <v>39</v>
      </c>
      <c r="W129" s="238">
        <v>8.19</v>
      </c>
      <c r="X129" s="238">
        <v>47.19</v>
      </c>
      <c r="Z129" s="237">
        <v>44472</v>
      </c>
      <c r="AA129" s="135" t="str">
        <f t="shared" ref="AA129:AA138" si="13">AA128</f>
        <v>Pablo</v>
      </c>
      <c r="AB129" s="135" t="s">
        <v>530</v>
      </c>
      <c r="AC129" s="238">
        <v>39</v>
      </c>
      <c r="AD129" s="238">
        <v>8.19</v>
      </c>
      <c r="AE129" s="238">
        <v>47.19</v>
      </c>
    </row>
    <row r="130" spans="3:31">
      <c r="C130" s="135">
        <v>1398</v>
      </c>
      <c r="D130" s="237">
        <v>44558</v>
      </c>
      <c r="E130" s="135" t="s">
        <v>1522</v>
      </c>
      <c r="F130" s="135" t="s">
        <v>518</v>
      </c>
      <c r="G130" s="238">
        <v>50</v>
      </c>
      <c r="H130" s="238">
        <v>10.5</v>
      </c>
      <c r="I130" s="238">
        <v>60.5</v>
      </c>
      <c r="S130" s="237">
        <v>44472</v>
      </c>
      <c r="T130" s="135"/>
      <c r="U130" s="135" t="s">
        <v>518</v>
      </c>
      <c r="V130" s="238">
        <v>32</v>
      </c>
      <c r="W130" s="238">
        <v>6.72</v>
      </c>
      <c r="X130" s="238">
        <v>38.72</v>
      </c>
      <c r="Z130" s="237">
        <v>44472</v>
      </c>
      <c r="AA130" s="135" t="str">
        <f t="shared" si="13"/>
        <v>Pablo</v>
      </c>
      <c r="AB130" s="135" t="s">
        <v>518</v>
      </c>
      <c r="AC130" s="238">
        <v>32</v>
      </c>
      <c r="AD130" s="238">
        <v>6.72</v>
      </c>
      <c r="AE130" s="238">
        <v>38.72</v>
      </c>
    </row>
    <row r="131" spans="3:31">
      <c r="C131" s="135"/>
      <c r="D131" s="135"/>
      <c r="E131" s="135"/>
      <c r="F131" s="135"/>
      <c r="G131" s="135"/>
      <c r="H131" s="135"/>
      <c r="I131" s="135"/>
      <c r="S131" s="237">
        <v>44472</v>
      </c>
      <c r="T131" s="135"/>
      <c r="U131" s="135" t="s">
        <v>525</v>
      </c>
      <c r="V131" s="238">
        <v>30</v>
      </c>
      <c r="W131" s="238">
        <v>6.3</v>
      </c>
      <c r="X131" s="238">
        <v>36.299999999999997</v>
      </c>
      <c r="Z131" s="237">
        <v>44472</v>
      </c>
      <c r="AA131" s="135" t="str">
        <f t="shared" si="13"/>
        <v>Pablo</v>
      </c>
      <c r="AB131" s="135" t="s">
        <v>525</v>
      </c>
      <c r="AC131" s="238">
        <v>30</v>
      </c>
      <c r="AD131" s="238">
        <v>6.3</v>
      </c>
      <c r="AE131" s="238">
        <v>36.299999999999997</v>
      </c>
    </row>
    <row r="132" spans="3:31">
      <c r="C132" s="135">
        <v>1399</v>
      </c>
      <c r="D132" s="237">
        <v>44559</v>
      </c>
      <c r="E132" s="135" t="s">
        <v>1522</v>
      </c>
      <c r="F132" s="135" t="s">
        <v>525</v>
      </c>
      <c r="G132" s="238">
        <v>7</v>
      </c>
      <c r="H132" s="238">
        <v>1.47</v>
      </c>
      <c r="I132" s="238">
        <v>8.4700000000000006</v>
      </c>
      <c r="S132" s="237">
        <v>44472</v>
      </c>
      <c r="T132" s="135"/>
      <c r="U132" s="135" t="s">
        <v>530</v>
      </c>
      <c r="V132" s="238">
        <v>33</v>
      </c>
      <c r="W132" s="238">
        <v>6.93</v>
      </c>
      <c r="X132" s="238">
        <v>39.93</v>
      </c>
      <c r="Z132" s="237">
        <v>44472</v>
      </c>
      <c r="AA132" s="135" t="str">
        <f t="shared" si="13"/>
        <v>Pablo</v>
      </c>
      <c r="AB132" s="135" t="s">
        <v>530</v>
      </c>
      <c r="AC132" s="238">
        <v>33</v>
      </c>
      <c r="AD132" s="238">
        <v>6.93</v>
      </c>
      <c r="AE132" s="238">
        <v>39.93</v>
      </c>
    </row>
    <row r="133" spans="3:31">
      <c r="C133" s="135">
        <v>1400</v>
      </c>
      <c r="D133" s="237">
        <v>44559</v>
      </c>
      <c r="E133" s="135" t="s">
        <v>1520</v>
      </c>
      <c r="F133" s="135" t="s">
        <v>534</v>
      </c>
      <c r="G133" s="238">
        <v>8</v>
      </c>
      <c r="H133" s="238">
        <v>1.68</v>
      </c>
      <c r="I133" s="238">
        <v>9.68</v>
      </c>
      <c r="S133" s="237">
        <v>44472</v>
      </c>
      <c r="T133" s="135"/>
      <c r="U133" s="135" t="s">
        <v>534</v>
      </c>
      <c r="V133" s="135" t="s">
        <v>1524</v>
      </c>
      <c r="W133" s="135" t="s">
        <v>1525</v>
      </c>
      <c r="X133" s="135" t="s">
        <v>1526</v>
      </c>
      <c r="Z133" s="237">
        <v>44472</v>
      </c>
      <c r="AA133" s="135" t="str">
        <f t="shared" si="13"/>
        <v>Pablo</v>
      </c>
      <c r="AB133" s="135" t="s">
        <v>534</v>
      </c>
      <c r="AC133" s="135" t="s">
        <v>1524</v>
      </c>
      <c r="AD133" s="135" t="s">
        <v>1525</v>
      </c>
      <c r="AE133" s="135" t="s">
        <v>1526</v>
      </c>
    </row>
    <row r="134" spans="3:31">
      <c r="C134" s="135">
        <v>1401</v>
      </c>
      <c r="D134" s="237">
        <v>44560</v>
      </c>
      <c r="E134" s="135" t="s">
        <v>459</v>
      </c>
      <c r="F134" s="135" t="s">
        <v>520</v>
      </c>
      <c r="G134" s="238">
        <v>894</v>
      </c>
      <c r="H134" s="238">
        <v>187.74</v>
      </c>
      <c r="I134" s="238">
        <v>1081.74</v>
      </c>
      <c r="S134" s="237">
        <v>44472</v>
      </c>
      <c r="T134" s="135"/>
      <c r="U134" s="135" t="s">
        <v>534</v>
      </c>
      <c r="V134" s="238">
        <v>11</v>
      </c>
      <c r="W134" s="238">
        <v>2.31</v>
      </c>
      <c r="X134" s="238">
        <v>13.31</v>
      </c>
      <c r="Z134" s="237">
        <v>44472</v>
      </c>
      <c r="AA134" s="135" t="str">
        <f t="shared" si="13"/>
        <v>Pablo</v>
      </c>
      <c r="AB134" s="135" t="s">
        <v>534</v>
      </c>
      <c r="AC134" s="238">
        <v>11</v>
      </c>
      <c r="AD134" s="238">
        <v>2.31</v>
      </c>
      <c r="AE134" s="238">
        <v>13.31</v>
      </c>
    </row>
    <row r="135" spans="3:31">
      <c r="C135" s="135">
        <v>1402</v>
      </c>
      <c r="D135" s="237">
        <v>44561</v>
      </c>
      <c r="E135" s="135" t="s">
        <v>1521</v>
      </c>
      <c r="F135" s="135" t="s">
        <v>530</v>
      </c>
      <c r="G135" s="238">
        <v>10</v>
      </c>
      <c r="H135" s="238">
        <v>2.1</v>
      </c>
      <c r="I135" s="238">
        <v>12.1</v>
      </c>
      <c r="S135" s="237">
        <v>44472</v>
      </c>
      <c r="T135" s="135"/>
      <c r="U135" s="135" t="s">
        <v>534</v>
      </c>
      <c r="V135" s="238">
        <v>5</v>
      </c>
      <c r="W135" s="238">
        <v>1.05</v>
      </c>
      <c r="X135" s="238">
        <v>6.05</v>
      </c>
      <c r="Z135" s="237">
        <v>44472</v>
      </c>
      <c r="AA135" s="135" t="str">
        <f t="shared" si="13"/>
        <v>Pablo</v>
      </c>
      <c r="AB135" s="135" t="s">
        <v>534</v>
      </c>
      <c r="AC135" s="238">
        <v>5</v>
      </c>
      <c r="AD135" s="238">
        <v>1.05</v>
      </c>
      <c r="AE135" s="238">
        <v>6.05</v>
      </c>
    </row>
    <row r="136" spans="3:31">
      <c r="C136" s="135">
        <v>1403</v>
      </c>
      <c r="D136" s="237">
        <v>44562</v>
      </c>
      <c r="E136" s="135" t="s">
        <v>459</v>
      </c>
      <c r="F136" s="135" t="s">
        <v>520</v>
      </c>
      <c r="G136" s="238">
        <v>465</v>
      </c>
      <c r="H136" s="238">
        <v>97.65</v>
      </c>
      <c r="I136" s="238">
        <v>562.65</v>
      </c>
      <c r="S136" s="237">
        <v>44472</v>
      </c>
      <c r="T136" s="135"/>
      <c r="U136" s="135" t="s">
        <v>534</v>
      </c>
      <c r="V136" s="238">
        <v>4</v>
      </c>
      <c r="W136" s="238">
        <v>0.84</v>
      </c>
      <c r="X136" s="238">
        <v>4.84</v>
      </c>
      <c r="Z136" s="237">
        <v>44472</v>
      </c>
      <c r="AA136" s="135" t="str">
        <f t="shared" si="13"/>
        <v>Pablo</v>
      </c>
      <c r="AB136" s="135" t="s">
        <v>534</v>
      </c>
      <c r="AC136" s="238">
        <v>4</v>
      </c>
      <c r="AD136" s="238">
        <v>0.84</v>
      </c>
      <c r="AE136" s="238">
        <v>4.84</v>
      </c>
    </row>
    <row r="137" spans="3:31">
      <c r="C137" s="135"/>
      <c r="D137" s="135"/>
      <c r="E137" s="135"/>
      <c r="F137" s="135"/>
      <c r="G137" s="135"/>
      <c r="H137" s="135"/>
      <c r="I137" s="135"/>
      <c r="S137" s="237">
        <v>44472</v>
      </c>
      <c r="T137" s="135"/>
      <c r="U137" s="135" t="s">
        <v>530</v>
      </c>
      <c r="V137" s="238">
        <v>34</v>
      </c>
      <c r="W137" s="238">
        <v>7.14</v>
      </c>
      <c r="X137" s="238">
        <v>41.14</v>
      </c>
      <c r="Z137" s="237">
        <v>44472</v>
      </c>
      <c r="AA137" s="135" t="str">
        <f t="shared" si="13"/>
        <v>Pablo</v>
      </c>
      <c r="AB137" s="135" t="s">
        <v>530</v>
      </c>
      <c r="AC137" s="238">
        <v>34</v>
      </c>
      <c r="AD137" s="238">
        <v>7.14</v>
      </c>
      <c r="AE137" s="238">
        <v>41.14</v>
      </c>
    </row>
    <row r="138" spans="3:31">
      <c r="C138" s="135">
        <v>1404</v>
      </c>
      <c r="D138" s="237">
        <v>44563</v>
      </c>
      <c r="E138" s="135" t="s">
        <v>459</v>
      </c>
      <c r="F138" s="135" t="s">
        <v>525</v>
      </c>
      <c r="G138" s="238">
        <v>49</v>
      </c>
      <c r="H138" s="238">
        <v>10.29</v>
      </c>
      <c r="I138" s="238">
        <v>59.29</v>
      </c>
      <c r="S138" s="237">
        <v>44472</v>
      </c>
      <c r="T138" s="135"/>
      <c r="U138" s="135" t="s">
        <v>520</v>
      </c>
      <c r="V138" s="238">
        <v>722</v>
      </c>
      <c r="W138" s="238">
        <v>151.62</v>
      </c>
      <c r="X138" s="238">
        <v>873.62</v>
      </c>
      <c r="Z138" s="237">
        <v>44472</v>
      </c>
      <c r="AA138" s="135" t="str">
        <f t="shared" si="13"/>
        <v>Pablo</v>
      </c>
      <c r="AB138" s="135" t="s">
        <v>520</v>
      </c>
      <c r="AC138" s="238">
        <v>722</v>
      </c>
      <c r="AD138" s="238">
        <v>151.62</v>
      </c>
      <c r="AE138" s="238">
        <v>873.62</v>
      </c>
    </row>
    <row r="139" spans="3:31">
      <c r="C139" s="135">
        <v>1405</v>
      </c>
      <c r="D139" s="237">
        <v>44564</v>
      </c>
      <c r="E139" s="135" t="s">
        <v>459</v>
      </c>
      <c r="F139" s="135" t="s">
        <v>530</v>
      </c>
      <c r="G139" s="238">
        <v>15</v>
      </c>
      <c r="H139" s="238">
        <v>3.15</v>
      </c>
      <c r="I139" s="238">
        <v>18.149999999999999</v>
      </c>
      <c r="S139" s="237">
        <v>44472</v>
      </c>
      <c r="T139" s="135" t="s">
        <v>1522</v>
      </c>
      <c r="U139" s="135" t="s">
        <v>520</v>
      </c>
      <c r="V139" s="238">
        <v>707</v>
      </c>
      <c r="W139" s="238">
        <v>148.47</v>
      </c>
      <c r="X139" s="238">
        <v>855.47</v>
      </c>
      <c r="Z139" s="237">
        <v>44472</v>
      </c>
      <c r="AA139" s="135" t="s">
        <v>1522</v>
      </c>
      <c r="AB139" s="135" t="s">
        <v>520</v>
      </c>
      <c r="AC139" s="238">
        <v>707</v>
      </c>
      <c r="AD139" s="238">
        <v>148.47</v>
      </c>
      <c r="AE139" s="238">
        <v>855.47</v>
      </c>
    </row>
    <row r="140" spans="3:31">
      <c r="C140" s="135">
        <v>1406</v>
      </c>
      <c r="D140" s="237">
        <v>44564</v>
      </c>
      <c r="E140" s="135" t="s">
        <v>459</v>
      </c>
      <c r="F140" s="135" t="s">
        <v>534</v>
      </c>
      <c r="G140" s="238">
        <v>8</v>
      </c>
      <c r="H140" s="238">
        <v>1.68</v>
      </c>
      <c r="I140" s="238">
        <v>9.68</v>
      </c>
      <c r="S140" s="237">
        <v>44472</v>
      </c>
      <c r="T140" s="135"/>
      <c r="U140" s="135" t="s">
        <v>534</v>
      </c>
      <c r="V140" s="238">
        <v>12</v>
      </c>
      <c r="W140" s="238">
        <v>2.52</v>
      </c>
      <c r="X140" s="238">
        <v>14.52</v>
      </c>
      <c r="Z140" s="237">
        <v>44472</v>
      </c>
      <c r="AA140" s="135" t="str">
        <f t="shared" ref="AA140:AA148" si="14">AA139</f>
        <v>Maria</v>
      </c>
      <c r="AB140" s="135" t="s">
        <v>534</v>
      </c>
      <c r="AC140" s="238">
        <v>12</v>
      </c>
      <c r="AD140" s="238">
        <v>2.52</v>
      </c>
      <c r="AE140" s="238">
        <v>14.52</v>
      </c>
    </row>
    <row r="141" spans="3:31">
      <c r="C141" s="135"/>
      <c r="D141" s="135"/>
      <c r="E141" s="135"/>
      <c r="F141" s="135"/>
      <c r="G141" s="135"/>
      <c r="H141" s="135"/>
      <c r="I141" s="135"/>
      <c r="S141" s="237">
        <v>44472</v>
      </c>
      <c r="T141" s="135"/>
      <c r="U141" s="135" t="s">
        <v>518</v>
      </c>
      <c r="V141" s="238">
        <v>68</v>
      </c>
      <c r="W141" s="238">
        <v>14.28</v>
      </c>
      <c r="X141" s="238">
        <v>82.28</v>
      </c>
      <c r="Z141" s="237">
        <v>44472</v>
      </c>
      <c r="AA141" s="135" t="str">
        <f t="shared" si="14"/>
        <v>Maria</v>
      </c>
      <c r="AB141" s="135" t="s">
        <v>518</v>
      </c>
      <c r="AC141" s="238">
        <v>68</v>
      </c>
      <c r="AD141" s="238">
        <v>14.28</v>
      </c>
      <c r="AE141" s="238">
        <v>82.28</v>
      </c>
    </row>
    <row r="142" spans="3:31">
      <c r="C142" s="135">
        <v>1407</v>
      </c>
      <c r="D142" s="237">
        <v>44564</v>
      </c>
      <c r="E142" s="135" t="s">
        <v>406</v>
      </c>
      <c r="F142" s="135" t="s">
        <v>520</v>
      </c>
      <c r="G142" s="238">
        <v>329</v>
      </c>
      <c r="H142" s="238">
        <v>69.09</v>
      </c>
      <c r="I142" s="238">
        <v>398.09</v>
      </c>
      <c r="S142" s="237">
        <v>44472</v>
      </c>
      <c r="T142" s="135"/>
      <c r="U142" s="135" t="s">
        <v>534</v>
      </c>
      <c r="V142" s="135" t="s">
        <v>1524</v>
      </c>
      <c r="W142" s="135" t="s">
        <v>1525</v>
      </c>
      <c r="X142" s="135" t="s">
        <v>1526</v>
      </c>
      <c r="Z142" s="237">
        <v>44472</v>
      </c>
      <c r="AA142" s="135" t="str">
        <f t="shared" si="14"/>
        <v>Maria</v>
      </c>
      <c r="AB142" s="135" t="s">
        <v>534</v>
      </c>
      <c r="AC142" s="135" t="s">
        <v>1524</v>
      </c>
      <c r="AD142" s="135" t="s">
        <v>1525</v>
      </c>
      <c r="AE142" s="135" t="s">
        <v>1526</v>
      </c>
    </row>
    <row r="143" spans="3:31">
      <c r="C143" s="135">
        <v>1408</v>
      </c>
      <c r="D143" s="237">
        <v>44565</v>
      </c>
      <c r="E143" s="135" t="s">
        <v>1522</v>
      </c>
      <c r="F143" s="135" t="s">
        <v>534</v>
      </c>
      <c r="G143" s="238">
        <v>9</v>
      </c>
      <c r="H143" s="238">
        <v>1.89</v>
      </c>
      <c r="I143" s="238">
        <v>10.89</v>
      </c>
      <c r="S143" s="237">
        <v>44472</v>
      </c>
      <c r="T143" s="135"/>
      <c r="U143" s="135" t="s">
        <v>530</v>
      </c>
      <c r="V143" s="238">
        <v>27</v>
      </c>
      <c r="W143" s="238">
        <v>5.67</v>
      </c>
      <c r="X143" s="238">
        <v>32.67</v>
      </c>
      <c r="Z143" s="237">
        <v>44472</v>
      </c>
      <c r="AA143" s="135" t="str">
        <f t="shared" si="14"/>
        <v>Maria</v>
      </c>
      <c r="AB143" s="135" t="s">
        <v>530</v>
      </c>
      <c r="AC143" s="238">
        <v>27</v>
      </c>
      <c r="AD143" s="238">
        <v>5.67</v>
      </c>
      <c r="AE143" s="238">
        <v>32.67</v>
      </c>
    </row>
    <row r="144" spans="3:31">
      <c r="C144" s="135">
        <v>1409</v>
      </c>
      <c r="D144" s="237">
        <v>44566</v>
      </c>
      <c r="E144" s="135" t="s">
        <v>1520</v>
      </c>
      <c r="F144" s="135" t="s">
        <v>520</v>
      </c>
      <c r="G144" s="238">
        <v>300</v>
      </c>
      <c r="H144" s="238">
        <v>63</v>
      </c>
      <c r="I144" s="238">
        <v>363</v>
      </c>
      <c r="S144" s="237">
        <v>44472</v>
      </c>
      <c r="T144" s="135"/>
      <c r="U144" s="135" t="s">
        <v>518</v>
      </c>
      <c r="V144" s="238">
        <v>32</v>
      </c>
      <c r="W144" s="238">
        <v>6.72</v>
      </c>
      <c r="X144" s="238">
        <v>38.72</v>
      </c>
      <c r="Z144" s="237">
        <v>44472</v>
      </c>
      <c r="AA144" s="135" t="str">
        <f t="shared" si="14"/>
        <v>Maria</v>
      </c>
      <c r="AB144" s="135" t="s">
        <v>518</v>
      </c>
      <c r="AC144" s="238">
        <v>32</v>
      </c>
      <c r="AD144" s="238">
        <v>6.72</v>
      </c>
      <c r="AE144" s="238">
        <v>38.72</v>
      </c>
    </row>
    <row r="145" spans="3:31">
      <c r="C145" s="135">
        <v>1410</v>
      </c>
      <c r="D145" s="237">
        <v>44569</v>
      </c>
      <c r="E145" s="135" t="s">
        <v>459</v>
      </c>
      <c r="F145" s="135" t="s">
        <v>530</v>
      </c>
      <c r="G145" s="238">
        <v>41</v>
      </c>
      <c r="H145" s="238">
        <v>8.61</v>
      </c>
      <c r="I145" s="238">
        <v>49.61</v>
      </c>
      <c r="S145" s="237">
        <v>44472</v>
      </c>
      <c r="T145" s="135"/>
      <c r="U145" s="135" t="s">
        <v>525</v>
      </c>
      <c r="V145" s="238">
        <v>22</v>
      </c>
      <c r="W145" s="238">
        <v>4.62</v>
      </c>
      <c r="X145" s="238">
        <v>26.62</v>
      </c>
      <c r="Z145" s="237">
        <v>44472</v>
      </c>
      <c r="AA145" s="135" t="str">
        <f t="shared" si="14"/>
        <v>Maria</v>
      </c>
      <c r="AB145" s="135" t="s">
        <v>525</v>
      </c>
      <c r="AC145" s="238">
        <v>22</v>
      </c>
      <c r="AD145" s="238">
        <v>4.62</v>
      </c>
      <c r="AE145" s="238">
        <v>26.62</v>
      </c>
    </row>
    <row r="146" spans="3:31">
      <c r="C146" s="135"/>
      <c r="D146" s="135"/>
      <c r="E146" s="135"/>
      <c r="F146" s="135"/>
      <c r="G146" s="135"/>
      <c r="H146" s="135"/>
      <c r="I146" s="135"/>
      <c r="S146" s="237">
        <v>44472</v>
      </c>
      <c r="T146" s="135"/>
      <c r="U146" s="135" t="s">
        <v>518</v>
      </c>
      <c r="V146" s="238">
        <v>61</v>
      </c>
      <c r="W146" s="238">
        <v>12.81</v>
      </c>
      <c r="X146" s="238">
        <v>73.81</v>
      </c>
      <c r="Z146" s="237">
        <v>44472</v>
      </c>
      <c r="AA146" s="135" t="str">
        <f t="shared" si="14"/>
        <v>Maria</v>
      </c>
      <c r="AB146" s="135" t="s">
        <v>518</v>
      </c>
      <c r="AC146" s="238">
        <v>61</v>
      </c>
      <c r="AD146" s="238">
        <v>12.81</v>
      </c>
      <c r="AE146" s="238">
        <v>73.81</v>
      </c>
    </row>
    <row r="147" spans="3:31">
      <c r="C147" s="135"/>
      <c r="D147" s="135"/>
      <c r="E147" s="135"/>
      <c r="F147" s="135"/>
      <c r="G147" s="135"/>
      <c r="H147" s="135"/>
      <c r="I147" s="135"/>
      <c r="S147" s="237">
        <v>44472</v>
      </c>
      <c r="T147" s="135"/>
      <c r="U147" s="135" t="s">
        <v>520</v>
      </c>
      <c r="V147" s="238">
        <v>815</v>
      </c>
      <c r="W147" s="238">
        <v>171.15</v>
      </c>
      <c r="X147" s="238">
        <v>986.15</v>
      </c>
      <c r="Z147" s="237">
        <v>44472</v>
      </c>
      <c r="AA147" s="135" t="str">
        <f t="shared" si="14"/>
        <v>Maria</v>
      </c>
      <c r="AB147" s="135" t="s">
        <v>520</v>
      </c>
      <c r="AC147" s="238">
        <v>815</v>
      </c>
      <c r="AD147" s="238">
        <v>171.15</v>
      </c>
      <c r="AE147" s="238">
        <v>986.15</v>
      </c>
    </row>
    <row r="148" spans="3:31">
      <c r="C148" s="135"/>
      <c r="D148" s="135"/>
      <c r="E148" s="135"/>
      <c r="F148" s="135"/>
      <c r="G148" s="135"/>
      <c r="H148" s="135"/>
      <c r="I148" s="135"/>
      <c r="S148" s="237">
        <v>44472</v>
      </c>
      <c r="T148" s="135"/>
      <c r="U148" s="135" t="s">
        <v>525</v>
      </c>
      <c r="V148" s="238">
        <v>20</v>
      </c>
      <c r="W148" s="238">
        <v>4.2</v>
      </c>
      <c r="X148" s="238">
        <v>24.2</v>
      </c>
      <c r="Z148" s="237">
        <v>44472</v>
      </c>
      <c r="AA148" s="135" t="str">
        <f t="shared" si="14"/>
        <v>Maria</v>
      </c>
      <c r="AB148" s="135" t="s">
        <v>525</v>
      </c>
      <c r="AC148" s="238">
        <v>20</v>
      </c>
      <c r="AD148" s="238">
        <v>4.2</v>
      </c>
      <c r="AE148" s="238">
        <v>24.2</v>
      </c>
    </row>
    <row r="149" spans="3:31">
      <c r="C149" s="135"/>
      <c r="D149" s="135"/>
      <c r="E149" s="135"/>
      <c r="F149" s="135"/>
      <c r="G149" s="135"/>
      <c r="H149" s="135"/>
      <c r="I149" s="135"/>
      <c r="AE149" s="239">
        <f>SUM(AE2:AE148)</f>
        <v>16578.209999999995</v>
      </c>
    </row>
    <row r="150" spans="3:31">
      <c r="C150" s="135"/>
      <c r="D150" s="135"/>
      <c r="E150" s="135"/>
      <c r="F150" s="135"/>
      <c r="G150" s="135"/>
      <c r="H150" s="135"/>
      <c r="I150" s="135"/>
    </row>
    <row r="151" spans="3:31">
      <c r="C151" s="135"/>
      <c r="D151" s="135"/>
      <c r="E151" s="135"/>
      <c r="F151" s="135"/>
      <c r="G151" s="135"/>
      <c r="H151" s="135"/>
      <c r="I151" s="135"/>
    </row>
    <row r="152" spans="3:31">
      <c r="C152" s="135">
        <v>1411</v>
      </c>
      <c r="D152" s="237">
        <v>44569</v>
      </c>
      <c r="E152" s="135" t="s">
        <v>1521</v>
      </c>
      <c r="F152" s="135" t="s">
        <v>534</v>
      </c>
      <c r="G152" s="238">
        <v>9</v>
      </c>
      <c r="H152" s="238">
        <v>1.89</v>
      </c>
      <c r="I152" s="238">
        <v>10.89</v>
      </c>
    </row>
    <row r="153" spans="3:31">
      <c r="C153" s="135">
        <v>1412</v>
      </c>
      <c r="D153" s="237">
        <v>44571</v>
      </c>
      <c r="E153" s="135" t="s">
        <v>1520</v>
      </c>
      <c r="F153" s="135" t="s">
        <v>534</v>
      </c>
      <c r="G153" s="238">
        <v>7</v>
      </c>
      <c r="H153" s="238">
        <v>1.47</v>
      </c>
      <c r="I153" s="238">
        <v>8.4700000000000006</v>
      </c>
    </row>
    <row r="154" spans="3:31">
      <c r="C154" s="135">
        <v>1413</v>
      </c>
      <c r="D154" s="237">
        <v>44572</v>
      </c>
      <c r="E154" s="135" t="s">
        <v>1520</v>
      </c>
      <c r="F154" s="135" t="s">
        <v>520</v>
      </c>
      <c r="G154" s="238">
        <v>616</v>
      </c>
      <c r="H154" s="238">
        <v>129.36000000000001</v>
      </c>
      <c r="I154" s="238">
        <v>745.36</v>
      </c>
    </row>
    <row r="155" spans="3:31">
      <c r="C155" s="135">
        <v>1414</v>
      </c>
      <c r="D155" s="237">
        <v>44572</v>
      </c>
      <c r="E155" s="135" t="s">
        <v>406</v>
      </c>
      <c r="F155" s="135" t="s">
        <v>534</v>
      </c>
      <c r="G155" s="238">
        <v>7</v>
      </c>
      <c r="H155" s="238">
        <v>1.47</v>
      </c>
      <c r="I155" s="238">
        <v>8.4700000000000006</v>
      </c>
    </row>
    <row r="159" spans="3:31">
      <c r="D159" s="335" t="s">
        <v>1614</v>
      </c>
      <c r="E159" s="335"/>
      <c r="F159" s="335"/>
      <c r="G159" s="335"/>
      <c r="H159" s="335"/>
      <c r="I159" s="335"/>
      <c r="J159" s="335"/>
      <c r="K159" s="335"/>
      <c r="L159" s="335"/>
      <c r="M159" s="335"/>
    </row>
    <row r="160" spans="3:31">
      <c r="D160" s="335"/>
      <c r="E160" s="335"/>
      <c r="F160" s="335"/>
      <c r="G160" s="335"/>
      <c r="H160" s="335"/>
      <c r="I160" s="335"/>
      <c r="J160" s="335"/>
      <c r="K160" s="335"/>
      <c r="L160" s="335"/>
      <c r="M160" s="335"/>
    </row>
    <row r="161" spans="4:30">
      <c r="D161" s="335"/>
      <c r="E161" s="335"/>
      <c r="F161" s="335"/>
      <c r="G161" s="335"/>
      <c r="H161" s="335"/>
      <c r="I161" s="335"/>
      <c r="J161" s="335"/>
      <c r="K161" s="335"/>
      <c r="L161" s="335"/>
      <c r="M161" s="335"/>
    </row>
    <row r="162" spans="4:30">
      <c r="D162" s="335"/>
      <c r="E162" s="335"/>
      <c r="F162" s="335"/>
      <c r="G162" s="335"/>
      <c r="H162" s="335"/>
      <c r="I162" s="335"/>
      <c r="J162" s="335"/>
      <c r="K162" s="335"/>
      <c r="L162" s="335"/>
      <c r="M162" s="335"/>
    </row>
    <row r="163" spans="4:30">
      <c r="D163" s="335"/>
      <c r="E163" s="335"/>
      <c r="F163" s="335"/>
      <c r="G163" s="335"/>
      <c r="H163" s="335"/>
      <c r="I163" s="335"/>
      <c r="J163" s="335"/>
      <c r="K163" s="335"/>
      <c r="L163" s="335"/>
      <c r="M163" s="335"/>
    </row>
    <row r="164" spans="4:30">
      <c r="D164" s="335"/>
      <c r="E164" s="335"/>
      <c r="F164" s="335"/>
      <c r="G164" s="335"/>
      <c r="H164" s="335"/>
      <c r="I164" s="335"/>
      <c r="J164" s="335"/>
      <c r="K164" s="335"/>
      <c r="L164" s="335"/>
      <c r="M164" s="335"/>
    </row>
    <row r="165" spans="4:30">
      <c r="D165" s="335"/>
      <c r="E165" s="335"/>
      <c r="F165" s="335"/>
      <c r="G165" s="335"/>
      <c r="H165" s="335"/>
      <c r="I165" s="335"/>
      <c r="J165" s="335"/>
      <c r="K165" s="335"/>
      <c r="L165" s="335"/>
      <c r="M165" s="335"/>
    </row>
    <row r="166" spans="4:30">
      <c r="D166" s="335"/>
      <c r="E166" s="335"/>
      <c r="F166" s="335"/>
      <c r="G166" s="335"/>
      <c r="H166" s="335"/>
      <c r="I166" s="335"/>
      <c r="J166" s="335"/>
      <c r="K166" s="335"/>
      <c r="L166" s="335"/>
      <c r="M166" s="335"/>
    </row>
    <row r="167" spans="4:30">
      <c r="D167" s="335"/>
      <c r="E167" s="335"/>
      <c r="F167" s="335"/>
      <c r="G167" s="335"/>
      <c r="H167" s="335"/>
      <c r="I167" s="335"/>
      <c r="J167" s="335"/>
      <c r="K167" s="335"/>
      <c r="L167" s="335"/>
      <c r="M167" s="335"/>
    </row>
    <row r="168" spans="4:30">
      <c r="D168" s="335"/>
      <c r="E168" s="335"/>
      <c r="F168" s="335"/>
      <c r="G168" s="335"/>
      <c r="H168" s="335"/>
      <c r="I168" s="335"/>
      <c r="J168" s="335"/>
      <c r="K168" s="335"/>
      <c r="L168" s="335"/>
      <c r="M168" s="335"/>
    </row>
    <row r="169" spans="4:30">
      <c r="D169" s="335"/>
      <c r="E169" s="335"/>
      <c r="F169" s="335"/>
      <c r="G169" s="335"/>
      <c r="H169" s="335"/>
      <c r="I169" s="335"/>
      <c r="J169" s="335"/>
      <c r="K169" s="335"/>
      <c r="L169" s="335"/>
      <c r="M169" s="335"/>
    </row>
    <row r="170" spans="4:30">
      <c r="D170" s="335"/>
      <c r="E170" s="335"/>
      <c r="F170" s="335"/>
      <c r="G170" s="335"/>
      <c r="H170" s="335"/>
      <c r="I170" s="335"/>
      <c r="J170" s="335"/>
      <c r="K170" s="335"/>
      <c r="L170" s="335"/>
      <c r="M170" s="335"/>
    </row>
    <row r="173" spans="4:30">
      <c r="U173" s="344" t="s">
        <v>1614</v>
      </c>
      <c r="V173" s="343"/>
      <c r="W173" s="343"/>
      <c r="X173" s="343"/>
      <c r="Y173" s="343"/>
      <c r="Z173" s="343"/>
      <c r="AA173" s="343"/>
      <c r="AB173" s="343"/>
      <c r="AC173" s="343"/>
      <c r="AD173" s="343"/>
    </row>
    <row r="174" spans="4:30">
      <c r="D174" s="337" t="s">
        <v>1513</v>
      </c>
      <c r="E174" s="338" t="s">
        <v>1514</v>
      </c>
      <c r="F174" s="338" t="s">
        <v>1515</v>
      </c>
      <c r="G174" s="338" t="s">
        <v>1528</v>
      </c>
      <c r="H174" s="338" t="s">
        <v>1516</v>
      </c>
      <c r="I174" s="338" t="s">
        <v>205</v>
      </c>
      <c r="J174" s="338" t="s">
        <v>1611</v>
      </c>
      <c r="K174" s="338" t="s">
        <v>1612</v>
      </c>
      <c r="L174" s="338" t="s">
        <v>1613</v>
      </c>
      <c r="M174" s="339" t="s">
        <v>1545</v>
      </c>
      <c r="U174" s="343"/>
      <c r="V174" s="343"/>
      <c r="W174" s="343"/>
      <c r="X174" s="343"/>
      <c r="Y174" s="343"/>
      <c r="Z174" s="343"/>
      <c r="AA174" s="343"/>
      <c r="AB174" s="343"/>
      <c r="AC174" s="343"/>
      <c r="AD174" s="343"/>
    </row>
    <row r="175" spans="4:30">
      <c r="D175" s="226">
        <v>1001</v>
      </c>
      <c r="E175" s="224">
        <v>43831</v>
      </c>
      <c r="F175" s="207" t="s">
        <v>1530</v>
      </c>
      <c r="G175" s="207" t="s">
        <v>1494</v>
      </c>
      <c r="H175" s="207" t="s">
        <v>518</v>
      </c>
      <c r="I175" s="207">
        <v>9</v>
      </c>
      <c r="J175" s="334">
        <v>110</v>
      </c>
      <c r="K175" s="334">
        <v>990</v>
      </c>
      <c r="L175" s="334">
        <v>55</v>
      </c>
      <c r="M175" s="336">
        <v>495</v>
      </c>
    </row>
    <row r="176" spans="4:30">
      <c r="D176" s="226">
        <v>1002</v>
      </c>
      <c r="E176" s="224">
        <v>43832</v>
      </c>
      <c r="F176" s="207" t="s">
        <v>1531</v>
      </c>
      <c r="G176" s="207" t="s">
        <v>1494</v>
      </c>
      <c r="H176" s="207" t="s">
        <v>520</v>
      </c>
      <c r="I176" s="207">
        <v>1</v>
      </c>
      <c r="J176" s="334">
        <v>300</v>
      </c>
      <c r="K176" s="334">
        <v>300</v>
      </c>
      <c r="L176" s="334">
        <v>150</v>
      </c>
      <c r="M176" s="336">
        <v>150</v>
      </c>
    </row>
    <row r="177" spans="4:18">
      <c r="D177" s="226">
        <v>1003</v>
      </c>
      <c r="E177" s="224">
        <v>43833</v>
      </c>
      <c r="F177" s="207" t="s">
        <v>1532</v>
      </c>
      <c r="G177" s="207" t="s">
        <v>1497</v>
      </c>
      <c r="H177" s="207" t="s">
        <v>525</v>
      </c>
      <c r="I177" s="207">
        <v>8</v>
      </c>
      <c r="J177" s="334">
        <v>10</v>
      </c>
      <c r="K177" s="334">
        <v>80</v>
      </c>
      <c r="L177" s="334">
        <v>5</v>
      </c>
      <c r="M177" s="336">
        <v>40</v>
      </c>
      <c r="O177" s="168" t="s">
        <v>504</v>
      </c>
      <c r="P177" s="168" t="s">
        <v>409</v>
      </c>
    </row>
    <row r="178" spans="4:18">
      <c r="D178" s="226">
        <v>1004</v>
      </c>
      <c r="E178" s="224">
        <v>43833</v>
      </c>
      <c r="F178" s="207" t="s">
        <v>1532</v>
      </c>
      <c r="G178" s="207" t="s">
        <v>1497</v>
      </c>
      <c r="H178" s="207" t="s">
        <v>520</v>
      </c>
      <c r="I178" s="207">
        <v>1</v>
      </c>
      <c r="J178" s="334">
        <v>568.66999999999996</v>
      </c>
      <c r="K178" s="334">
        <v>568.66999999999996</v>
      </c>
      <c r="L178" s="334">
        <v>284.33</v>
      </c>
      <c r="M178" s="336">
        <v>284.33</v>
      </c>
      <c r="O178" s="168" t="s">
        <v>411</v>
      </c>
      <c r="P178" t="s">
        <v>1615</v>
      </c>
      <c r="Q178" t="s">
        <v>1616</v>
      </c>
      <c r="R178" t="s">
        <v>410</v>
      </c>
    </row>
    <row r="179" spans="4:18">
      <c r="D179" s="226">
        <v>1005</v>
      </c>
      <c r="E179" s="224">
        <v>43834</v>
      </c>
      <c r="F179" s="207" t="s">
        <v>1532</v>
      </c>
      <c r="G179" s="207" t="s">
        <v>1494</v>
      </c>
      <c r="H179" s="207" t="s">
        <v>530</v>
      </c>
      <c r="I179" s="207">
        <v>7</v>
      </c>
      <c r="J179" s="334">
        <v>35</v>
      </c>
      <c r="K179" s="334">
        <v>245</v>
      </c>
      <c r="L179" s="334">
        <v>17.5</v>
      </c>
      <c r="M179" s="336">
        <v>122.5</v>
      </c>
      <c r="O179" s="169" t="s">
        <v>1618</v>
      </c>
      <c r="P179" s="333">
        <v>4274.33</v>
      </c>
      <c r="Q179" s="333">
        <v>5024.3999999999996</v>
      </c>
      <c r="R179" s="333">
        <v>9298.73</v>
      </c>
    </row>
    <row r="180" spans="4:18">
      <c r="D180" s="226">
        <v>1006</v>
      </c>
      <c r="E180" s="224">
        <v>43834</v>
      </c>
      <c r="F180" s="207" t="s">
        <v>1532</v>
      </c>
      <c r="G180" s="207" t="s">
        <v>1499</v>
      </c>
      <c r="H180" s="207" t="s">
        <v>525</v>
      </c>
      <c r="I180" s="207">
        <v>6</v>
      </c>
      <c r="J180" s="334">
        <v>15</v>
      </c>
      <c r="K180" s="334">
        <v>90</v>
      </c>
      <c r="L180" s="334">
        <v>7.5</v>
      </c>
      <c r="M180" s="336">
        <v>45</v>
      </c>
      <c r="O180" s="169" t="s">
        <v>1619</v>
      </c>
      <c r="P180" s="333">
        <v>4049.77</v>
      </c>
      <c r="Q180" s="333">
        <v>4085.84</v>
      </c>
      <c r="R180" s="333">
        <v>8135.6100000000006</v>
      </c>
    </row>
    <row r="181" spans="4:18">
      <c r="D181" s="226">
        <v>1007</v>
      </c>
      <c r="E181" s="224">
        <v>43834</v>
      </c>
      <c r="F181" s="207" t="s">
        <v>1531</v>
      </c>
      <c r="G181" s="207" t="s">
        <v>1497</v>
      </c>
      <c r="H181" s="207" t="s">
        <v>520</v>
      </c>
      <c r="I181" s="207">
        <v>1</v>
      </c>
      <c r="J181" s="334">
        <v>562</v>
      </c>
      <c r="K181" s="334">
        <v>562</v>
      </c>
      <c r="L181" s="334">
        <v>281</v>
      </c>
      <c r="M181" s="336">
        <v>281</v>
      </c>
      <c r="O181" s="169" t="s">
        <v>1620</v>
      </c>
      <c r="P181" s="333">
        <v>3003.86</v>
      </c>
      <c r="Q181" s="333">
        <v>6944.51</v>
      </c>
      <c r="R181" s="333">
        <v>9948.3700000000008</v>
      </c>
    </row>
    <row r="182" spans="4:18">
      <c r="D182" s="226">
        <v>1008</v>
      </c>
      <c r="E182" s="224">
        <v>43836</v>
      </c>
      <c r="F182" s="207" t="s">
        <v>1533</v>
      </c>
      <c r="G182" s="207" t="s">
        <v>1497</v>
      </c>
      <c r="H182" s="207" t="s">
        <v>534</v>
      </c>
      <c r="I182" s="207">
        <v>10</v>
      </c>
      <c r="J182" s="334">
        <v>8</v>
      </c>
      <c r="K182" s="334">
        <v>80</v>
      </c>
      <c r="L182" s="334">
        <v>4</v>
      </c>
      <c r="M182" s="336">
        <v>40</v>
      </c>
      <c r="O182" s="169" t="s">
        <v>1621</v>
      </c>
      <c r="P182" s="333">
        <v>3720.05</v>
      </c>
      <c r="Q182" s="333">
        <v>4437.33</v>
      </c>
      <c r="R182" s="333">
        <v>8157.38</v>
      </c>
    </row>
    <row r="183" spans="4:18">
      <c r="D183" s="226">
        <v>1009</v>
      </c>
      <c r="E183" s="224">
        <v>43836</v>
      </c>
      <c r="F183" s="207" t="s">
        <v>1531</v>
      </c>
      <c r="G183" s="207" t="s">
        <v>1499</v>
      </c>
      <c r="H183" s="207" t="s">
        <v>525</v>
      </c>
      <c r="I183" s="207">
        <v>12</v>
      </c>
      <c r="J183" s="334">
        <v>17</v>
      </c>
      <c r="K183" s="334">
        <v>204</v>
      </c>
      <c r="L183" s="334">
        <v>8.5</v>
      </c>
      <c r="M183" s="336">
        <v>102</v>
      </c>
      <c r="O183" s="169" t="s">
        <v>1622</v>
      </c>
      <c r="P183" s="333">
        <v>3962.6899999999996</v>
      </c>
      <c r="Q183" s="333">
        <v>6420.03</v>
      </c>
      <c r="R183" s="333">
        <v>10382.719999999999</v>
      </c>
    </row>
    <row r="184" spans="4:18">
      <c r="D184" s="226">
        <v>1010</v>
      </c>
      <c r="E184" s="224">
        <v>43836</v>
      </c>
      <c r="F184" s="207" t="s">
        <v>1534</v>
      </c>
      <c r="G184" s="207" t="s">
        <v>1497</v>
      </c>
      <c r="H184" s="207" t="s">
        <v>518</v>
      </c>
      <c r="I184" s="207">
        <v>1</v>
      </c>
      <c r="J184" s="334">
        <v>47</v>
      </c>
      <c r="K184" s="334">
        <v>47</v>
      </c>
      <c r="L184" s="334">
        <v>23.5</v>
      </c>
      <c r="M184" s="336">
        <v>23.5</v>
      </c>
      <c r="O184" s="169" t="s">
        <v>1623</v>
      </c>
      <c r="P184" s="333">
        <v>2858.67</v>
      </c>
      <c r="Q184" s="333">
        <v>6788.25</v>
      </c>
      <c r="R184" s="333">
        <v>9646.92</v>
      </c>
    </row>
    <row r="185" spans="4:18">
      <c r="D185" s="226">
        <v>1011</v>
      </c>
      <c r="E185" s="224">
        <v>43836</v>
      </c>
      <c r="F185" s="207" t="s">
        <v>1532</v>
      </c>
      <c r="G185" s="207" t="s">
        <v>1502</v>
      </c>
      <c r="H185" s="207" t="s">
        <v>525</v>
      </c>
      <c r="I185" s="207">
        <v>13</v>
      </c>
      <c r="J185" s="334">
        <v>10</v>
      </c>
      <c r="K185" s="334">
        <v>130</v>
      </c>
      <c r="L185" s="334">
        <v>5</v>
      </c>
      <c r="M185" s="336">
        <v>65</v>
      </c>
      <c r="O185" s="169" t="s">
        <v>1624</v>
      </c>
      <c r="P185" s="333">
        <v>6393.8600000000006</v>
      </c>
      <c r="Q185" s="333">
        <v>10524.279999999999</v>
      </c>
      <c r="R185" s="333">
        <v>16918.14</v>
      </c>
    </row>
    <row r="186" spans="4:18">
      <c r="D186" s="226">
        <v>1012</v>
      </c>
      <c r="E186" s="224">
        <v>43837</v>
      </c>
      <c r="F186" s="207" t="s">
        <v>1532</v>
      </c>
      <c r="G186" s="207" t="s">
        <v>1502</v>
      </c>
      <c r="H186" s="207" t="s">
        <v>525</v>
      </c>
      <c r="I186" s="207">
        <v>5</v>
      </c>
      <c r="J186" s="334">
        <v>6</v>
      </c>
      <c r="K186" s="334">
        <v>30</v>
      </c>
      <c r="L186" s="334">
        <v>3</v>
      </c>
      <c r="M186" s="336">
        <v>15</v>
      </c>
      <c r="O186" s="169" t="s">
        <v>1625</v>
      </c>
      <c r="P186" s="333">
        <v>3401.67</v>
      </c>
      <c r="Q186" s="333">
        <v>12650</v>
      </c>
      <c r="R186" s="333">
        <v>16051.67</v>
      </c>
    </row>
    <row r="187" spans="4:18">
      <c r="D187" s="226">
        <v>1013</v>
      </c>
      <c r="E187" s="224">
        <v>43837</v>
      </c>
      <c r="F187" s="207" t="s">
        <v>1531</v>
      </c>
      <c r="G187" s="207" t="s">
        <v>1503</v>
      </c>
      <c r="H187" s="207" t="s">
        <v>534</v>
      </c>
      <c r="I187" s="207">
        <v>4</v>
      </c>
      <c r="J187" s="334">
        <v>6</v>
      </c>
      <c r="K187" s="334">
        <v>24</v>
      </c>
      <c r="L187" s="334">
        <v>3</v>
      </c>
      <c r="M187" s="336">
        <v>12</v>
      </c>
      <c r="O187" s="169" t="s">
        <v>1626</v>
      </c>
      <c r="P187" s="333">
        <v>5089</v>
      </c>
      <c r="Q187" s="333">
        <v>7197.5</v>
      </c>
      <c r="R187" s="333">
        <v>12286.5</v>
      </c>
    </row>
    <row r="188" spans="4:18">
      <c r="D188" s="226">
        <v>1014</v>
      </c>
      <c r="E188" s="224">
        <v>43839</v>
      </c>
      <c r="F188" s="207" t="s">
        <v>1530</v>
      </c>
      <c r="G188" s="207" t="s">
        <v>1499</v>
      </c>
      <c r="H188" s="207" t="s">
        <v>520</v>
      </c>
      <c r="I188" s="207">
        <v>1</v>
      </c>
      <c r="J188" s="334">
        <v>322.67</v>
      </c>
      <c r="K188" s="334">
        <v>322.67</v>
      </c>
      <c r="L188" s="334">
        <v>161.33000000000001</v>
      </c>
      <c r="M188" s="336">
        <v>161.33000000000001</v>
      </c>
      <c r="O188" s="169" t="s">
        <v>1627</v>
      </c>
      <c r="P188" s="333">
        <v>4572.68</v>
      </c>
      <c r="Q188" s="333">
        <v>3345.5</v>
      </c>
      <c r="R188" s="333">
        <v>7918.18</v>
      </c>
    </row>
    <row r="189" spans="4:18">
      <c r="D189" s="226">
        <v>1015</v>
      </c>
      <c r="E189" s="224">
        <v>43841</v>
      </c>
      <c r="F189" s="207" t="s">
        <v>1532</v>
      </c>
      <c r="G189" s="207" t="s">
        <v>1503</v>
      </c>
      <c r="H189" s="207" t="s">
        <v>530</v>
      </c>
      <c r="I189" s="207">
        <v>4</v>
      </c>
      <c r="J189" s="334">
        <v>47</v>
      </c>
      <c r="K189" s="334">
        <v>188</v>
      </c>
      <c r="L189" s="334">
        <v>23.5</v>
      </c>
      <c r="M189" s="336">
        <v>94</v>
      </c>
      <c r="O189" s="169" t="s">
        <v>1628</v>
      </c>
      <c r="P189" s="333">
        <v>3051.5</v>
      </c>
      <c r="Q189" s="333">
        <v>3447.5</v>
      </c>
      <c r="R189" s="333">
        <v>6499</v>
      </c>
    </row>
    <row r="190" spans="4:18">
      <c r="D190" s="226">
        <v>1016</v>
      </c>
      <c r="E190" s="224">
        <v>43842</v>
      </c>
      <c r="F190" s="207" t="s">
        <v>1531</v>
      </c>
      <c r="G190" s="207" t="s">
        <v>1499</v>
      </c>
      <c r="H190" s="207" t="s">
        <v>525</v>
      </c>
      <c r="I190" s="207">
        <v>15</v>
      </c>
      <c r="J190" s="334">
        <v>18</v>
      </c>
      <c r="K190" s="334">
        <v>270</v>
      </c>
      <c r="L190" s="334">
        <v>9</v>
      </c>
      <c r="M190" s="336">
        <v>135</v>
      </c>
      <c r="O190" s="169" t="s">
        <v>1629</v>
      </c>
      <c r="P190" s="333">
        <v>3427.67</v>
      </c>
      <c r="Q190" s="333">
        <v>3195</v>
      </c>
      <c r="R190" s="333">
        <v>6622.67</v>
      </c>
    </row>
    <row r="191" spans="4:18">
      <c r="D191" s="226">
        <v>1017</v>
      </c>
      <c r="E191" s="224">
        <v>43842</v>
      </c>
      <c r="F191" s="207" t="s">
        <v>1530</v>
      </c>
      <c r="G191" s="207" t="s">
        <v>1499</v>
      </c>
      <c r="H191" s="207" t="s">
        <v>530</v>
      </c>
      <c r="I191" s="207">
        <v>1</v>
      </c>
      <c r="J191" s="334">
        <v>25</v>
      </c>
      <c r="K191" s="334">
        <v>25</v>
      </c>
      <c r="L191" s="334">
        <v>12.5</v>
      </c>
      <c r="M191" s="336">
        <v>12.5</v>
      </c>
      <c r="O191" s="169" t="s">
        <v>410</v>
      </c>
      <c r="P191" s="333">
        <v>47805.75</v>
      </c>
      <c r="Q191" s="333">
        <v>74060.14</v>
      </c>
      <c r="R191" s="333">
        <v>121865.89</v>
      </c>
    </row>
    <row r="192" spans="4:18">
      <c r="D192" s="226">
        <v>1018</v>
      </c>
      <c r="E192" s="224">
        <v>43843</v>
      </c>
      <c r="F192" s="207" t="s">
        <v>1534</v>
      </c>
      <c r="G192" s="207" t="s">
        <v>1499</v>
      </c>
      <c r="H192" s="207" t="s">
        <v>520</v>
      </c>
      <c r="I192" s="207">
        <v>1</v>
      </c>
      <c r="J192" s="334">
        <v>214.67</v>
      </c>
      <c r="K192" s="334">
        <v>214.67</v>
      </c>
      <c r="L192" s="334">
        <v>107.33</v>
      </c>
      <c r="M192" s="336">
        <v>107.33</v>
      </c>
    </row>
    <row r="193" spans="4:16">
      <c r="D193" s="226">
        <v>1019</v>
      </c>
      <c r="E193" s="224">
        <v>43843</v>
      </c>
      <c r="F193" s="207" t="s">
        <v>1530</v>
      </c>
      <c r="G193" s="207" t="s">
        <v>1499</v>
      </c>
      <c r="H193" s="207" t="s">
        <v>520</v>
      </c>
      <c r="I193" s="207">
        <v>1</v>
      </c>
      <c r="J193" s="334">
        <v>123.33</v>
      </c>
      <c r="K193" s="334">
        <v>123.33</v>
      </c>
      <c r="L193" s="334">
        <v>61.67</v>
      </c>
      <c r="M193" s="336">
        <v>61.67</v>
      </c>
      <c r="O193" s="168" t="s">
        <v>411</v>
      </c>
      <c r="P193" t="s">
        <v>1617</v>
      </c>
    </row>
    <row r="194" spans="4:16">
      <c r="D194" s="226">
        <v>1020</v>
      </c>
      <c r="E194" s="224">
        <v>43845</v>
      </c>
      <c r="F194" s="207" t="s">
        <v>1532</v>
      </c>
      <c r="G194" s="207" t="s">
        <v>1494</v>
      </c>
      <c r="H194" s="207" t="s">
        <v>530</v>
      </c>
      <c r="I194" s="207">
        <v>7</v>
      </c>
      <c r="J194" s="334">
        <v>47</v>
      </c>
      <c r="K194" s="334">
        <v>329</v>
      </c>
      <c r="L194" s="334">
        <v>23.5</v>
      </c>
      <c r="M194" s="336">
        <v>164.5</v>
      </c>
      <c r="O194" s="169" t="s">
        <v>1531</v>
      </c>
      <c r="P194" s="342">
        <v>8226.99</v>
      </c>
    </row>
    <row r="195" spans="4:16">
      <c r="D195" s="226">
        <v>1021</v>
      </c>
      <c r="E195" s="224">
        <v>43849</v>
      </c>
      <c r="F195" s="207" t="s">
        <v>1532</v>
      </c>
      <c r="G195" s="207" t="s">
        <v>1502</v>
      </c>
      <c r="H195" s="207" t="s">
        <v>534</v>
      </c>
      <c r="I195" s="207">
        <v>9</v>
      </c>
      <c r="J195" s="334">
        <v>7</v>
      </c>
      <c r="K195" s="334">
        <v>63</v>
      </c>
      <c r="L195" s="334">
        <v>3.5</v>
      </c>
      <c r="M195" s="336">
        <v>31.5</v>
      </c>
      <c r="O195" s="169" t="s">
        <v>1533</v>
      </c>
      <c r="P195" s="342">
        <v>10772.33</v>
      </c>
    </row>
    <row r="196" spans="4:16">
      <c r="D196" s="226">
        <v>1022</v>
      </c>
      <c r="E196" s="224">
        <v>43849</v>
      </c>
      <c r="F196" s="207" t="s">
        <v>1530</v>
      </c>
      <c r="G196" s="207" t="s">
        <v>1494</v>
      </c>
      <c r="H196" s="207" t="s">
        <v>525</v>
      </c>
      <c r="I196" s="207">
        <v>1</v>
      </c>
      <c r="J196" s="334">
        <v>27</v>
      </c>
      <c r="K196" s="334">
        <v>27</v>
      </c>
      <c r="L196" s="334">
        <v>13.5</v>
      </c>
      <c r="M196" s="336">
        <v>13.5</v>
      </c>
      <c r="O196" s="169" t="s">
        <v>1530</v>
      </c>
      <c r="P196" s="342">
        <v>12449</v>
      </c>
    </row>
    <row r="197" spans="4:16">
      <c r="D197" s="226">
        <v>1023</v>
      </c>
      <c r="E197" s="224">
        <v>43849</v>
      </c>
      <c r="F197" s="207" t="s">
        <v>1533</v>
      </c>
      <c r="G197" s="207" t="s">
        <v>1494</v>
      </c>
      <c r="H197" s="207" t="s">
        <v>534</v>
      </c>
      <c r="I197" s="207">
        <v>5</v>
      </c>
      <c r="J197" s="334">
        <v>8</v>
      </c>
      <c r="K197" s="334">
        <v>40</v>
      </c>
      <c r="L197" s="334">
        <v>4</v>
      </c>
      <c r="M197" s="336">
        <v>20</v>
      </c>
      <c r="O197" s="169" t="s">
        <v>410</v>
      </c>
      <c r="P197" s="333">
        <v>31448.32</v>
      </c>
    </row>
    <row r="198" spans="4:16">
      <c r="D198" s="226">
        <v>1024</v>
      </c>
      <c r="E198" s="224">
        <v>43850</v>
      </c>
      <c r="F198" s="207" t="s">
        <v>1531</v>
      </c>
      <c r="G198" s="207" t="s">
        <v>1494</v>
      </c>
      <c r="H198" s="207" t="s">
        <v>520</v>
      </c>
      <c r="I198" s="207">
        <v>1</v>
      </c>
      <c r="J198" s="334">
        <v>451.33</v>
      </c>
      <c r="K198" s="334">
        <v>451.33</v>
      </c>
      <c r="L198" s="334">
        <v>225.67</v>
      </c>
      <c r="M198" s="336">
        <v>225.67</v>
      </c>
    </row>
    <row r="199" spans="4:16">
      <c r="D199" s="226">
        <v>1025</v>
      </c>
      <c r="E199" s="224">
        <v>43852</v>
      </c>
      <c r="F199" s="207" t="s">
        <v>1532</v>
      </c>
      <c r="G199" s="207" t="s">
        <v>1497</v>
      </c>
      <c r="H199" s="207" t="s">
        <v>525</v>
      </c>
      <c r="I199" s="207">
        <v>13</v>
      </c>
      <c r="J199" s="334">
        <v>19</v>
      </c>
      <c r="K199" s="334">
        <v>247</v>
      </c>
      <c r="L199" s="334">
        <v>9.5</v>
      </c>
      <c r="M199" s="336">
        <v>123.5</v>
      </c>
    </row>
    <row r="200" spans="4:16">
      <c r="D200" s="226">
        <v>1026</v>
      </c>
      <c r="E200" s="224">
        <v>43853</v>
      </c>
      <c r="F200" s="207" t="s">
        <v>1531</v>
      </c>
      <c r="G200" s="207" t="s">
        <v>1499</v>
      </c>
      <c r="H200" s="207" t="s">
        <v>525</v>
      </c>
      <c r="I200" s="207">
        <v>8</v>
      </c>
      <c r="J200" s="334">
        <v>14</v>
      </c>
      <c r="K200" s="334">
        <v>112</v>
      </c>
      <c r="L200" s="334">
        <v>7</v>
      </c>
      <c r="M200" s="336">
        <v>56</v>
      </c>
    </row>
    <row r="201" spans="4:16">
      <c r="D201" s="226">
        <v>1027</v>
      </c>
      <c r="E201" s="224">
        <v>43853</v>
      </c>
      <c r="F201" s="207" t="s">
        <v>1530</v>
      </c>
      <c r="G201" s="207" t="s">
        <v>1494</v>
      </c>
      <c r="H201" s="207" t="s">
        <v>534</v>
      </c>
      <c r="I201" s="207">
        <v>3</v>
      </c>
      <c r="J201" s="334">
        <v>7</v>
      </c>
      <c r="K201" s="334">
        <v>21</v>
      </c>
      <c r="L201" s="334">
        <v>3.5</v>
      </c>
      <c r="M201" s="336">
        <v>10.5</v>
      </c>
      <c r="O201" s="168" t="s">
        <v>411</v>
      </c>
      <c r="P201" t="s">
        <v>1617</v>
      </c>
    </row>
    <row r="202" spans="4:16">
      <c r="D202" s="226">
        <v>1028</v>
      </c>
      <c r="E202" s="224">
        <v>43853</v>
      </c>
      <c r="F202" s="207" t="s">
        <v>1533</v>
      </c>
      <c r="G202" s="207" t="s">
        <v>1497</v>
      </c>
      <c r="H202" s="207" t="s">
        <v>520</v>
      </c>
      <c r="I202" s="207">
        <v>2</v>
      </c>
      <c r="J202" s="334">
        <v>302.67</v>
      </c>
      <c r="K202" s="334">
        <v>605.33000000000004</v>
      </c>
      <c r="L202" s="334">
        <v>151.33000000000001</v>
      </c>
      <c r="M202" s="336">
        <v>302.67</v>
      </c>
      <c r="O202" s="169" t="s">
        <v>1497</v>
      </c>
      <c r="P202" s="333">
        <v>7668.33</v>
      </c>
    </row>
    <row r="203" spans="4:16">
      <c r="D203" s="226">
        <v>1029</v>
      </c>
      <c r="E203" s="224">
        <v>43854</v>
      </c>
      <c r="F203" s="207" t="s">
        <v>1533</v>
      </c>
      <c r="G203" s="207" t="s">
        <v>1502</v>
      </c>
      <c r="H203" s="207" t="s">
        <v>520</v>
      </c>
      <c r="I203" s="207">
        <v>2</v>
      </c>
      <c r="J203" s="334">
        <v>228</v>
      </c>
      <c r="K203" s="334">
        <v>456</v>
      </c>
      <c r="L203" s="334">
        <v>114</v>
      </c>
      <c r="M203" s="336">
        <v>228</v>
      </c>
      <c r="O203" s="169" t="s">
        <v>1502</v>
      </c>
      <c r="P203" s="333">
        <v>8263.67</v>
      </c>
    </row>
    <row r="204" spans="4:16">
      <c r="D204" s="226">
        <v>1030</v>
      </c>
      <c r="E204" s="224">
        <v>43854</v>
      </c>
      <c r="F204" s="207" t="s">
        <v>1533</v>
      </c>
      <c r="G204" s="207" t="s">
        <v>1502</v>
      </c>
      <c r="H204" s="207" t="s">
        <v>530</v>
      </c>
      <c r="I204" s="207">
        <v>2</v>
      </c>
      <c r="J204" s="334">
        <v>34</v>
      </c>
      <c r="K204" s="334">
        <v>68</v>
      </c>
      <c r="L204" s="334">
        <v>17</v>
      </c>
      <c r="M204" s="336">
        <v>34</v>
      </c>
      <c r="O204" s="169" t="s">
        <v>1499</v>
      </c>
      <c r="P204" s="333">
        <v>9201.83</v>
      </c>
    </row>
    <row r="205" spans="4:16">
      <c r="D205" s="226">
        <v>1031</v>
      </c>
      <c r="E205" s="224">
        <v>43855</v>
      </c>
      <c r="F205" s="207" t="s">
        <v>1530</v>
      </c>
      <c r="G205" s="207" t="s">
        <v>1499</v>
      </c>
      <c r="H205" s="207" t="s">
        <v>520</v>
      </c>
      <c r="I205" s="207">
        <v>2</v>
      </c>
      <c r="J205" s="334">
        <v>118</v>
      </c>
      <c r="K205" s="334">
        <v>236</v>
      </c>
      <c r="L205" s="334">
        <v>59</v>
      </c>
      <c r="M205" s="336">
        <v>118</v>
      </c>
      <c r="O205" s="169" t="s">
        <v>1494</v>
      </c>
      <c r="P205" s="333">
        <v>13684.83</v>
      </c>
    </row>
    <row r="206" spans="4:16">
      <c r="D206" s="226">
        <v>1032</v>
      </c>
      <c r="E206" s="224">
        <v>43856</v>
      </c>
      <c r="F206" s="207" t="s">
        <v>1530</v>
      </c>
      <c r="G206" s="207" t="s">
        <v>1497</v>
      </c>
      <c r="H206" s="207" t="s">
        <v>520</v>
      </c>
      <c r="I206" s="207">
        <v>2</v>
      </c>
      <c r="J206" s="334">
        <v>471.33</v>
      </c>
      <c r="K206" s="334">
        <v>942.67</v>
      </c>
      <c r="L206" s="334">
        <v>235.67</v>
      </c>
      <c r="M206" s="336">
        <v>471.33</v>
      </c>
      <c r="O206" s="169" t="s">
        <v>1503</v>
      </c>
      <c r="P206" s="333">
        <v>14749.400000000001</v>
      </c>
    </row>
    <row r="207" spans="4:16">
      <c r="D207" s="226">
        <v>1033</v>
      </c>
      <c r="E207" s="224">
        <v>43856</v>
      </c>
      <c r="F207" s="207" t="s">
        <v>1531</v>
      </c>
      <c r="G207" s="207" t="s">
        <v>1497</v>
      </c>
      <c r="H207" s="207" t="s">
        <v>534</v>
      </c>
      <c r="I207" s="207">
        <v>10</v>
      </c>
      <c r="J207" s="334">
        <v>7</v>
      </c>
      <c r="K207" s="334">
        <v>70</v>
      </c>
      <c r="L207" s="334">
        <v>3.5</v>
      </c>
      <c r="M207" s="336">
        <v>35</v>
      </c>
      <c r="O207" s="169" t="s">
        <v>410</v>
      </c>
      <c r="P207" s="333">
        <v>53568.060000000005</v>
      </c>
    </row>
    <row r="208" spans="4:16">
      <c r="D208" s="226">
        <v>1034</v>
      </c>
      <c r="E208" s="224">
        <v>43857</v>
      </c>
      <c r="F208" s="207" t="s">
        <v>1530</v>
      </c>
      <c r="G208" s="207" t="s">
        <v>1499</v>
      </c>
      <c r="H208" s="207" t="s">
        <v>534</v>
      </c>
      <c r="I208" s="207">
        <v>7</v>
      </c>
      <c r="J208" s="334">
        <v>8</v>
      </c>
      <c r="K208" s="334">
        <v>56</v>
      </c>
      <c r="L208" s="334">
        <v>4</v>
      </c>
      <c r="M208" s="336">
        <v>28</v>
      </c>
    </row>
    <row r="209" spans="4:19">
      <c r="D209" s="226">
        <v>1035</v>
      </c>
      <c r="E209" s="224">
        <v>43858</v>
      </c>
      <c r="F209" s="207" t="s">
        <v>1530</v>
      </c>
      <c r="G209" s="207" t="s">
        <v>1502</v>
      </c>
      <c r="H209" s="207" t="s">
        <v>530</v>
      </c>
      <c r="I209" s="207">
        <v>3</v>
      </c>
      <c r="J209" s="334">
        <v>41</v>
      </c>
      <c r="K209" s="334">
        <v>123</v>
      </c>
      <c r="L209" s="334">
        <v>20.5</v>
      </c>
      <c r="M209" s="336">
        <v>61.5</v>
      </c>
    </row>
    <row r="210" spans="4:19">
      <c r="D210" s="226">
        <v>1036</v>
      </c>
      <c r="E210" s="224">
        <v>43861</v>
      </c>
      <c r="F210" s="207" t="s">
        <v>1534</v>
      </c>
      <c r="G210" s="207" t="s">
        <v>1497</v>
      </c>
      <c r="H210" s="207" t="s">
        <v>530</v>
      </c>
      <c r="I210" s="207">
        <v>5</v>
      </c>
      <c r="J210" s="334">
        <v>35</v>
      </c>
      <c r="K210" s="334">
        <v>175</v>
      </c>
      <c r="L210" s="334">
        <v>17.5</v>
      </c>
      <c r="M210" s="336">
        <v>87.5</v>
      </c>
      <c r="O210" s="168" t="s">
        <v>1617</v>
      </c>
      <c r="P210" s="168" t="s">
        <v>409</v>
      </c>
    </row>
    <row r="211" spans="4:19">
      <c r="D211" s="226">
        <v>1037</v>
      </c>
      <c r="E211" s="224">
        <v>43861</v>
      </c>
      <c r="F211" s="207" t="s">
        <v>1530</v>
      </c>
      <c r="G211" s="207" t="s">
        <v>1502</v>
      </c>
      <c r="H211" s="207" t="s">
        <v>525</v>
      </c>
      <c r="I211" s="207">
        <v>4</v>
      </c>
      <c r="J211" s="334">
        <v>8</v>
      </c>
      <c r="K211" s="334">
        <v>32</v>
      </c>
      <c r="L211" s="334">
        <v>4</v>
      </c>
      <c r="M211" s="336">
        <v>16</v>
      </c>
      <c r="O211" s="168" t="s">
        <v>411</v>
      </c>
      <c r="P211" t="s">
        <v>1533</v>
      </c>
      <c r="Q211" t="s">
        <v>1531</v>
      </c>
      <c r="R211" t="s">
        <v>1530</v>
      </c>
      <c r="S211" t="s">
        <v>410</v>
      </c>
    </row>
    <row r="212" spans="4:19">
      <c r="D212" s="226">
        <v>1038</v>
      </c>
      <c r="E212" s="224">
        <v>43862</v>
      </c>
      <c r="F212" s="207" t="s">
        <v>1533</v>
      </c>
      <c r="G212" s="207" t="s">
        <v>1499</v>
      </c>
      <c r="H212" s="207" t="s">
        <v>520</v>
      </c>
      <c r="I212" s="207">
        <v>1</v>
      </c>
      <c r="J212" s="334">
        <v>178</v>
      </c>
      <c r="K212" s="334">
        <v>178</v>
      </c>
      <c r="L212" s="334">
        <v>89</v>
      </c>
      <c r="M212" s="336">
        <v>89</v>
      </c>
      <c r="O212" s="169" t="s">
        <v>518</v>
      </c>
      <c r="P212" s="333">
        <v>3849</v>
      </c>
      <c r="Q212" s="333">
        <v>2224</v>
      </c>
      <c r="R212" s="333">
        <v>3362</v>
      </c>
      <c r="S212" s="333">
        <v>9435</v>
      </c>
    </row>
    <row r="213" spans="4:19">
      <c r="D213" s="226">
        <v>1039</v>
      </c>
      <c r="E213" s="224">
        <v>43863</v>
      </c>
      <c r="F213" s="207" t="s">
        <v>1531</v>
      </c>
      <c r="G213" s="207" t="s">
        <v>1503</v>
      </c>
      <c r="H213" s="207" t="s">
        <v>534</v>
      </c>
      <c r="I213" s="207">
        <v>2</v>
      </c>
      <c r="J213" s="334">
        <v>10</v>
      </c>
      <c r="K213" s="334">
        <v>20</v>
      </c>
      <c r="L213" s="334">
        <v>5</v>
      </c>
      <c r="M213" s="336">
        <v>10</v>
      </c>
      <c r="O213" s="169" t="s">
        <v>530</v>
      </c>
      <c r="P213" s="333">
        <v>1303.5</v>
      </c>
      <c r="Q213" s="333">
        <v>726</v>
      </c>
      <c r="R213" s="333">
        <v>1679</v>
      </c>
      <c r="S213" s="333">
        <v>3708.5</v>
      </c>
    </row>
    <row r="214" spans="4:19">
      <c r="D214" s="226">
        <v>1040</v>
      </c>
      <c r="E214" s="224">
        <v>43864</v>
      </c>
      <c r="F214" s="207" t="s">
        <v>1533</v>
      </c>
      <c r="G214" s="207" t="s">
        <v>1494</v>
      </c>
      <c r="H214" s="207" t="s">
        <v>534</v>
      </c>
      <c r="I214" s="207">
        <v>6</v>
      </c>
      <c r="J214" s="334">
        <v>10</v>
      </c>
      <c r="K214" s="334">
        <v>60</v>
      </c>
      <c r="L214" s="334">
        <v>5</v>
      </c>
      <c r="M214" s="336">
        <v>30</v>
      </c>
      <c r="O214" s="169" t="s">
        <v>525</v>
      </c>
      <c r="P214" s="333">
        <v>1996</v>
      </c>
      <c r="Q214" s="333">
        <v>2749</v>
      </c>
      <c r="R214" s="333">
        <v>2209</v>
      </c>
      <c r="S214" s="333">
        <v>6954</v>
      </c>
    </row>
    <row r="215" spans="4:19">
      <c r="D215" s="226">
        <v>1041</v>
      </c>
      <c r="E215" s="224">
        <v>43865</v>
      </c>
      <c r="F215" s="207" t="s">
        <v>1533</v>
      </c>
      <c r="G215" s="207" t="s">
        <v>1499</v>
      </c>
      <c r="H215" s="207" t="s">
        <v>520</v>
      </c>
      <c r="I215" s="207">
        <v>2</v>
      </c>
      <c r="J215" s="334">
        <v>230</v>
      </c>
      <c r="K215" s="334">
        <v>460</v>
      </c>
      <c r="L215" s="334">
        <v>115</v>
      </c>
      <c r="M215" s="336">
        <v>230</v>
      </c>
      <c r="O215" s="169" t="s">
        <v>520</v>
      </c>
      <c r="P215" s="333">
        <v>3098.83</v>
      </c>
      <c r="Q215" s="333">
        <v>2163.9899999999998</v>
      </c>
      <c r="R215" s="333">
        <v>4987.5</v>
      </c>
      <c r="S215" s="333">
        <v>10250.32</v>
      </c>
    </row>
    <row r="216" spans="4:19">
      <c r="D216" s="226">
        <v>1042</v>
      </c>
      <c r="E216" s="224">
        <v>43865</v>
      </c>
      <c r="F216" s="207" t="s">
        <v>1534</v>
      </c>
      <c r="G216" s="207" t="s">
        <v>1494</v>
      </c>
      <c r="H216" s="207" t="s">
        <v>525</v>
      </c>
      <c r="I216" s="207">
        <v>2</v>
      </c>
      <c r="J216" s="334">
        <v>25</v>
      </c>
      <c r="K216" s="334">
        <v>50</v>
      </c>
      <c r="L216" s="334">
        <v>12.5</v>
      </c>
      <c r="M216" s="336">
        <v>25</v>
      </c>
      <c r="O216" s="169" t="s">
        <v>534</v>
      </c>
      <c r="P216" s="333">
        <v>525</v>
      </c>
      <c r="Q216" s="333">
        <v>364</v>
      </c>
      <c r="R216" s="333">
        <v>211.5</v>
      </c>
      <c r="S216" s="333">
        <v>1100.5</v>
      </c>
    </row>
    <row r="217" spans="4:19">
      <c r="D217" s="226">
        <v>1043</v>
      </c>
      <c r="E217" s="224">
        <v>43865</v>
      </c>
      <c r="F217" s="207" t="s">
        <v>1533</v>
      </c>
      <c r="G217" s="207" t="s">
        <v>1494</v>
      </c>
      <c r="H217" s="207" t="s">
        <v>525</v>
      </c>
      <c r="I217" s="207">
        <v>1</v>
      </c>
      <c r="J217" s="334">
        <v>30</v>
      </c>
      <c r="K217" s="334">
        <v>30</v>
      </c>
      <c r="L217" s="334">
        <v>15</v>
      </c>
      <c r="M217" s="336">
        <v>15</v>
      </c>
      <c r="O217" s="169" t="s">
        <v>410</v>
      </c>
      <c r="P217" s="333">
        <v>10772.33</v>
      </c>
      <c r="Q217" s="333">
        <v>8226.99</v>
      </c>
      <c r="R217" s="333">
        <v>12449</v>
      </c>
      <c r="S217" s="333">
        <v>31448.32</v>
      </c>
    </row>
    <row r="218" spans="4:19">
      <c r="D218" s="226">
        <v>1044</v>
      </c>
      <c r="E218" s="224">
        <v>43869</v>
      </c>
      <c r="F218" s="207" t="s">
        <v>1530</v>
      </c>
      <c r="G218" s="207" t="s">
        <v>1502</v>
      </c>
      <c r="H218" s="207" t="s">
        <v>518</v>
      </c>
      <c r="I218" s="207">
        <v>8</v>
      </c>
      <c r="J218" s="334">
        <v>25</v>
      </c>
      <c r="K218" s="334">
        <v>200</v>
      </c>
      <c r="L218" s="334">
        <v>12.5</v>
      </c>
      <c r="M218" s="336">
        <v>100</v>
      </c>
    </row>
    <row r="219" spans="4:19">
      <c r="D219" s="226">
        <v>1045</v>
      </c>
      <c r="E219" s="224">
        <v>43872</v>
      </c>
      <c r="F219" s="207" t="s">
        <v>1533</v>
      </c>
      <c r="G219" s="207" t="s">
        <v>1497</v>
      </c>
      <c r="H219" s="207" t="s">
        <v>520</v>
      </c>
      <c r="I219" s="207">
        <v>1</v>
      </c>
      <c r="J219" s="334">
        <v>146</v>
      </c>
      <c r="K219" s="334">
        <v>146</v>
      </c>
      <c r="L219" s="334">
        <v>73</v>
      </c>
      <c r="M219" s="336">
        <v>73</v>
      </c>
      <c r="O219" s="168" t="s">
        <v>1617</v>
      </c>
      <c r="P219" s="168" t="s">
        <v>409</v>
      </c>
    </row>
    <row r="220" spans="4:19">
      <c r="D220" s="226">
        <v>1046</v>
      </c>
      <c r="E220" s="224">
        <v>43872</v>
      </c>
      <c r="F220" s="207" t="s">
        <v>1532</v>
      </c>
      <c r="G220" s="207" t="s">
        <v>1494</v>
      </c>
      <c r="H220" s="207" t="s">
        <v>525</v>
      </c>
      <c r="I220" s="207">
        <v>14</v>
      </c>
      <c r="J220" s="334">
        <v>39</v>
      </c>
      <c r="K220" s="334">
        <v>546</v>
      </c>
      <c r="L220" s="334">
        <v>19.5</v>
      </c>
      <c r="M220" s="336">
        <v>273</v>
      </c>
      <c r="O220" s="168" t="s">
        <v>411</v>
      </c>
      <c r="P220" t="s">
        <v>1533</v>
      </c>
      <c r="Q220" t="s">
        <v>1531</v>
      </c>
      <c r="R220" t="s">
        <v>1530</v>
      </c>
      <c r="S220" t="s">
        <v>410</v>
      </c>
    </row>
    <row r="221" spans="4:19">
      <c r="D221" s="226">
        <v>1047</v>
      </c>
      <c r="E221" s="224">
        <v>43872</v>
      </c>
      <c r="F221" s="207" t="s">
        <v>1534</v>
      </c>
      <c r="G221" s="207" t="s">
        <v>1497</v>
      </c>
      <c r="H221" s="207" t="s">
        <v>520</v>
      </c>
      <c r="I221" s="207">
        <v>2</v>
      </c>
      <c r="J221" s="334">
        <v>328</v>
      </c>
      <c r="K221" s="334">
        <v>656</v>
      </c>
      <c r="L221" s="334">
        <v>164</v>
      </c>
      <c r="M221" s="336">
        <v>328</v>
      </c>
      <c r="O221" s="169" t="s">
        <v>1503</v>
      </c>
      <c r="P221" s="333">
        <v>1663.16</v>
      </c>
      <c r="Q221" s="333">
        <v>812.5</v>
      </c>
      <c r="R221" s="333">
        <v>729.5</v>
      </c>
      <c r="S221" s="333">
        <v>3205.16</v>
      </c>
    </row>
    <row r="222" spans="4:19">
      <c r="D222" s="226">
        <v>1048</v>
      </c>
      <c r="E222" s="224">
        <v>43875</v>
      </c>
      <c r="F222" s="207" t="s">
        <v>1532</v>
      </c>
      <c r="G222" s="207" t="s">
        <v>1503</v>
      </c>
      <c r="H222" s="207" t="s">
        <v>534</v>
      </c>
      <c r="I222" s="207">
        <v>8</v>
      </c>
      <c r="J222" s="334">
        <v>7</v>
      </c>
      <c r="K222" s="334">
        <v>56</v>
      </c>
      <c r="L222" s="334">
        <v>3.5</v>
      </c>
      <c r="M222" s="336">
        <v>28</v>
      </c>
      <c r="O222" s="169" t="s">
        <v>1497</v>
      </c>
      <c r="P222" s="333">
        <v>649.17000000000007</v>
      </c>
      <c r="Q222" s="333">
        <v>5290.83</v>
      </c>
      <c r="R222" s="333">
        <v>423.83</v>
      </c>
      <c r="S222" s="333">
        <v>6363.83</v>
      </c>
    </row>
    <row r="223" spans="4:19">
      <c r="D223" s="226">
        <v>1049</v>
      </c>
      <c r="E223" s="224">
        <v>43877</v>
      </c>
      <c r="F223" s="207" t="s">
        <v>1532</v>
      </c>
      <c r="G223" s="207" t="s">
        <v>1494</v>
      </c>
      <c r="H223" s="207" t="s">
        <v>534</v>
      </c>
      <c r="I223" s="207">
        <v>9</v>
      </c>
      <c r="J223" s="334">
        <v>10</v>
      </c>
      <c r="K223" s="334">
        <v>90</v>
      </c>
      <c r="L223" s="334">
        <v>5</v>
      </c>
      <c r="M223" s="336">
        <v>45</v>
      </c>
      <c r="O223" s="169" t="s">
        <v>1502</v>
      </c>
      <c r="P223" s="333">
        <v>7458.17</v>
      </c>
      <c r="Q223" s="333">
        <v>79.83</v>
      </c>
      <c r="R223" s="333">
        <v>274.5</v>
      </c>
      <c r="S223" s="333">
        <v>7812.5</v>
      </c>
    </row>
    <row r="224" spans="4:19">
      <c r="D224" s="226">
        <v>1050</v>
      </c>
      <c r="E224" s="224">
        <v>43877</v>
      </c>
      <c r="F224" s="207" t="s">
        <v>1532</v>
      </c>
      <c r="G224" s="207" t="s">
        <v>1502</v>
      </c>
      <c r="H224" s="207" t="s">
        <v>520</v>
      </c>
      <c r="I224" s="207">
        <v>2</v>
      </c>
      <c r="J224" s="334">
        <v>270.67</v>
      </c>
      <c r="K224" s="334">
        <v>541.33000000000004</v>
      </c>
      <c r="L224" s="334">
        <v>135.33000000000001</v>
      </c>
      <c r="M224" s="336">
        <v>270.67</v>
      </c>
      <c r="O224" s="169" t="s">
        <v>410</v>
      </c>
      <c r="P224" s="333">
        <v>9770.5</v>
      </c>
      <c r="Q224" s="333">
        <v>6183.16</v>
      </c>
      <c r="R224" s="333">
        <v>1427.83</v>
      </c>
      <c r="S224" s="333">
        <v>17381.489999999998</v>
      </c>
    </row>
    <row r="225" spans="4:13">
      <c r="D225" s="226">
        <v>1051</v>
      </c>
      <c r="E225" s="224">
        <v>43877</v>
      </c>
      <c r="F225" s="207" t="s">
        <v>1532</v>
      </c>
      <c r="G225" s="207" t="s">
        <v>1503</v>
      </c>
      <c r="H225" s="207" t="s">
        <v>530</v>
      </c>
      <c r="I225" s="207">
        <v>1</v>
      </c>
      <c r="J225" s="334">
        <v>38</v>
      </c>
      <c r="K225" s="334">
        <v>38</v>
      </c>
      <c r="L225" s="334">
        <v>19</v>
      </c>
      <c r="M225" s="336">
        <v>19</v>
      </c>
    </row>
    <row r="226" spans="4:13">
      <c r="D226" s="226">
        <v>1052</v>
      </c>
      <c r="E226" s="224">
        <v>43879</v>
      </c>
      <c r="F226" s="207" t="s">
        <v>1534</v>
      </c>
      <c r="G226" s="207" t="s">
        <v>1502</v>
      </c>
      <c r="H226" s="207" t="s">
        <v>534</v>
      </c>
      <c r="I226" s="207">
        <v>6</v>
      </c>
      <c r="J226" s="334">
        <v>10</v>
      </c>
      <c r="K226" s="334">
        <v>60</v>
      </c>
      <c r="L226" s="334">
        <v>5</v>
      </c>
      <c r="M226" s="336">
        <v>30</v>
      </c>
    </row>
    <row r="227" spans="4:13">
      <c r="D227" s="226">
        <v>1053</v>
      </c>
      <c r="E227" s="224">
        <v>43879</v>
      </c>
      <c r="F227" s="207" t="s">
        <v>1530</v>
      </c>
      <c r="G227" s="207" t="s">
        <v>1499</v>
      </c>
      <c r="H227" s="207" t="s">
        <v>530</v>
      </c>
      <c r="I227" s="207">
        <v>5</v>
      </c>
      <c r="J227" s="334">
        <v>25</v>
      </c>
      <c r="K227" s="334">
        <v>125</v>
      </c>
      <c r="L227" s="334">
        <v>12.5</v>
      </c>
      <c r="M227" s="336">
        <v>62.5</v>
      </c>
    </row>
    <row r="228" spans="4:13">
      <c r="D228" s="226">
        <v>1054</v>
      </c>
      <c r="E228" s="224">
        <v>43880</v>
      </c>
      <c r="F228" s="207" t="s">
        <v>1534</v>
      </c>
      <c r="G228" s="207" t="s">
        <v>1502</v>
      </c>
      <c r="H228" s="207" t="s">
        <v>534</v>
      </c>
      <c r="I228" s="207">
        <v>10</v>
      </c>
      <c r="J228" s="334">
        <v>8</v>
      </c>
      <c r="K228" s="334">
        <v>80</v>
      </c>
      <c r="L228" s="334">
        <v>4</v>
      </c>
      <c r="M228" s="336">
        <v>40</v>
      </c>
    </row>
    <row r="229" spans="4:13">
      <c r="D229" s="226">
        <v>1055</v>
      </c>
      <c r="E229" s="224">
        <v>43880</v>
      </c>
      <c r="F229" s="207" t="s">
        <v>1532</v>
      </c>
      <c r="G229" s="207" t="s">
        <v>1494</v>
      </c>
      <c r="H229" s="207" t="s">
        <v>525</v>
      </c>
      <c r="I229" s="207">
        <v>20</v>
      </c>
      <c r="J229" s="334">
        <v>28</v>
      </c>
      <c r="K229" s="334">
        <v>560</v>
      </c>
      <c r="L229" s="334">
        <v>14</v>
      </c>
      <c r="M229" s="336">
        <v>280</v>
      </c>
    </row>
    <row r="230" spans="4:13">
      <c r="D230" s="226">
        <v>1056</v>
      </c>
      <c r="E230" s="224">
        <v>43881</v>
      </c>
      <c r="F230" s="207" t="s">
        <v>1530</v>
      </c>
      <c r="G230" s="207" t="s">
        <v>1497</v>
      </c>
      <c r="H230" s="207" t="s">
        <v>534</v>
      </c>
      <c r="I230" s="207">
        <v>9</v>
      </c>
      <c r="J230" s="334">
        <v>8</v>
      </c>
      <c r="K230" s="334">
        <v>72</v>
      </c>
      <c r="L230" s="334">
        <v>4</v>
      </c>
      <c r="M230" s="336">
        <v>36</v>
      </c>
    </row>
    <row r="231" spans="4:13">
      <c r="D231" s="226">
        <v>1057</v>
      </c>
      <c r="E231" s="224">
        <v>43883</v>
      </c>
      <c r="F231" s="207" t="s">
        <v>1534</v>
      </c>
      <c r="G231" s="207" t="s">
        <v>1499</v>
      </c>
      <c r="H231" s="207" t="s">
        <v>518</v>
      </c>
      <c r="I231" s="207">
        <v>7</v>
      </c>
      <c r="J231" s="334">
        <v>84</v>
      </c>
      <c r="K231" s="334">
        <v>588</v>
      </c>
      <c r="L231" s="334">
        <v>42</v>
      </c>
      <c r="M231" s="336">
        <v>294</v>
      </c>
    </row>
    <row r="232" spans="4:13">
      <c r="D232" s="226">
        <v>1058</v>
      </c>
      <c r="E232" s="224">
        <v>43884</v>
      </c>
      <c r="F232" s="207" t="s">
        <v>1531</v>
      </c>
      <c r="G232" s="207" t="s">
        <v>1502</v>
      </c>
      <c r="H232" s="207" t="s">
        <v>530</v>
      </c>
      <c r="I232" s="207">
        <v>3</v>
      </c>
      <c r="J232" s="334">
        <v>31</v>
      </c>
      <c r="K232" s="334">
        <v>93</v>
      </c>
      <c r="L232" s="334">
        <v>15.5</v>
      </c>
      <c r="M232" s="336">
        <v>46.5</v>
      </c>
    </row>
    <row r="233" spans="4:13">
      <c r="D233" s="226">
        <v>1059</v>
      </c>
      <c r="E233" s="224">
        <v>43884</v>
      </c>
      <c r="F233" s="207" t="s">
        <v>1531</v>
      </c>
      <c r="G233" s="207" t="s">
        <v>1499</v>
      </c>
      <c r="H233" s="207" t="s">
        <v>534</v>
      </c>
      <c r="I233" s="207">
        <v>8</v>
      </c>
      <c r="J233" s="334">
        <v>8</v>
      </c>
      <c r="K233" s="334">
        <v>64</v>
      </c>
      <c r="L233" s="334">
        <v>4</v>
      </c>
      <c r="M233" s="336">
        <v>32</v>
      </c>
    </row>
    <row r="234" spans="4:13">
      <c r="D234" s="226">
        <v>1060</v>
      </c>
      <c r="E234" s="224">
        <v>43885</v>
      </c>
      <c r="F234" s="207" t="s">
        <v>1534</v>
      </c>
      <c r="G234" s="207" t="s">
        <v>1503</v>
      </c>
      <c r="H234" s="207" t="s">
        <v>520</v>
      </c>
      <c r="I234" s="207">
        <v>2</v>
      </c>
      <c r="J234" s="334">
        <v>524.1</v>
      </c>
      <c r="K234" s="334">
        <v>1048.21</v>
      </c>
      <c r="L234" s="334">
        <v>262.05</v>
      </c>
      <c r="M234" s="336">
        <v>524.1</v>
      </c>
    </row>
    <row r="235" spans="4:13">
      <c r="D235" s="226">
        <v>1061</v>
      </c>
      <c r="E235" s="224">
        <v>43885</v>
      </c>
      <c r="F235" s="207" t="s">
        <v>1530</v>
      </c>
      <c r="G235" s="207" t="s">
        <v>1497</v>
      </c>
      <c r="H235" s="207" t="s">
        <v>534</v>
      </c>
      <c r="I235" s="207">
        <v>2</v>
      </c>
      <c r="J235" s="334">
        <v>5</v>
      </c>
      <c r="K235" s="334">
        <v>10</v>
      </c>
      <c r="L235" s="334">
        <v>2.5</v>
      </c>
      <c r="M235" s="336">
        <v>5</v>
      </c>
    </row>
    <row r="236" spans="4:13">
      <c r="D236" s="226">
        <v>1062</v>
      </c>
      <c r="E236" s="224">
        <v>43886</v>
      </c>
      <c r="F236" s="207" t="s">
        <v>1534</v>
      </c>
      <c r="G236" s="207" t="s">
        <v>1499</v>
      </c>
      <c r="H236" s="207" t="s">
        <v>520</v>
      </c>
      <c r="I236" s="207">
        <v>1</v>
      </c>
      <c r="J236" s="334">
        <v>180</v>
      </c>
      <c r="K236" s="334">
        <v>180</v>
      </c>
      <c r="L236" s="334">
        <v>90</v>
      </c>
      <c r="M236" s="336">
        <v>90</v>
      </c>
    </row>
    <row r="237" spans="4:13">
      <c r="D237" s="226">
        <v>1063</v>
      </c>
      <c r="E237" s="224">
        <v>43887</v>
      </c>
      <c r="F237" s="207" t="s">
        <v>1533</v>
      </c>
      <c r="G237" s="207" t="s">
        <v>1499</v>
      </c>
      <c r="H237" s="207" t="s">
        <v>534</v>
      </c>
      <c r="I237" s="207">
        <v>10</v>
      </c>
      <c r="J237" s="334">
        <v>7</v>
      </c>
      <c r="K237" s="334">
        <v>70</v>
      </c>
      <c r="L237" s="334">
        <v>3.5</v>
      </c>
      <c r="M237" s="336">
        <v>35</v>
      </c>
    </row>
    <row r="238" spans="4:13">
      <c r="D238" s="226">
        <v>1064</v>
      </c>
      <c r="E238" s="224">
        <v>43887</v>
      </c>
      <c r="F238" s="207" t="s">
        <v>1533</v>
      </c>
      <c r="G238" s="207" t="s">
        <v>1494</v>
      </c>
      <c r="H238" s="207" t="s">
        <v>530</v>
      </c>
      <c r="I238" s="207">
        <v>5</v>
      </c>
      <c r="J238" s="334">
        <v>32</v>
      </c>
      <c r="K238" s="334">
        <v>160</v>
      </c>
      <c r="L238" s="334">
        <v>16</v>
      </c>
      <c r="M238" s="336">
        <v>80</v>
      </c>
    </row>
    <row r="239" spans="4:13">
      <c r="D239" s="226">
        <v>1065</v>
      </c>
      <c r="E239" s="224">
        <v>43887</v>
      </c>
      <c r="F239" s="207" t="s">
        <v>1532</v>
      </c>
      <c r="G239" s="207" t="s">
        <v>1494</v>
      </c>
      <c r="H239" s="207" t="s">
        <v>530</v>
      </c>
      <c r="I239" s="207">
        <v>5</v>
      </c>
      <c r="J239" s="334">
        <v>28</v>
      </c>
      <c r="K239" s="334">
        <v>140</v>
      </c>
      <c r="L239" s="334">
        <v>14</v>
      </c>
      <c r="M239" s="336">
        <v>70</v>
      </c>
    </row>
    <row r="240" spans="4:13">
      <c r="D240" s="226">
        <v>1066</v>
      </c>
      <c r="E240" s="224">
        <v>43888</v>
      </c>
      <c r="F240" s="207" t="s">
        <v>1530</v>
      </c>
      <c r="G240" s="207" t="s">
        <v>1494</v>
      </c>
      <c r="H240" s="207" t="s">
        <v>520</v>
      </c>
      <c r="I240" s="207">
        <v>1</v>
      </c>
      <c r="J240" s="334">
        <v>438.67</v>
      </c>
      <c r="K240" s="334">
        <v>438.67</v>
      </c>
      <c r="L240" s="334">
        <v>219.33</v>
      </c>
      <c r="M240" s="336">
        <v>219.33</v>
      </c>
    </row>
    <row r="241" spans="4:13">
      <c r="D241" s="226">
        <v>1067</v>
      </c>
      <c r="E241" s="224">
        <v>43889</v>
      </c>
      <c r="F241" s="207" t="s">
        <v>1531</v>
      </c>
      <c r="G241" s="207" t="s">
        <v>1499</v>
      </c>
      <c r="H241" s="207" t="s">
        <v>518</v>
      </c>
      <c r="I241" s="207">
        <v>7</v>
      </c>
      <c r="J241" s="334">
        <v>86</v>
      </c>
      <c r="K241" s="334">
        <v>602</v>
      </c>
      <c r="L241" s="334">
        <v>43</v>
      </c>
      <c r="M241" s="336">
        <v>301</v>
      </c>
    </row>
    <row r="242" spans="4:13">
      <c r="D242" s="226">
        <v>1068</v>
      </c>
      <c r="E242" s="224">
        <v>43889</v>
      </c>
      <c r="F242" s="207" t="s">
        <v>1530</v>
      </c>
      <c r="G242" s="207" t="s">
        <v>1494</v>
      </c>
      <c r="H242" s="207" t="s">
        <v>520</v>
      </c>
      <c r="I242" s="207">
        <v>2</v>
      </c>
      <c r="J242" s="334">
        <v>368.67</v>
      </c>
      <c r="K242" s="334">
        <v>737.33</v>
      </c>
      <c r="L242" s="334">
        <v>184.33</v>
      </c>
      <c r="M242" s="336">
        <v>368.67</v>
      </c>
    </row>
    <row r="243" spans="4:13">
      <c r="D243" s="226">
        <v>1069</v>
      </c>
      <c r="E243" s="224">
        <v>43891</v>
      </c>
      <c r="F243" s="207" t="s">
        <v>1530</v>
      </c>
      <c r="G243" s="207" t="s">
        <v>1494</v>
      </c>
      <c r="H243" s="207" t="s">
        <v>525</v>
      </c>
      <c r="I243" s="207">
        <v>16</v>
      </c>
      <c r="J243" s="334">
        <v>30</v>
      </c>
      <c r="K243" s="334">
        <v>480</v>
      </c>
      <c r="L243" s="334">
        <v>15</v>
      </c>
      <c r="M243" s="336">
        <v>240</v>
      </c>
    </row>
    <row r="244" spans="4:13">
      <c r="D244" s="226">
        <v>1070</v>
      </c>
      <c r="E244" s="224">
        <v>43892</v>
      </c>
      <c r="F244" s="207" t="s">
        <v>1530</v>
      </c>
      <c r="G244" s="207" t="s">
        <v>1503</v>
      </c>
      <c r="H244" s="207" t="s">
        <v>530</v>
      </c>
      <c r="I244" s="207">
        <v>7</v>
      </c>
      <c r="J244" s="334">
        <v>43</v>
      </c>
      <c r="K244" s="334">
        <v>301</v>
      </c>
      <c r="L244" s="334">
        <v>21.5</v>
      </c>
      <c r="M244" s="336">
        <v>150.5</v>
      </c>
    </row>
    <row r="245" spans="4:13">
      <c r="D245" s="226">
        <v>1071</v>
      </c>
      <c r="E245" s="224">
        <v>43894</v>
      </c>
      <c r="F245" s="207" t="s">
        <v>1533</v>
      </c>
      <c r="G245" s="207" t="s">
        <v>1502</v>
      </c>
      <c r="H245" s="207" t="s">
        <v>530</v>
      </c>
      <c r="I245" s="207">
        <v>1</v>
      </c>
      <c r="J245" s="334">
        <v>43</v>
      </c>
      <c r="K245" s="334">
        <v>43</v>
      </c>
      <c r="L245" s="334">
        <v>21.5</v>
      </c>
      <c r="M245" s="336">
        <v>21.5</v>
      </c>
    </row>
    <row r="246" spans="4:13">
      <c r="D246" s="226">
        <v>1072</v>
      </c>
      <c r="E246" s="224">
        <v>43895</v>
      </c>
      <c r="F246" s="207" t="s">
        <v>1532</v>
      </c>
      <c r="G246" s="207" t="s">
        <v>1502</v>
      </c>
      <c r="H246" s="207" t="s">
        <v>520</v>
      </c>
      <c r="I246" s="207">
        <v>2</v>
      </c>
      <c r="J246" s="334">
        <v>172</v>
      </c>
      <c r="K246" s="334">
        <v>344</v>
      </c>
      <c r="L246" s="334">
        <v>86</v>
      </c>
      <c r="M246" s="336">
        <v>172</v>
      </c>
    </row>
    <row r="247" spans="4:13">
      <c r="D247" s="226">
        <v>1073</v>
      </c>
      <c r="E247" s="224">
        <v>43897</v>
      </c>
      <c r="F247" s="207" t="s">
        <v>1534</v>
      </c>
      <c r="G247" s="207" t="s">
        <v>1497</v>
      </c>
      <c r="H247" s="207" t="s">
        <v>518</v>
      </c>
      <c r="I247" s="207">
        <v>6</v>
      </c>
      <c r="J247" s="334">
        <v>24</v>
      </c>
      <c r="K247" s="334">
        <v>144</v>
      </c>
      <c r="L247" s="334">
        <v>12</v>
      </c>
      <c r="M247" s="336">
        <v>72</v>
      </c>
    </row>
    <row r="248" spans="4:13">
      <c r="D248" s="226">
        <v>1074</v>
      </c>
      <c r="E248" s="224">
        <v>43898</v>
      </c>
      <c r="F248" s="207" t="s">
        <v>1532</v>
      </c>
      <c r="G248" s="207" t="s">
        <v>1497</v>
      </c>
      <c r="H248" s="207" t="s">
        <v>534</v>
      </c>
      <c r="I248" s="207">
        <v>2</v>
      </c>
      <c r="J248" s="334">
        <v>6</v>
      </c>
      <c r="K248" s="334">
        <v>12</v>
      </c>
      <c r="L248" s="334">
        <v>3</v>
      </c>
      <c r="M248" s="336">
        <v>6</v>
      </c>
    </row>
    <row r="249" spans="4:13">
      <c r="D249" s="226">
        <v>1075</v>
      </c>
      <c r="E249" s="224">
        <v>43900</v>
      </c>
      <c r="F249" s="207" t="s">
        <v>1530</v>
      </c>
      <c r="G249" s="207" t="s">
        <v>1499</v>
      </c>
      <c r="H249" s="207" t="s">
        <v>534</v>
      </c>
      <c r="I249" s="207">
        <v>8</v>
      </c>
      <c r="J249" s="334">
        <v>7</v>
      </c>
      <c r="K249" s="334">
        <v>56</v>
      </c>
      <c r="L249" s="334">
        <v>3.5</v>
      </c>
      <c r="M249" s="336">
        <v>28</v>
      </c>
    </row>
    <row r="250" spans="4:13">
      <c r="D250" s="226">
        <v>1076</v>
      </c>
      <c r="E250" s="224">
        <v>43900</v>
      </c>
      <c r="F250" s="207" t="s">
        <v>1530</v>
      </c>
      <c r="G250" s="207" t="s">
        <v>1494</v>
      </c>
      <c r="H250" s="207" t="s">
        <v>520</v>
      </c>
      <c r="I250" s="207">
        <v>1</v>
      </c>
      <c r="J250" s="334">
        <v>454.67</v>
      </c>
      <c r="K250" s="334">
        <v>454.67</v>
      </c>
      <c r="L250" s="334">
        <v>227.33</v>
      </c>
      <c r="M250" s="336">
        <v>227.33</v>
      </c>
    </row>
    <row r="251" spans="4:13">
      <c r="D251" s="226">
        <v>1077</v>
      </c>
      <c r="E251" s="224">
        <v>43901</v>
      </c>
      <c r="F251" s="207" t="s">
        <v>1534</v>
      </c>
      <c r="G251" s="207" t="s">
        <v>1494</v>
      </c>
      <c r="H251" s="207" t="s">
        <v>520</v>
      </c>
      <c r="I251" s="207">
        <v>1</v>
      </c>
      <c r="J251" s="334">
        <v>531.33000000000004</v>
      </c>
      <c r="K251" s="334">
        <v>531.33000000000004</v>
      </c>
      <c r="L251" s="334">
        <v>265.67</v>
      </c>
      <c r="M251" s="336">
        <v>265.67</v>
      </c>
    </row>
    <row r="252" spans="4:13">
      <c r="D252" s="226">
        <v>1078</v>
      </c>
      <c r="E252" s="224">
        <v>43902</v>
      </c>
      <c r="F252" s="207" t="s">
        <v>1531</v>
      </c>
      <c r="G252" s="207" t="s">
        <v>1499</v>
      </c>
      <c r="H252" s="207" t="s">
        <v>534</v>
      </c>
      <c r="I252" s="207">
        <v>5</v>
      </c>
      <c r="J252" s="334">
        <v>8</v>
      </c>
      <c r="K252" s="334">
        <v>40</v>
      </c>
      <c r="L252" s="334">
        <v>4</v>
      </c>
      <c r="M252" s="336">
        <v>20</v>
      </c>
    </row>
    <row r="253" spans="4:13">
      <c r="D253" s="226">
        <v>1079</v>
      </c>
      <c r="E253" s="224">
        <v>43903</v>
      </c>
      <c r="F253" s="207" t="s">
        <v>1532</v>
      </c>
      <c r="G253" s="207" t="s">
        <v>1503</v>
      </c>
      <c r="H253" s="207" t="s">
        <v>534</v>
      </c>
      <c r="I253" s="207">
        <v>7</v>
      </c>
      <c r="J253" s="334">
        <v>9</v>
      </c>
      <c r="K253" s="334">
        <v>63</v>
      </c>
      <c r="L253" s="334">
        <v>4.5</v>
      </c>
      <c r="M253" s="336">
        <v>31.5</v>
      </c>
    </row>
    <row r="254" spans="4:13">
      <c r="D254" s="226">
        <v>1080</v>
      </c>
      <c r="E254" s="224">
        <v>43903</v>
      </c>
      <c r="F254" s="207" t="s">
        <v>1534</v>
      </c>
      <c r="G254" s="207" t="s">
        <v>1494</v>
      </c>
      <c r="H254" s="207" t="s">
        <v>534</v>
      </c>
      <c r="I254" s="207">
        <v>2</v>
      </c>
      <c r="J254" s="334">
        <v>5</v>
      </c>
      <c r="K254" s="334">
        <v>10</v>
      </c>
      <c r="L254" s="334">
        <v>2.5</v>
      </c>
      <c r="M254" s="336">
        <v>5</v>
      </c>
    </row>
    <row r="255" spans="4:13">
      <c r="D255" s="226">
        <v>1081</v>
      </c>
      <c r="E255" s="224">
        <v>43904</v>
      </c>
      <c r="F255" s="207" t="s">
        <v>1530</v>
      </c>
      <c r="G255" s="207" t="s">
        <v>1497</v>
      </c>
      <c r="H255" s="207" t="s">
        <v>534</v>
      </c>
      <c r="I255" s="207">
        <v>5</v>
      </c>
      <c r="J255" s="334">
        <v>10</v>
      </c>
      <c r="K255" s="334">
        <v>50</v>
      </c>
      <c r="L255" s="334">
        <v>5</v>
      </c>
      <c r="M255" s="336">
        <v>25</v>
      </c>
    </row>
    <row r="256" spans="4:13">
      <c r="D256" s="226">
        <v>1082</v>
      </c>
      <c r="E256" s="224">
        <v>43907</v>
      </c>
      <c r="F256" s="207" t="s">
        <v>1531</v>
      </c>
      <c r="G256" s="207" t="s">
        <v>1503</v>
      </c>
      <c r="H256" s="207" t="s">
        <v>520</v>
      </c>
      <c r="I256" s="207">
        <v>2</v>
      </c>
      <c r="J256" s="334">
        <v>410.77</v>
      </c>
      <c r="K256" s="334">
        <v>821.54</v>
      </c>
      <c r="L256" s="334">
        <v>205.38</v>
      </c>
      <c r="M256" s="336">
        <v>410.77</v>
      </c>
    </row>
    <row r="257" spans="4:13">
      <c r="D257" s="226">
        <v>1083</v>
      </c>
      <c r="E257" s="224">
        <v>43908</v>
      </c>
      <c r="F257" s="207" t="s">
        <v>1530</v>
      </c>
      <c r="G257" s="207" t="s">
        <v>1499</v>
      </c>
      <c r="H257" s="207" t="s">
        <v>534</v>
      </c>
      <c r="I257" s="207">
        <v>8</v>
      </c>
      <c r="J257" s="334">
        <v>8</v>
      </c>
      <c r="K257" s="334">
        <v>64</v>
      </c>
      <c r="L257" s="334">
        <v>4</v>
      </c>
      <c r="M257" s="336">
        <v>32</v>
      </c>
    </row>
    <row r="258" spans="4:13">
      <c r="D258" s="226">
        <v>1084</v>
      </c>
      <c r="E258" s="224">
        <v>43909</v>
      </c>
      <c r="F258" s="207" t="s">
        <v>1533</v>
      </c>
      <c r="G258" s="207" t="s">
        <v>1494</v>
      </c>
      <c r="H258" s="207" t="s">
        <v>520</v>
      </c>
      <c r="I258" s="207">
        <v>1</v>
      </c>
      <c r="J258" s="334">
        <v>201.33</v>
      </c>
      <c r="K258" s="334">
        <v>201.33</v>
      </c>
      <c r="L258" s="334">
        <v>100.67</v>
      </c>
      <c r="M258" s="336">
        <v>100.67</v>
      </c>
    </row>
    <row r="259" spans="4:13">
      <c r="D259" s="226">
        <v>1085</v>
      </c>
      <c r="E259" s="224">
        <v>43909</v>
      </c>
      <c r="F259" s="207" t="s">
        <v>1532</v>
      </c>
      <c r="G259" s="207" t="s">
        <v>1502</v>
      </c>
      <c r="H259" s="207" t="s">
        <v>525</v>
      </c>
      <c r="I259" s="207">
        <v>1</v>
      </c>
      <c r="J259" s="334">
        <v>9</v>
      </c>
      <c r="K259" s="334">
        <v>9</v>
      </c>
      <c r="L259" s="334">
        <v>4.5</v>
      </c>
      <c r="M259" s="336">
        <v>4.5</v>
      </c>
    </row>
    <row r="260" spans="4:13">
      <c r="D260" s="226">
        <v>1086</v>
      </c>
      <c r="E260" s="224">
        <v>43909</v>
      </c>
      <c r="F260" s="207" t="s">
        <v>1532</v>
      </c>
      <c r="G260" s="207" t="s">
        <v>1502</v>
      </c>
      <c r="H260" s="207" t="s">
        <v>525</v>
      </c>
      <c r="I260" s="207">
        <v>5</v>
      </c>
      <c r="J260" s="334">
        <v>10</v>
      </c>
      <c r="K260" s="334">
        <v>50</v>
      </c>
      <c r="L260" s="334">
        <v>5</v>
      </c>
      <c r="M260" s="336">
        <v>25</v>
      </c>
    </row>
    <row r="261" spans="4:13">
      <c r="D261" s="226">
        <v>1087</v>
      </c>
      <c r="E261" s="224">
        <v>43910</v>
      </c>
      <c r="F261" s="207" t="s">
        <v>1531</v>
      </c>
      <c r="G261" s="207" t="s">
        <v>1497</v>
      </c>
      <c r="H261" s="207" t="s">
        <v>534</v>
      </c>
      <c r="I261" s="207">
        <v>8</v>
      </c>
      <c r="J261" s="334">
        <v>10</v>
      </c>
      <c r="K261" s="334">
        <v>80</v>
      </c>
      <c r="L261" s="334">
        <v>5</v>
      </c>
      <c r="M261" s="336">
        <v>40</v>
      </c>
    </row>
    <row r="262" spans="4:13">
      <c r="D262" s="226">
        <v>1088</v>
      </c>
      <c r="E262" s="224">
        <v>43912</v>
      </c>
      <c r="F262" s="207" t="s">
        <v>1532</v>
      </c>
      <c r="G262" s="207" t="s">
        <v>1494</v>
      </c>
      <c r="H262" s="207" t="s">
        <v>530</v>
      </c>
      <c r="I262" s="207">
        <v>1</v>
      </c>
      <c r="J262" s="334">
        <v>46</v>
      </c>
      <c r="K262" s="334">
        <v>46</v>
      </c>
      <c r="L262" s="334">
        <v>23</v>
      </c>
      <c r="M262" s="336">
        <v>23</v>
      </c>
    </row>
    <row r="263" spans="4:13">
      <c r="D263" s="226">
        <v>1089</v>
      </c>
      <c r="E263" s="224">
        <v>43912</v>
      </c>
      <c r="F263" s="207" t="s">
        <v>1533</v>
      </c>
      <c r="G263" s="207" t="s">
        <v>1502</v>
      </c>
      <c r="H263" s="207" t="s">
        <v>530</v>
      </c>
      <c r="I263" s="207">
        <v>1</v>
      </c>
      <c r="J263" s="334">
        <v>37</v>
      </c>
      <c r="K263" s="334">
        <v>37</v>
      </c>
      <c r="L263" s="334">
        <v>18.5</v>
      </c>
      <c r="M263" s="336">
        <v>18.5</v>
      </c>
    </row>
    <row r="264" spans="4:13">
      <c r="D264" s="226">
        <v>1090</v>
      </c>
      <c r="E264" s="224">
        <v>43913</v>
      </c>
      <c r="F264" s="207" t="s">
        <v>1534</v>
      </c>
      <c r="G264" s="207" t="s">
        <v>1502</v>
      </c>
      <c r="H264" s="207" t="s">
        <v>525</v>
      </c>
      <c r="I264" s="207">
        <v>3</v>
      </c>
      <c r="J264" s="334">
        <v>7</v>
      </c>
      <c r="K264" s="334">
        <v>21</v>
      </c>
      <c r="L264" s="334">
        <v>3.5</v>
      </c>
      <c r="M264" s="336">
        <v>10.5</v>
      </c>
    </row>
    <row r="265" spans="4:13">
      <c r="D265" s="226">
        <v>1091</v>
      </c>
      <c r="E265" s="224">
        <v>43915</v>
      </c>
      <c r="F265" s="207" t="s">
        <v>1532</v>
      </c>
      <c r="G265" s="207" t="s">
        <v>1502</v>
      </c>
      <c r="H265" s="207" t="s">
        <v>518</v>
      </c>
      <c r="I265" s="207">
        <v>3</v>
      </c>
      <c r="J265" s="334">
        <v>27</v>
      </c>
      <c r="K265" s="334">
        <v>81</v>
      </c>
      <c r="L265" s="334">
        <v>13.5</v>
      </c>
      <c r="M265" s="336">
        <v>40.5</v>
      </c>
    </row>
    <row r="266" spans="4:13">
      <c r="D266" s="226">
        <v>1092</v>
      </c>
      <c r="E266" s="224">
        <v>43916</v>
      </c>
      <c r="F266" s="207" t="s">
        <v>1532</v>
      </c>
      <c r="G266" s="207" t="s">
        <v>1502</v>
      </c>
      <c r="H266" s="207" t="s">
        <v>530</v>
      </c>
      <c r="I266" s="207">
        <v>2</v>
      </c>
      <c r="J266" s="334">
        <v>22</v>
      </c>
      <c r="K266" s="334">
        <v>44</v>
      </c>
      <c r="L266" s="334">
        <v>11</v>
      </c>
      <c r="M266" s="336">
        <v>22</v>
      </c>
    </row>
    <row r="267" spans="4:13">
      <c r="D267" s="226">
        <v>1093</v>
      </c>
      <c r="E267" s="224">
        <v>43917</v>
      </c>
      <c r="F267" s="207" t="s">
        <v>1532</v>
      </c>
      <c r="G267" s="207" t="s">
        <v>1499</v>
      </c>
      <c r="H267" s="207" t="s">
        <v>534</v>
      </c>
      <c r="I267" s="207">
        <v>8</v>
      </c>
      <c r="J267" s="334">
        <v>6</v>
      </c>
      <c r="K267" s="334">
        <v>48</v>
      </c>
      <c r="L267" s="334">
        <v>3</v>
      </c>
      <c r="M267" s="336">
        <v>24</v>
      </c>
    </row>
    <row r="268" spans="4:13">
      <c r="D268" s="226">
        <v>1094</v>
      </c>
      <c r="E268" s="224">
        <v>43917</v>
      </c>
      <c r="F268" s="207" t="s">
        <v>1533</v>
      </c>
      <c r="G268" s="207" t="s">
        <v>1499</v>
      </c>
      <c r="H268" s="207" t="s">
        <v>525</v>
      </c>
      <c r="I268" s="207">
        <v>14</v>
      </c>
      <c r="J268" s="334">
        <v>5</v>
      </c>
      <c r="K268" s="334">
        <v>70</v>
      </c>
      <c r="L268" s="334">
        <v>2.5</v>
      </c>
      <c r="M268" s="336">
        <v>35</v>
      </c>
    </row>
    <row r="269" spans="4:13">
      <c r="D269" s="226">
        <v>1095</v>
      </c>
      <c r="E269" s="224">
        <v>43919</v>
      </c>
      <c r="F269" s="207" t="s">
        <v>1534</v>
      </c>
      <c r="G269" s="207" t="s">
        <v>1499</v>
      </c>
      <c r="H269" s="207" t="s">
        <v>530</v>
      </c>
      <c r="I269" s="207">
        <v>5</v>
      </c>
      <c r="J269" s="334">
        <v>32</v>
      </c>
      <c r="K269" s="334">
        <v>160</v>
      </c>
      <c r="L269" s="334">
        <v>16</v>
      </c>
      <c r="M269" s="336">
        <v>80</v>
      </c>
    </row>
    <row r="270" spans="4:13">
      <c r="D270" s="226">
        <v>1096</v>
      </c>
      <c r="E270" s="224">
        <v>43919</v>
      </c>
      <c r="F270" s="207" t="s">
        <v>1533</v>
      </c>
      <c r="G270" s="207" t="s">
        <v>1499</v>
      </c>
      <c r="H270" s="207" t="s">
        <v>520</v>
      </c>
      <c r="I270" s="207">
        <v>1</v>
      </c>
      <c r="J270" s="334">
        <v>314</v>
      </c>
      <c r="K270" s="334">
        <v>314</v>
      </c>
      <c r="L270" s="334">
        <v>157</v>
      </c>
      <c r="M270" s="336">
        <v>157</v>
      </c>
    </row>
    <row r="271" spans="4:13">
      <c r="D271" s="226">
        <v>1097</v>
      </c>
      <c r="E271" s="224">
        <v>43920</v>
      </c>
      <c r="F271" s="207" t="s">
        <v>1532</v>
      </c>
      <c r="G271" s="207" t="s">
        <v>1503</v>
      </c>
      <c r="H271" s="207" t="s">
        <v>520</v>
      </c>
      <c r="I271" s="207">
        <v>2</v>
      </c>
      <c r="J271" s="334">
        <v>536.91999999999996</v>
      </c>
      <c r="K271" s="334">
        <v>1073.8499999999999</v>
      </c>
      <c r="L271" s="334">
        <v>268.45999999999998</v>
      </c>
      <c r="M271" s="336">
        <v>536.91999999999996</v>
      </c>
    </row>
    <row r="272" spans="4:13">
      <c r="D272" s="226">
        <v>1098</v>
      </c>
      <c r="E272" s="224">
        <v>43920</v>
      </c>
      <c r="F272" s="207" t="s">
        <v>1534</v>
      </c>
      <c r="G272" s="207" t="s">
        <v>1502</v>
      </c>
      <c r="H272" s="207" t="s">
        <v>534</v>
      </c>
      <c r="I272" s="207">
        <v>6</v>
      </c>
      <c r="J272" s="334">
        <v>5</v>
      </c>
      <c r="K272" s="334">
        <v>30</v>
      </c>
      <c r="L272" s="334">
        <v>2.5</v>
      </c>
      <c r="M272" s="336">
        <v>15</v>
      </c>
    </row>
    <row r="273" spans="4:13">
      <c r="D273" s="226">
        <v>1099</v>
      </c>
      <c r="E273" s="224">
        <v>43920</v>
      </c>
      <c r="F273" s="207" t="s">
        <v>1534</v>
      </c>
      <c r="G273" s="207" t="s">
        <v>1502</v>
      </c>
      <c r="H273" s="207" t="s">
        <v>525</v>
      </c>
      <c r="I273" s="207">
        <v>16</v>
      </c>
      <c r="J273" s="334">
        <v>10</v>
      </c>
      <c r="K273" s="334">
        <v>160</v>
      </c>
      <c r="L273" s="334">
        <v>5</v>
      </c>
      <c r="M273" s="336">
        <v>80</v>
      </c>
    </row>
    <row r="274" spans="4:13">
      <c r="D274" s="226">
        <v>1100</v>
      </c>
      <c r="E274" s="224">
        <v>43921</v>
      </c>
      <c r="F274" s="207" t="s">
        <v>1532</v>
      </c>
      <c r="G274" s="207" t="s">
        <v>1499</v>
      </c>
      <c r="H274" s="207" t="s">
        <v>518</v>
      </c>
      <c r="I274" s="207">
        <v>2</v>
      </c>
      <c r="J274" s="334">
        <v>84</v>
      </c>
      <c r="K274" s="334">
        <v>168</v>
      </c>
      <c r="L274" s="334">
        <v>42</v>
      </c>
      <c r="M274" s="336">
        <v>84</v>
      </c>
    </row>
    <row r="275" spans="4:13">
      <c r="D275" s="226">
        <v>1101</v>
      </c>
      <c r="E275" s="224">
        <v>43923</v>
      </c>
      <c r="F275" s="207" t="s">
        <v>1533</v>
      </c>
      <c r="G275" s="207" t="s">
        <v>1503</v>
      </c>
      <c r="H275" s="207" t="s">
        <v>530</v>
      </c>
      <c r="I275" s="207">
        <v>3</v>
      </c>
      <c r="J275" s="334">
        <v>42</v>
      </c>
      <c r="K275" s="334">
        <v>126</v>
      </c>
      <c r="L275" s="334">
        <v>21</v>
      </c>
      <c r="M275" s="336">
        <v>63</v>
      </c>
    </row>
    <row r="276" spans="4:13">
      <c r="D276" s="226">
        <v>1102</v>
      </c>
      <c r="E276" s="224">
        <v>43923</v>
      </c>
      <c r="F276" s="207" t="s">
        <v>1534</v>
      </c>
      <c r="G276" s="207" t="s">
        <v>1502</v>
      </c>
      <c r="H276" s="207" t="s">
        <v>530</v>
      </c>
      <c r="I276" s="207">
        <v>4</v>
      </c>
      <c r="J276" s="334">
        <v>35</v>
      </c>
      <c r="K276" s="334">
        <v>140</v>
      </c>
      <c r="L276" s="334">
        <v>17.5</v>
      </c>
      <c r="M276" s="336">
        <v>70</v>
      </c>
    </row>
    <row r="277" spans="4:13">
      <c r="D277" s="226">
        <v>1103</v>
      </c>
      <c r="E277" s="224">
        <v>43924</v>
      </c>
      <c r="F277" s="207" t="s">
        <v>1531</v>
      </c>
      <c r="G277" s="207" t="s">
        <v>1502</v>
      </c>
      <c r="H277" s="207" t="s">
        <v>520</v>
      </c>
      <c r="I277" s="207">
        <v>2</v>
      </c>
      <c r="J277" s="334">
        <v>143.33000000000001</v>
      </c>
      <c r="K277" s="334">
        <v>286.67</v>
      </c>
      <c r="L277" s="334">
        <v>71.67</v>
      </c>
      <c r="M277" s="336">
        <v>143.33000000000001</v>
      </c>
    </row>
    <row r="278" spans="4:13">
      <c r="D278" s="226">
        <v>1104</v>
      </c>
      <c r="E278" s="224">
        <v>43925</v>
      </c>
      <c r="F278" s="207" t="s">
        <v>1531</v>
      </c>
      <c r="G278" s="207" t="s">
        <v>1502</v>
      </c>
      <c r="H278" s="207" t="s">
        <v>530</v>
      </c>
      <c r="I278" s="207">
        <v>2</v>
      </c>
      <c r="J278" s="334">
        <v>24</v>
      </c>
      <c r="K278" s="334">
        <v>48</v>
      </c>
      <c r="L278" s="334">
        <v>12</v>
      </c>
      <c r="M278" s="336">
        <v>24</v>
      </c>
    </row>
    <row r="279" spans="4:13">
      <c r="D279" s="226">
        <v>1105</v>
      </c>
      <c r="E279" s="224">
        <v>43927</v>
      </c>
      <c r="F279" s="207" t="s">
        <v>1533</v>
      </c>
      <c r="G279" s="207" t="s">
        <v>1494</v>
      </c>
      <c r="H279" s="207" t="s">
        <v>534</v>
      </c>
      <c r="I279" s="207">
        <v>10</v>
      </c>
      <c r="J279" s="334">
        <v>10</v>
      </c>
      <c r="K279" s="334">
        <v>100</v>
      </c>
      <c r="L279" s="334">
        <v>5</v>
      </c>
      <c r="M279" s="336">
        <v>50</v>
      </c>
    </row>
    <row r="280" spans="4:13">
      <c r="D280" s="226">
        <v>1106</v>
      </c>
      <c r="E280" s="224">
        <v>43929</v>
      </c>
      <c r="F280" s="207" t="s">
        <v>1532</v>
      </c>
      <c r="G280" s="207" t="s">
        <v>1497</v>
      </c>
      <c r="H280" s="207" t="s">
        <v>518</v>
      </c>
      <c r="I280" s="207">
        <v>1</v>
      </c>
      <c r="J280" s="334">
        <v>33</v>
      </c>
      <c r="K280" s="334">
        <v>33</v>
      </c>
      <c r="L280" s="334">
        <v>16.5</v>
      </c>
      <c r="M280" s="336">
        <v>16.5</v>
      </c>
    </row>
    <row r="281" spans="4:13">
      <c r="D281" s="226">
        <v>1107</v>
      </c>
      <c r="E281" s="224">
        <v>43929</v>
      </c>
      <c r="F281" s="207" t="s">
        <v>1530</v>
      </c>
      <c r="G281" s="207" t="s">
        <v>1502</v>
      </c>
      <c r="H281" s="207" t="s">
        <v>530</v>
      </c>
      <c r="I281" s="207">
        <v>1</v>
      </c>
      <c r="J281" s="334">
        <v>33</v>
      </c>
      <c r="K281" s="334">
        <v>33</v>
      </c>
      <c r="L281" s="334">
        <v>16.5</v>
      </c>
      <c r="M281" s="336">
        <v>16.5</v>
      </c>
    </row>
    <row r="282" spans="4:13">
      <c r="D282" s="226">
        <v>1108</v>
      </c>
      <c r="E282" s="224">
        <v>43933</v>
      </c>
      <c r="F282" s="207" t="s">
        <v>1533</v>
      </c>
      <c r="G282" s="207" t="s">
        <v>1494</v>
      </c>
      <c r="H282" s="207" t="s">
        <v>525</v>
      </c>
      <c r="I282" s="207">
        <v>1</v>
      </c>
      <c r="J282" s="334">
        <v>24</v>
      </c>
      <c r="K282" s="334">
        <v>24</v>
      </c>
      <c r="L282" s="334">
        <v>12</v>
      </c>
      <c r="M282" s="336">
        <v>12</v>
      </c>
    </row>
    <row r="283" spans="4:13">
      <c r="D283" s="226">
        <v>1109</v>
      </c>
      <c r="E283" s="224">
        <v>43933</v>
      </c>
      <c r="F283" s="207" t="s">
        <v>1534</v>
      </c>
      <c r="G283" s="207" t="s">
        <v>1494</v>
      </c>
      <c r="H283" s="207" t="s">
        <v>520</v>
      </c>
      <c r="I283" s="207">
        <v>2</v>
      </c>
      <c r="J283" s="334">
        <v>389.33</v>
      </c>
      <c r="K283" s="334">
        <v>778.67</v>
      </c>
      <c r="L283" s="334">
        <v>194.67</v>
      </c>
      <c r="M283" s="336">
        <v>389.33</v>
      </c>
    </row>
    <row r="284" spans="4:13">
      <c r="D284" s="226">
        <v>1110</v>
      </c>
      <c r="E284" s="224">
        <v>43934</v>
      </c>
      <c r="F284" s="207" t="s">
        <v>1530</v>
      </c>
      <c r="G284" s="207" t="s">
        <v>1499</v>
      </c>
      <c r="H284" s="207" t="s">
        <v>518</v>
      </c>
      <c r="I284" s="207">
        <v>5</v>
      </c>
      <c r="J284" s="334">
        <v>90</v>
      </c>
      <c r="K284" s="334">
        <v>450</v>
      </c>
      <c r="L284" s="334">
        <v>45</v>
      </c>
      <c r="M284" s="336">
        <v>225</v>
      </c>
    </row>
    <row r="285" spans="4:13">
      <c r="D285" s="226">
        <v>1111</v>
      </c>
      <c r="E285" s="224">
        <v>43934</v>
      </c>
      <c r="F285" s="207" t="s">
        <v>1531</v>
      </c>
      <c r="G285" s="207" t="s">
        <v>1502</v>
      </c>
      <c r="H285" s="207" t="s">
        <v>520</v>
      </c>
      <c r="I285" s="207">
        <v>2</v>
      </c>
      <c r="J285" s="334">
        <v>308.67</v>
      </c>
      <c r="K285" s="334">
        <v>617.33000000000004</v>
      </c>
      <c r="L285" s="334">
        <v>154.33000000000001</v>
      </c>
      <c r="M285" s="336">
        <v>308.67</v>
      </c>
    </row>
    <row r="286" spans="4:13">
      <c r="D286" s="226">
        <v>1112</v>
      </c>
      <c r="E286" s="224">
        <v>43935</v>
      </c>
      <c r="F286" s="207" t="s">
        <v>1534</v>
      </c>
      <c r="G286" s="207" t="s">
        <v>1503</v>
      </c>
      <c r="H286" s="207" t="s">
        <v>518</v>
      </c>
      <c r="I286" s="207">
        <v>5</v>
      </c>
      <c r="J286" s="334">
        <v>244</v>
      </c>
      <c r="K286" s="334">
        <v>1220</v>
      </c>
      <c r="L286" s="334">
        <v>122</v>
      </c>
      <c r="M286" s="336">
        <v>610</v>
      </c>
    </row>
    <row r="287" spans="4:13">
      <c r="D287" s="226">
        <v>1113</v>
      </c>
      <c r="E287" s="224">
        <v>43935</v>
      </c>
      <c r="F287" s="207" t="s">
        <v>1531</v>
      </c>
      <c r="G287" s="207" t="s">
        <v>1499</v>
      </c>
      <c r="H287" s="207" t="s">
        <v>518</v>
      </c>
      <c r="I287" s="207">
        <v>5</v>
      </c>
      <c r="J287" s="334">
        <v>55</v>
      </c>
      <c r="K287" s="334">
        <v>275</v>
      </c>
      <c r="L287" s="334">
        <v>27.5</v>
      </c>
      <c r="M287" s="336">
        <v>137.5</v>
      </c>
    </row>
    <row r="288" spans="4:13">
      <c r="D288" s="226">
        <v>1114</v>
      </c>
      <c r="E288" s="224">
        <v>43935</v>
      </c>
      <c r="F288" s="207" t="s">
        <v>1530</v>
      </c>
      <c r="G288" s="207" t="s">
        <v>1502</v>
      </c>
      <c r="H288" s="207" t="s">
        <v>518</v>
      </c>
      <c r="I288" s="207">
        <v>3</v>
      </c>
      <c r="J288" s="334">
        <v>28</v>
      </c>
      <c r="K288" s="334">
        <v>84</v>
      </c>
      <c r="L288" s="334">
        <v>14</v>
      </c>
      <c r="M288" s="336">
        <v>42</v>
      </c>
    </row>
    <row r="289" spans="4:13">
      <c r="D289" s="226">
        <v>1115</v>
      </c>
      <c r="E289" s="224">
        <v>43938</v>
      </c>
      <c r="F289" s="207" t="s">
        <v>1533</v>
      </c>
      <c r="G289" s="207" t="s">
        <v>1494</v>
      </c>
      <c r="H289" s="207" t="s">
        <v>518</v>
      </c>
      <c r="I289" s="207">
        <v>3</v>
      </c>
      <c r="J289" s="334">
        <v>100</v>
      </c>
      <c r="K289" s="334">
        <v>300</v>
      </c>
      <c r="L289" s="334">
        <v>50</v>
      </c>
      <c r="M289" s="336">
        <v>150</v>
      </c>
    </row>
    <row r="290" spans="4:13">
      <c r="D290" s="226">
        <v>1116</v>
      </c>
      <c r="E290" s="224">
        <v>43942</v>
      </c>
      <c r="F290" s="207" t="s">
        <v>1530</v>
      </c>
      <c r="G290" s="207" t="s">
        <v>1502</v>
      </c>
      <c r="H290" s="207" t="s">
        <v>534</v>
      </c>
      <c r="I290" s="207">
        <v>5</v>
      </c>
      <c r="J290" s="334">
        <v>7</v>
      </c>
      <c r="K290" s="334">
        <v>35</v>
      </c>
      <c r="L290" s="334">
        <v>3.5</v>
      </c>
      <c r="M290" s="336">
        <v>17.5</v>
      </c>
    </row>
    <row r="291" spans="4:13">
      <c r="D291" s="226">
        <v>1117</v>
      </c>
      <c r="E291" s="224">
        <v>43942</v>
      </c>
      <c r="F291" s="207" t="s">
        <v>1533</v>
      </c>
      <c r="G291" s="207" t="s">
        <v>1502</v>
      </c>
      <c r="H291" s="207" t="s">
        <v>518</v>
      </c>
      <c r="I291" s="207">
        <v>10</v>
      </c>
      <c r="J291" s="334">
        <v>27</v>
      </c>
      <c r="K291" s="334">
        <v>270</v>
      </c>
      <c r="L291" s="334">
        <v>13.5</v>
      </c>
      <c r="M291" s="336">
        <v>135</v>
      </c>
    </row>
    <row r="292" spans="4:13">
      <c r="D292" s="226">
        <v>1118</v>
      </c>
      <c r="E292" s="224">
        <v>43942</v>
      </c>
      <c r="F292" s="207" t="s">
        <v>1531</v>
      </c>
      <c r="G292" s="207" t="s">
        <v>1497</v>
      </c>
      <c r="H292" s="207" t="s">
        <v>534</v>
      </c>
      <c r="I292" s="207">
        <v>9</v>
      </c>
      <c r="J292" s="334">
        <v>6</v>
      </c>
      <c r="K292" s="334">
        <v>54</v>
      </c>
      <c r="L292" s="334">
        <v>3</v>
      </c>
      <c r="M292" s="336">
        <v>27</v>
      </c>
    </row>
    <row r="293" spans="4:13">
      <c r="D293" s="226">
        <v>1119</v>
      </c>
      <c r="E293" s="224">
        <v>43943</v>
      </c>
      <c r="F293" s="207" t="s">
        <v>1531</v>
      </c>
      <c r="G293" s="207" t="s">
        <v>1503</v>
      </c>
      <c r="H293" s="207" t="s">
        <v>530</v>
      </c>
      <c r="I293" s="207">
        <v>3</v>
      </c>
      <c r="J293" s="334">
        <v>46</v>
      </c>
      <c r="K293" s="334">
        <v>138</v>
      </c>
      <c r="L293" s="334">
        <v>23</v>
      </c>
      <c r="M293" s="336">
        <v>69</v>
      </c>
    </row>
    <row r="294" spans="4:13">
      <c r="D294" s="226">
        <v>1120</v>
      </c>
      <c r="E294" s="224">
        <v>43944</v>
      </c>
      <c r="F294" s="207" t="s">
        <v>1532</v>
      </c>
      <c r="G294" s="207" t="s">
        <v>1497</v>
      </c>
      <c r="H294" s="207" t="s">
        <v>530</v>
      </c>
      <c r="I294" s="207">
        <v>3</v>
      </c>
      <c r="J294" s="334">
        <v>41</v>
      </c>
      <c r="K294" s="334">
        <v>123</v>
      </c>
      <c r="L294" s="334">
        <v>20.5</v>
      </c>
      <c r="M294" s="336">
        <v>61.5</v>
      </c>
    </row>
    <row r="295" spans="4:13">
      <c r="D295" s="226">
        <v>1121</v>
      </c>
      <c r="E295" s="224">
        <v>43945</v>
      </c>
      <c r="F295" s="207" t="s">
        <v>1530</v>
      </c>
      <c r="G295" s="207" t="s">
        <v>1502</v>
      </c>
      <c r="H295" s="207" t="s">
        <v>525</v>
      </c>
      <c r="I295" s="207">
        <v>16</v>
      </c>
      <c r="J295" s="334">
        <v>5</v>
      </c>
      <c r="K295" s="334">
        <v>80</v>
      </c>
      <c r="L295" s="334">
        <v>2.5</v>
      </c>
      <c r="M295" s="336">
        <v>40</v>
      </c>
    </row>
    <row r="296" spans="4:13">
      <c r="D296" s="226">
        <v>1122</v>
      </c>
      <c r="E296" s="224">
        <v>43945</v>
      </c>
      <c r="F296" s="207" t="s">
        <v>1530</v>
      </c>
      <c r="G296" s="207" t="s">
        <v>1503</v>
      </c>
      <c r="H296" s="207" t="s">
        <v>520</v>
      </c>
      <c r="I296" s="207">
        <v>2</v>
      </c>
      <c r="J296" s="334">
        <v>328.72</v>
      </c>
      <c r="K296" s="334">
        <v>657.44</v>
      </c>
      <c r="L296" s="334">
        <v>164.36</v>
      </c>
      <c r="M296" s="336">
        <v>328.72</v>
      </c>
    </row>
    <row r="297" spans="4:13">
      <c r="D297" s="226">
        <v>1123</v>
      </c>
      <c r="E297" s="224">
        <v>43946</v>
      </c>
      <c r="F297" s="207" t="s">
        <v>1531</v>
      </c>
      <c r="G297" s="207" t="s">
        <v>1503</v>
      </c>
      <c r="H297" s="207" t="s">
        <v>525</v>
      </c>
      <c r="I297" s="207">
        <v>8</v>
      </c>
      <c r="J297" s="334">
        <v>19</v>
      </c>
      <c r="K297" s="334">
        <v>152</v>
      </c>
      <c r="L297" s="334">
        <v>9.5</v>
      </c>
      <c r="M297" s="336">
        <v>76</v>
      </c>
    </row>
    <row r="298" spans="4:13">
      <c r="D298" s="226">
        <v>1124</v>
      </c>
      <c r="E298" s="224">
        <v>43948</v>
      </c>
      <c r="F298" s="207" t="s">
        <v>1532</v>
      </c>
      <c r="G298" s="207" t="s">
        <v>1494</v>
      </c>
      <c r="H298" s="207" t="s">
        <v>518</v>
      </c>
      <c r="I298" s="207">
        <v>7</v>
      </c>
      <c r="J298" s="334">
        <v>170</v>
      </c>
      <c r="K298" s="334">
        <v>1190</v>
      </c>
      <c r="L298" s="334">
        <v>85</v>
      </c>
      <c r="M298" s="336">
        <v>595</v>
      </c>
    </row>
    <row r="299" spans="4:13">
      <c r="D299" s="226">
        <v>1125</v>
      </c>
      <c r="E299" s="224">
        <v>43949</v>
      </c>
      <c r="F299" s="207" t="s">
        <v>1531</v>
      </c>
      <c r="G299" s="207" t="s">
        <v>1499</v>
      </c>
      <c r="H299" s="207" t="s">
        <v>530</v>
      </c>
      <c r="I299" s="207">
        <v>5</v>
      </c>
      <c r="J299" s="334">
        <v>45</v>
      </c>
      <c r="K299" s="334">
        <v>225</v>
      </c>
      <c r="L299" s="334">
        <v>22.5</v>
      </c>
      <c r="M299" s="336">
        <v>112.5</v>
      </c>
    </row>
    <row r="300" spans="4:13">
      <c r="D300" s="226">
        <v>1126</v>
      </c>
      <c r="E300" s="224">
        <v>43952</v>
      </c>
      <c r="F300" s="207" t="s">
        <v>1532</v>
      </c>
      <c r="G300" s="207" t="s">
        <v>1497</v>
      </c>
      <c r="H300" s="207" t="s">
        <v>534</v>
      </c>
      <c r="I300" s="207">
        <v>1</v>
      </c>
      <c r="J300" s="334">
        <v>7</v>
      </c>
      <c r="K300" s="334">
        <v>7</v>
      </c>
      <c r="L300" s="334">
        <v>3.5</v>
      </c>
      <c r="M300" s="336">
        <v>3.5</v>
      </c>
    </row>
    <row r="301" spans="4:13">
      <c r="D301" s="226">
        <v>1127</v>
      </c>
      <c r="E301" s="224">
        <v>43952</v>
      </c>
      <c r="F301" s="207" t="s">
        <v>1533</v>
      </c>
      <c r="G301" s="207" t="s">
        <v>1503</v>
      </c>
      <c r="H301" s="207" t="s">
        <v>530</v>
      </c>
      <c r="I301" s="207">
        <v>3</v>
      </c>
      <c r="J301" s="334">
        <v>44</v>
      </c>
      <c r="K301" s="334">
        <v>132</v>
      </c>
      <c r="L301" s="334">
        <v>22</v>
      </c>
      <c r="M301" s="336">
        <v>66</v>
      </c>
    </row>
    <row r="302" spans="4:13">
      <c r="D302" s="226">
        <v>1128</v>
      </c>
      <c r="E302" s="224">
        <v>43953</v>
      </c>
      <c r="F302" s="207" t="s">
        <v>1532</v>
      </c>
      <c r="G302" s="207" t="s">
        <v>1502</v>
      </c>
      <c r="H302" s="207" t="s">
        <v>530</v>
      </c>
      <c r="I302" s="207">
        <v>3</v>
      </c>
      <c r="J302" s="334">
        <v>39</v>
      </c>
      <c r="K302" s="334">
        <v>117</v>
      </c>
      <c r="L302" s="334">
        <v>19.5</v>
      </c>
      <c r="M302" s="336">
        <v>58.5</v>
      </c>
    </row>
    <row r="303" spans="4:13">
      <c r="D303" s="226">
        <v>1129</v>
      </c>
      <c r="E303" s="224">
        <v>43953</v>
      </c>
      <c r="F303" s="207" t="s">
        <v>1531</v>
      </c>
      <c r="G303" s="207" t="s">
        <v>1502</v>
      </c>
      <c r="H303" s="207" t="s">
        <v>530</v>
      </c>
      <c r="I303" s="207">
        <v>4</v>
      </c>
      <c r="J303" s="334">
        <v>49</v>
      </c>
      <c r="K303" s="334">
        <v>196</v>
      </c>
      <c r="L303" s="334">
        <v>24.5</v>
      </c>
      <c r="M303" s="336">
        <v>98</v>
      </c>
    </row>
    <row r="304" spans="4:13">
      <c r="D304" s="226">
        <v>1130</v>
      </c>
      <c r="E304" s="224">
        <v>43953</v>
      </c>
      <c r="F304" s="207" t="s">
        <v>1533</v>
      </c>
      <c r="G304" s="207" t="s">
        <v>1497</v>
      </c>
      <c r="H304" s="207" t="s">
        <v>530</v>
      </c>
      <c r="I304" s="207">
        <v>2</v>
      </c>
      <c r="J304" s="334">
        <v>23</v>
      </c>
      <c r="K304" s="334">
        <v>46</v>
      </c>
      <c r="L304" s="334">
        <v>11.5</v>
      </c>
      <c r="M304" s="336">
        <v>23</v>
      </c>
    </row>
    <row r="305" spans="4:13">
      <c r="D305" s="226">
        <v>1131</v>
      </c>
      <c r="E305" s="224">
        <v>43954</v>
      </c>
      <c r="F305" s="207" t="s">
        <v>1534</v>
      </c>
      <c r="G305" s="207" t="s">
        <v>1502</v>
      </c>
      <c r="H305" s="207" t="s">
        <v>530</v>
      </c>
      <c r="I305" s="207">
        <v>5</v>
      </c>
      <c r="J305" s="334">
        <v>34</v>
      </c>
      <c r="K305" s="334">
        <v>170</v>
      </c>
      <c r="L305" s="334">
        <v>17</v>
      </c>
      <c r="M305" s="336">
        <v>85</v>
      </c>
    </row>
    <row r="306" spans="4:13">
      <c r="D306" s="226">
        <v>1132</v>
      </c>
      <c r="E306" s="224">
        <v>43956</v>
      </c>
      <c r="F306" s="207" t="s">
        <v>1530</v>
      </c>
      <c r="G306" s="207" t="s">
        <v>1503</v>
      </c>
      <c r="H306" s="207" t="s">
        <v>534</v>
      </c>
      <c r="I306" s="207">
        <v>1</v>
      </c>
      <c r="J306" s="334">
        <v>10</v>
      </c>
      <c r="K306" s="334">
        <v>10</v>
      </c>
      <c r="L306" s="334">
        <v>5</v>
      </c>
      <c r="M306" s="336">
        <v>5</v>
      </c>
    </row>
    <row r="307" spans="4:13">
      <c r="D307" s="226">
        <v>1133</v>
      </c>
      <c r="E307" s="224">
        <v>43957</v>
      </c>
      <c r="F307" s="207" t="s">
        <v>1530</v>
      </c>
      <c r="G307" s="207" t="s">
        <v>1494</v>
      </c>
      <c r="H307" s="207" t="s">
        <v>520</v>
      </c>
      <c r="I307" s="207">
        <v>2</v>
      </c>
      <c r="J307" s="334">
        <v>479.33</v>
      </c>
      <c r="K307" s="334">
        <v>958.67</v>
      </c>
      <c r="L307" s="334">
        <v>239.67</v>
      </c>
      <c r="M307" s="336">
        <v>479.33</v>
      </c>
    </row>
    <row r="308" spans="4:13">
      <c r="D308" s="226">
        <v>1134</v>
      </c>
      <c r="E308" s="224">
        <v>43958</v>
      </c>
      <c r="F308" s="207" t="s">
        <v>1534</v>
      </c>
      <c r="G308" s="207" t="s">
        <v>1503</v>
      </c>
      <c r="H308" s="207" t="s">
        <v>530</v>
      </c>
      <c r="I308" s="207">
        <v>4</v>
      </c>
      <c r="J308" s="334">
        <v>31</v>
      </c>
      <c r="K308" s="334">
        <v>124</v>
      </c>
      <c r="L308" s="334">
        <v>15.5</v>
      </c>
      <c r="M308" s="336">
        <v>62</v>
      </c>
    </row>
    <row r="309" spans="4:13">
      <c r="D309" s="226">
        <v>1135</v>
      </c>
      <c r="E309" s="224">
        <v>43958</v>
      </c>
      <c r="F309" s="207" t="s">
        <v>1534</v>
      </c>
      <c r="G309" s="207" t="s">
        <v>1503</v>
      </c>
      <c r="H309" s="207" t="s">
        <v>534</v>
      </c>
      <c r="I309" s="207">
        <v>9</v>
      </c>
      <c r="J309" s="334">
        <v>9</v>
      </c>
      <c r="K309" s="334">
        <v>81</v>
      </c>
      <c r="L309" s="334">
        <v>4.5</v>
      </c>
      <c r="M309" s="336">
        <v>40.5</v>
      </c>
    </row>
    <row r="310" spans="4:13">
      <c r="D310" s="226">
        <v>1136</v>
      </c>
      <c r="E310" s="224">
        <v>43958</v>
      </c>
      <c r="F310" s="207" t="s">
        <v>1534</v>
      </c>
      <c r="G310" s="207" t="s">
        <v>1502</v>
      </c>
      <c r="H310" s="207" t="s">
        <v>530</v>
      </c>
      <c r="I310" s="207">
        <v>3</v>
      </c>
      <c r="J310" s="334">
        <v>22</v>
      </c>
      <c r="K310" s="334">
        <v>66</v>
      </c>
      <c r="L310" s="334">
        <v>11</v>
      </c>
      <c r="M310" s="336">
        <v>33</v>
      </c>
    </row>
    <row r="311" spans="4:13">
      <c r="D311" s="226">
        <v>1137</v>
      </c>
      <c r="E311" s="224">
        <v>43961</v>
      </c>
      <c r="F311" s="207" t="s">
        <v>1530</v>
      </c>
      <c r="G311" s="207" t="s">
        <v>1497</v>
      </c>
      <c r="H311" s="207" t="s">
        <v>525</v>
      </c>
      <c r="I311" s="207">
        <v>20</v>
      </c>
      <c r="J311" s="334">
        <v>7</v>
      </c>
      <c r="K311" s="334">
        <v>140</v>
      </c>
      <c r="L311" s="334">
        <v>3.5</v>
      </c>
      <c r="M311" s="336">
        <v>70</v>
      </c>
    </row>
    <row r="312" spans="4:13">
      <c r="D312" s="226">
        <v>1138</v>
      </c>
      <c r="E312" s="224">
        <v>43962</v>
      </c>
      <c r="F312" s="207" t="s">
        <v>1533</v>
      </c>
      <c r="G312" s="207" t="s">
        <v>1503</v>
      </c>
      <c r="H312" s="207" t="s">
        <v>530</v>
      </c>
      <c r="I312" s="207">
        <v>6</v>
      </c>
      <c r="J312" s="334">
        <v>27</v>
      </c>
      <c r="K312" s="334">
        <v>162</v>
      </c>
      <c r="L312" s="334">
        <v>13.5</v>
      </c>
      <c r="M312" s="336">
        <v>81</v>
      </c>
    </row>
    <row r="313" spans="4:13">
      <c r="D313" s="226">
        <v>1139</v>
      </c>
      <c r="E313" s="224">
        <v>43964</v>
      </c>
      <c r="F313" s="207" t="s">
        <v>1531</v>
      </c>
      <c r="G313" s="207" t="s">
        <v>1497</v>
      </c>
      <c r="H313" s="207" t="s">
        <v>520</v>
      </c>
      <c r="I313" s="207">
        <v>1</v>
      </c>
      <c r="J313" s="334">
        <v>236</v>
      </c>
      <c r="K313" s="334">
        <v>236</v>
      </c>
      <c r="L313" s="334">
        <v>118</v>
      </c>
      <c r="M313" s="336">
        <v>118</v>
      </c>
    </row>
    <row r="314" spans="4:13">
      <c r="D314" s="226">
        <v>1140</v>
      </c>
      <c r="E314" s="224">
        <v>43965</v>
      </c>
      <c r="F314" s="207" t="s">
        <v>1533</v>
      </c>
      <c r="G314" s="207" t="s">
        <v>1503</v>
      </c>
      <c r="H314" s="207" t="s">
        <v>525</v>
      </c>
      <c r="I314" s="207">
        <v>16</v>
      </c>
      <c r="J314" s="334">
        <v>45</v>
      </c>
      <c r="K314" s="334">
        <v>720</v>
      </c>
      <c r="L314" s="334">
        <v>22.5</v>
      </c>
      <c r="M314" s="336">
        <v>360</v>
      </c>
    </row>
    <row r="315" spans="4:13">
      <c r="D315" s="226">
        <v>1141</v>
      </c>
      <c r="E315" s="224">
        <v>43965</v>
      </c>
      <c r="F315" s="207" t="s">
        <v>1533</v>
      </c>
      <c r="G315" s="207" t="s">
        <v>1503</v>
      </c>
      <c r="H315" s="207" t="s">
        <v>520</v>
      </c>
      <c r="I315" s="207">
        <v>1</v>
      </c>
      <c r="J315" s="334">
        <v>569.74</v>
      </c>
      <c r="K315" s="334">
        <v>569.74</v>
      </c>
      <c r="L315" s="334">
        <v>284.87</v>
      </c>
      <c r="M315" s="336">
        <v>284.87</v>
      </c>
    </row>
    <row r="316" spans="4:13">
      <c r="D316" s="226">
        <v>1142</v>
      </c>
      <c r="E316" s="224">
        <v>43965</v>
      </c>
      <c r="F316" s="207" t="s">
        <v>1530</v>
      </c>
      <c r="G316" s="207" t="s">
        <v>1502</v>
      </c>
      <c r="H316" s="207" t="s">
        <v>520</v>
      </c>
      <c r="I316" s="207">
        <v>1</v>
      </c>
      <c r="J316" s="334">
        <v>240</v>
      </c>
      <c r="K316" s="334">
        <v>240</v>
      </c>
      <c r="L316" s="334">
        <v>120</v>
      </c>
      <c r="M316" s="336">
        <v>120</v>
      </c>
    </row>
    <row r="317" spans="4:13">
      <c r="D317" s="226">
        <v>1143</v>
      </c>
      <c r="E317" s="224">
        <v>43965</v>
      </c>
      <c r="F317" s="207" t="s">
        <v>1530</v>
      </c>
      <c r="G317" s="207" t="s">
        <v>1499</v>
      </c>
      <c r="H317" s="207" t="s">
        <v>518</v>
      </c>
      <c r="I317" s="207">
        <v>6</v>
      </c>
      <c r="J317" s="334">
        <v>58</v>
      </c>
      <c r="K317" s="334">
        <v>348</v>
      </c>
      <c r="L317" s="334">
        <v>29</v>
      </c>
      <c r="M317" s="336">
        <v>174</v>
      </c>
    </row>
    <row r="318" spans="4:13">
      <c r="D318" s="226">
        <v>1144</v>
      </c>
      <c r="E318" s="224">
        <v>43967</v>
      </c>
      <c r="F318" s="207" t="s">
        <v>1532</v>
      </c>
      <c r="G318" s="207" t="s">
        <v>1494</v>
      </c>
      <c r="H318" s="207" t="s">
        <v>534</v>
      </c>
      <c r="I318" s="207">
        <v>9</v>
      </c>
      <c r="J318" s="334">
        <v>8</v>
      </c>
      <c r="K318" s="334">
        <v>72</v>
      </c>
      <c r="L318" s="334">
        <v>4</v>
      </c>
      <c r="M318" s="336">
        <v>36</v>
      </c>
    </row>
    <row r="319" spans="4:13">
      <c r="D319" s="226">
        <v>1145</v>
      </c>
      <c r="E319" s="224">
        <v>43967</v>
      </c>
      <c r="F319" s="207" t="s">
        <v>1530</v>
      </c>
      <c r="G319" s="207" t="s">
        <v>1502</v>
      </c>
      <c r="H319" s="207" t="s">
        <v>534</v>
      </c>
      <c r="I319" s="207">
        <v>10</v>
      </c>
      <c r="J319" s="334">
        <v>8</v>
      </c>
      <c r="K319" s="334">
        <v>80</v>
      </c>
      <c r="L319" s="334">
        <v>4</v>
      </c>
      <c r="M319" s="336">
        <v>40</v>
      </c>
    </row>
    <row r="320" spans="4:13">
      <c r="D320" s="226">
        <v>1146</v>
      </c>
      <c r="E320" s="224">
        <v>43967</v>
      </c>
      <c r="F320" s="207" t="s">
        <v>1534</v>
      </c>
      <c r="G320" s="207" t="s">
        <v>1497</v>
      </c>
      <c r="H320" s="207" t="s">
        <v>530</v>
      </c>
      <c r="I320" s="207">
        <v>3</v>
      </c>
      <c r="J320" s="334">
        <v>33</v>
      </c>
      <c r="K320" s="334">
        <v>99</v>
      </c>
      <c r="L320" s="334">
        <v>16.5</v>
      </c>
      <c r="M320" s="336">
        <v>49.5</v>
      </c>
    </row>
    <row r="321" spans="4:13">
      <c r="D321" s="226">
        <v>1147</v>
      </c>
      <c r="E321" s="224">
        <v>43968</v>
      </c>
      <c r="F321" s="207" t="s">
        <v>1530</v>
      </c>
      <c r="G321" s="207" t="s">
        <v>1497</v>
      </c>
      <c r="H321" s="207" t="s">
        <v>534</v>
      </c>
      <c r="I321" s="207">
        <v>9</v>
      </c>
      <c r="J321" s="334">
        <v>9</v>
      </c>
      <c r="K321" s="334">
        <v>81</v>
      </c>
      <c r="L321" s="334">
        <v>4.5</v>
      </c>
      <c r="M321" s="336">
        <v>40.5</v>
      </c>
    </row>
    <row r="322" spans="4:13">
      <c r="D322" s="226">
        <v>1148</v>
      </c>
      <c r="E322" s="224">
        <v>43969</v>
      </c>
      <c r="F322" s="207" t="s">
        <v>1530</v>
      </c>
      <c r="G322" s="207" t="s">
        <v>1497</v>
      </c>
      <c r="H322" s="207" t="s">
        <v>530</v>
      </c>
      <c r="I322" s="207">
        <v>8</v>
      </c>
      <c r="J322" s="334">
        <v>33</v>
      </c>
      <c r="K322" s="334">
        <v>264</v>
      </c>
      <c r="L322" s="334">
        <v>16.5</v>
      </c>
      <c r="M322" s="336">
        <v>132</v>
      </c>
    </row>
    <row r="323" spans="4:13">
      <c r="D323" s="226">
        <v>1149</v>
      </c>
      <c r="E323" s="224">
        <v>43970</v>
      </c>
      <c r="F323" s="207" t="s">
        <v>1530</v>
      </c>
      <c r="G323" s="207" t="s">
        <v>1497</v>
      </c>
      <c r="H323" s="207" t="s">
        <v>525</v>
      </c>
      <c r="I323" s="207">
        <v>3</v>
      </c>
      <c r="J323" s="334">
        <v>19</v>
      </c>
      <c r="K323" s="334">
        <v>57</v>
      </c>
      <c r="L323" s="334">
        <v>9.5</v>
      </c>
      <c r="M323" s="336">
        <v>28.5</v>
      </c>
    </row>
    <row r="324" spans="4:13">
      <c r="D324" s="226">
        <v>1150</v>
      </c>
      <c r="E324" s="224">
        <v>43970</v>
      </c>
      <c r="F324" s="207" t="s">
        <v>1534</v>
      </c>
      <c r="G324" s="207" t="s">
        <v>1497</v>
      </c>
      <c r="H324" s="207" t="s">
        <v>530</v>
      </c>
      <c r="I324" s="207">
        <v>1</v>
      </c>
      <c r="J324" s="334">
        <v>37</v>
      </c>
      <c r="K324" s="334">
        <v>37</v>
      </c>
      <c r="L324" s="334">
        <v>18.5</v>
      </c>
      <c r="M324" s="336">
        <v>18.5</v>
      </c>
    </row>
    <row r="325" spans="4:13">
      <c r="D325" s="226">
        <v>1151</v>
      </c>
      <c r="E325" s="224">
        <v>43970</v>
      </c>
      <c r="F325" s="207" t="s">
        <v>1531</v>
      </c>
      <c r="G325" s="207" t="s">
        <v>1494</v>
      </c>
      <c r="H325" s="207" t="s">
        <v>530</v>
      </c>
      <c r="I325" s="207">
        <v>7</v>
      </c>
      <c r="J325" s="334">
        <v>40</v>
      </c>
      <c r="K325" s="334">
        <v>280</v>
      </c>
      <c r="L325" s="334">
        <v>20</v>
      </c>
      <c r="M325" s="336">
        <v>140</v>
      </c>
    </row>
    <row r="326" spans="4:13">
      <c r="D326" s="226">
        <v>1152</v>
      </c>
      <c r="E326" s="224">
        <v>43973</v>
      </c>
      <c r="F326" s="207" t="s">
        <v>1531</v>
      </c>
      <c r="G326" s="207" t="s">
        <v>1497</v>
      </c>
      <c r="H326" s="207" t="s">
        <v>520</v>
      </c>
      <c r="I326" s="207">
        <v>2</v>
      </c>
      <c r="J326" s="334">
        <v>293.33</v>
      </c>
      <c r="K326" s="334">
        <v>586.66999999999996</v>
      </c>
      <c r="L326" s="334">
        <v>146.66999999999999</v>
      </c>
      <c r="M326" s="336">
        <v>293.33</v>
      </c>
    </row>
    <row r="327" spans="4:13">
      <c r="D327" s="226">
        <v>1153</v>
      </c>
      <c r="E327" s="224">
        <v>43973</v>
      </c>
      <c r="F327" s="207" t="s">
        <v>1533</v>
      </c>
      <c r="G327" s="207" t="s">
        <v>1503</v>
      </c>
      <c r="H327" s="207" t="s">
        <v>530</v>
      </c>
      <c r="I327" s="207">
        <v>1</v>
      </c>
      <c r="J327" s="334">
        <v>26</v>
      </c>
      <c r="K327" s="334">
        <v>26</v>
      </c>
      <c r="L327" s="334">
        <v>13</v>
      </c>
      <c r="M327" s="336">
        <v>13</v>
      </c>
    </row>
    <row r="328" spans="4:13">
      <c r="D328" s="226">
        <v>1154</v>
      </c>
      <c r="E328" s="224">
        <v>43975</v>
      </c>
      <c r="F328" s="207" t="s">
        <v>1530</v>
      </c>
      <c r="G328" s="207" t="s">
        <v>1502</v>
      </c>
      <c r="H328" s="207" t="s">
        <v>534</v>
      </c>
      <c r="I328" s="207">
        <v>2</v>
      </c>
      <c r="J328" s="334">
        <v>10</v>
      </c>
      <c r="K328" s="334">
        <v>20</v>
      </c>
      <c r="L328" s="334">
        <v>5</v>
      </c>
      <c r="M328" s="336">
        <v>10</v>
      </c>
    </row>
    <row r="329" spans="4:13">
      <c r="D329" s="226">
        <v>1155</v>
      </c>
      <c r="E329" s="224">
        <v>43977</v>
      </c>
      <c r="F329" s="207" t="s">
        <v>1533</v>
      </c>
      <c r="G329" s="207" t="s">
        <v>1502</v>
      </c>
      <c r="H329" s="207" t="s">
        <v>520</v>
      </c>
      <c r="I329" s="207">
        <v>1</v>
      </c>
      <c r="J329" s="334">
        <v>194</v>
      </c>
      <c r="K329" s="334">
        <v>194</v>
      </c>
      <c r="L329" s="334">
        <v>97</v>
      </c>
      <c r="M329" s="336">
        <v>97</v>
      </c>
    </row>
    <row r="330" spans="4:13">
      <c r="D330" s="226">
        <v>1156</v>
      </c>
      <c r="E330" s="224">
        <v>43977</v>
      </c>
      <c r="F330" s="207" t="s">
        <v>1534</v>
      </c>
      <c r="G330" s="207" t="s">
        <v>1502</v>
      </c>
      <c r="H330" s="207" t="s">
        <v>520</v>
      </c>
      <c r="I330" s="207">
        <v>2</v>
      </c>
      <c r="J330" s="334">
        <v>109.33</v>
      </c>
      <c r="K330" s="334">
        <v>218.67</v>
      </c>
      <c r="L330" s="334">
        <v>54.67</v>
      </c>
      <c r="M330" s="336">
        <v>109.33</v>
      </c>
    </row>
    <row r="331" spans="4:13">
      <c r="D331" s="226">
        <v>1157</v>
      </c>
      <c r="E331" s="224">
        <v>43978</v>
      </c>
      <c r="F331" s="207" t="s">
        <v>1533</v>
      </c>
      <c r="G331" s="207" t="s">
        <v>1494</v>
      </c>
      <c r="H331" s="207" t="s">
        <v>534</v>
      </c>
      <c r="I331" s="207">
        <v>9</v>
      </c>
      <c r="J331" s="334">
        <v>7</v>
      </c>
      <c r="K331" s="334">
        <v>63</v>
      </c>
      <c r="L331" s="334">
        <v>3.5</v>
      </c>
      <c r="M331" s="336">
        <v>31.5</v>
      </c>
    </row>
    <row r="332" spans="4:13">
      <c r="D332" s="226">
        <v>1158</v>
      </c>
      <c r="E332" s="224">
        <v>43978</v>
      </c>
      <c r="F332" s="207" t="s">
        <v>1531</v>
      </c>
      <c r="G332" s="207" t="s">
        <v>1499</v>
      </c>
      <c r="H332" s="207" t="s">
        <v>518</v>
      </c>
      <c r="I332" s="207">
        <v>1</v>
      </c>
      <c r="J332" s="334">
        <v>85</v>
      </c>
      <c r="K332" s="334">
        <v>85</v>
      </c>
      <c r="L332" s="334">
        <v>42.5</v>
      </c>
      <c r="M332" s="336">
        <v>42.5</v>
      </c>
    </row>
    <row r="333" spans="4:13">
      <c r="D333" s="226">
        <v>1159</v>
      </c>
      <c r="E333" s="224">
        <v>43979</v>
      </c>
      <c r="F333" s="207" t="s">
        <v>1531</v>
      </c>
      <c r="G333" s="207" t="s">
        <v>1499</v>
      </c>
      <c r="H333" s="207" t="s">
        <v>534</v>
      </c>
      <c r="I333" s="207">
        <v>8</v>
      </c>
      <c r="J333" s="334">
        <v>9</v>
      </c>
      <c r="K333" s="334">
        <v>72</v>
      </c>
      <c r="L333" s="334">
        <v>4.5</v>
      </c>
      <c r="M333" s="336">
        <v>36</v>
      </c>
    </row>
    <row r="334" spans="4:13">
      <c r="D334" s="226">
        <v>1160</v>
      </c>
      <c r="E334" s="224">
        <v>43980</v>
      </c>
      <c r="F334" s="207" t="s">
        <v>1530</v>
      </c>
      <c r="G334" s="207" t="s">
        <v>1499</v>
      </c>
      <c r="H334" s="207" t="s">
        <v>530</v>
      </c>
      <c r="I334" s="207">
        <v>4</v>
      </c>
      <c r="J334" s="334">
        <v>45</v>
      </c>
      <c r="K334" s="334">
        <v>180</v>
      </c>
      <c r="L334" s="334">
        <v>22.5</v>
      </c>
      <c r="M334" s="336">
        <v>90</v>
      </c>
    </row>
    <row r="335" spans="4:13">
      <c r="D335" s="226">
        <v>1161</v>
      </c>
      <c r="E335" s="224">
        <v>43980</v>
      </c>
      <c r="F335" s="207" t="s">
        <v>1533</v>
      </c>
      <c r="G335" s="207" t="s">
        <v>1494</v>
      </c>
      <c r="H335" s="207" t="s">
        <v>518</v>
      </c>
      <c r="I335" s="207">
        <v>3</v>
      </c>
      <c r="J335" s="334">
        <v>113</v>
      </c>
      <c r="K335" s="334">
        <v>339</v>
      </c>
      <c r="L335" s="334">
        <v>56.5</v>
      </c>
      <c r="M335" s="336">
        <v>169.5</v>
      </c>
    </row>
    <row r="336" spans="4:13">
      <c r="D336" s="226">
        <v>1162</v>
      </c>
      <c r="E336" s="224">
        <v>43980</v>
      </c>
      <c r="F336" s="207" t="s">
        <v>1530</v>
      </c>
      <c r="G336" s="207" t="s">
        <v>1502</v>
      </c>
      <c r="H336" s="207" t="s">
        <v>520</v>
      </c>
      <c r="I336" s="207">
        <v>1</v>
      </c>
      <c r="J336" s="334">
        <v>240</v>
      </c>
      <c r="K336" s="334">
        <v>240</v>
      </c>
      <c r="L336" s="334">
        <v>120</v>
      </c>
      <c r="M336" s="336">
        <v>120</v>
      </c>
    </row>
    <row r="337" spans="4:13">
      <c r="D337" s="226">
        <v>1163</v>
      </c>
      <c r="E337" s="224">
        <v>43981</v>
      </c>
      <c r="F337" s="207" t="s">
        <v>1533</v>
      </c>
      <c r="G337" s="207" t="s">
        <v>1497</v>
      </c>
      <c r="H337" s="207" t="s">
        <v>530</v>
      </c>
      <c r="I337" s="207">
        <v>3</v>
      </c>
      <c r="J337" s="334">
        <v>35</v>
      </c>
      <c r="K337" s="334">
        <v>105</v>
      </c>
      <c r="L337" s="334">
        <v>17.5</v>
      </c>
      <c r="M337" s="336">
        <v>52.5</v>
      </c>
    </row>
    <row r="338" spans="4:13">
      <c r="D338" s="226">
        <v>1164</v>
      </c>
      <c r="E338" s="224">
        <v>43982</v>
      </c>
      <c r="F338" s="207" t="s">
        <v>1530</v>
      </c>
      <c r="G338" s="207" t="s">
        <v>1499</v>
      </c>
      <c r="H338" s="207" t="s">
        <v>520</v>
      </c>
      <c r="I338" s="207">
        <v>2</v>
      </c>
      <c r="J338" s="334">
        <v>251.33</v>
      </c>
      <c r="K338" s="334">
        <v>502.67</v>
      </c>
      <c r="L338" s="334">
        <v>125.67</v>
      </c>
      <c r="M338" s="336">
        <v>251.33</v>
      </c>
    </row>
    <row r="339" spans="4:13">
      <c r="D339" s="226">
        <v>1165</v>
      </c>
      <c r="E339" s="224">
        <v>43983</v>
      </c>
      <c r="F339" s="207" t="s">
        <v>1531</v>
      </c>
      <c r="G339" s="207" t="s">
        <v>1503</v>
      </c>
      <c r="H339" s="207" t="s">
        <v>518</v>
      </c>
      <c r="I339" s="207">
        <v>6</v>
      </c>
      <c r="J339" s="334">
        <v>162</v>
      </c>
      <c r="K339" s="334">
        <v>972</v>
      </c>
      <c r="L339" s="334">
        <v>81</v>
      </c>
      <c r="M339" s="336">
        <v>486</v>
      </c>
    </row>
    <row r="340" spans="4:13">
      <c r="D340" s="226">
        <v>1166</v>
      </c>
      <c r="E340" s="224">
        <v>43983</v>
      </c>
      <c r="F340" s="207" t="s">
        <v>1533</v>
      </c>
      <c r="G340" s="207" t="s">
        <v>1494</v>
      </c>
      <c r="H340" s="207" t="s">
        <v>530</v>
      </c>
      <c r="I340" s="207">
        <v>2</v>
      </c>
      <c r="J340" s="334">
        <v>28</v>
      </c>
      <c r="K340" s="334">
        <v>56</v>
      </c>
      <c r="L340" s="334">
        <v>14</v>
      </c>
      <c r="M340" s="336">
        <v>28</v>
      </c>
    </row>
    <row r="341" spans="4:13">
      <c r="D341" s="226">
        <v>1167</v>
      </c>
      <c r="E341" s="224">
        <v>43985</v>
      </c>
      <c r="F341" s="207" t="s">
        <v>1533</v>
      </c>
      <c r="G341" s="207" t="s">
        <v>1499</v>
      </c>
      <c r="H341" s="207" t="s">
        <v>530</v>
      </c>
      <c r="I341" s="207">
        <v>1</v>
      </c>
      <c r="J341" s="334">
        <v>48</v>
      </c>
      <c r="K341" s="334">
        <v>48</v>
      </c>
      <c r="L341" s="334">
        <v>24</v>
      </c>
      <c r="M341" s="336">
        <v>24</v>
      </c>
    </row>
    <row r="342" spans="4:13">
      <c r="D342" s="226">
        <v>1168</v>
      </c>
      <c r="E342" s="224">
        <v>43986</v>
      </c>
      <c r="F342" s="207" t="s">
        <v>1530</v>
      </c>
      <c r="G342" s="207" t="s">
        <v>1499</v>
      </c>
      <c r="H342" s="207" t="s">
        <v>530</v>
      </c>
      <c r="I342" s="207">
        <v>1</v>
      </c>
      <c r="J342" s="334">
        <v>25</v>
      </c>
      <c r="K342" s="334">
        <v>25</v>
      </c>
      <c r="L342" s="334">
        <v>12.5</v>
      </c>
      <c r="M342" s="336">
        <v>12.5</v>
      </c>
    </row>
    <row r="343" spans="4:13">
      <c r="D343" s="226">
        <v>1169</v>
      </c>
      <c r="E343" s="224">
        <v>43987</v>
      </c>
      <c r="F343" s="207" t="s">
        <v>1534</v>
      </c>
      <c r="G343" s="207" t="s">
        <v>1502</v>
      </c>
      <c r="H343" s="207" t="s">
        <v>534</v>
      </c>
      <c r="I343" s="207">
        <v>4</v>
      </c>
      <c r="J343" s="334">
        <v>8</v>
      </c>
      <c r="K343" s="334">
        <v>32</v>
      </c>
      <c r="L343" s="334">
        <v>4</v>
      </c>
      <c r="M343" s="336">
        <v>16</v>
      </c>
    </row>
    <row r="344" spans="4:13">
      <c r="D344" s="226">
        <v>1170</v>
      </c>
      <c r="E344" s="224">
        <v>43987</v>
      </c>
      <c r="F344" s="207" t="s">
        <v>1532</v>
      </c>
      <c r="G344" s="207" t="s">
        <v>1494</v>
      </c>
      <c r="H344" s="207" t="s">
        <v>534</v>
      </c>
      <c r="I344" s="207">
        <v>10</v>
      </c>
      <c r="J344" s="334">
        <v>8</v>
      </c>
      <c r="K344" s="334">
        <v>80</v>
      </c>
      <c r="L344" s="334">
        <v>4</v>
      </c>
      <c r="M344" s="336">
        <v>40</v>
      </c>
    </row>
    <row r="345" spans="4:13">
      <c r="D345" s="226">
        <v>1171</v>
      </c>
      <c r="E345" s="224">
        <v>43989</v>
      </c>
      <c r="F345" s="207" t="s">
        <v>1530</v>
      </c>
      <c r="G345" s="207" t="s">
        <v>1499</v>
      </c>
      <c r="H345" s="207" t="s">
        <v>534</v>
      </c>
      <c r="I345" s="207">
        <v>5</v>
      </c>
      <c r="J345" s="334">
        <v>8</v>
      </c>
      <c r="K345" s="334">
        <v>40</v>
      </c>
      <c r="L345" s="334">
        <v>4</v>
      </c>
      <c r="M345" s="336">
        <v>20</v>
      </c>
    </row>
    <row r="346" spans="4:13">
      <c r="D346" s="226">
        <v>1172</v>
      </c>
      <c r="E346" s="224">
        <v>43989</v>
      </c>
      <c r="F346" s="207" t="s">
        <v>1534</v>
      </c>
      <c r="G346" s="207" t="s">
        <v>1499</v>
      </c>
      <c r="H346" s="207" t="s">
        <v>534</v>
      </c>
      <c r="I346" s="207">
        <v>7</v>
      </c>
      <c r="J346" s="334">
        <v>7</v>
      </c>
      <c r="K346" s="334">
        <v>49</v>
      </c>
      <c r="L346" s="334">
        <v>3.5</v>
      </c>
      <c r="M346" s="336">
        <v>24.5</v>
      </c>
    </row>
    <row r="347" spans="4:13">
      <c r="D347" s="226">
        <v>1173</v>
      </c>
      <c r="E347" s="224">
        <v>43990</v>
      </c>
      <c r="F347" s="207" t="s">
        <v>1533</v>
      </c>
      <c r="G347" s="207" t="s">
        <v>1499</v>
      </c>
      <c r="H347" s="207" t="s">
        <v>518</v>
      </c>
      <c r="I347" s="207">
        <v>7</v>
      </c>
      <c r="J347" s="334">
        <v>73</v>
      </c>
      <c r="K347" s="334">
        <v>511</v>
      </c>
      <c r="L347" s="334">
        <v>36.5</v>
      </c>
      <c r="M347" s="336">
        <v>255.5</v>
      </c>
    </row>
    <row r="348" spans="4:13">
      <c r="D348" s="226">
        <v>1174</v>
      </c>
      <c r="E348" s="224">
        <v>43991</v>
      </c>
      <c r="F348" s="207" t="s">
        <v>1530</v>
      </c>
      <c r="G348" s="207" t="s">
        <v>1502</v>
      </c>
      <c r="H348" s="207" t="s">
        <v>525</v>
      </c>
      <c r="I348" s="207">
        <v>2</v>
      </c>
      <c r="J348" s="334">
        <v>7</v>
      </c>
      <c r="K348" s="334">
        <v>14</v>
      </c>
      <c r="L348" s="334">
        <v>3.5</v>
      </c>
      <c r="M348" s="336">
        <v>7</v>
      </c>
    </row>
    <row r="349" spans="4:13">
      <c r="D349" s="226">
        <v>1175</v>
      </c>
      <c r="E349" s="224">
        <v>43991</v>
      </c>
      <c r="F349" s="207" t="s">
        <v>1532</v>
      </c>
      <c r="G349" s="207" t="s">
        <v>1494</v>
      </c>
      <c r="H349" s="207" t="s">
        <v>530</v>
      </c>
      <c r="I349" s="207">
        <v>1</v>
      </c>
      <c r="J349" s="334">
        <v>26</v>
      </c>
      <c r="K349" s="334">
        <v>26</v>
      </c>
      <c r="L349" s="334">
        <v>13</v>
      </c>
      <c r="M349" s="336">
        <v>13</v>
      </c>
    </row>
    <row r="350" spans="4:13">
      <c r="D350" s="226">
        <v>1176</v>
      </c>
      <c r="E350" s="224">
        <v>43991</v>
      </c>
      <c r="F350" s="207" t="s">
        <v>1532</v>
      </c>
      <c r="G350" s="207" t="s">
        <v>1497</v>
      </c>
      <c r="H350" s="207" t="s">
        <v>534</v>
      </c>
      <c r="I350" s="207">
        <v>4</v>
      </c>
      <c r="J350" s="334">
        <v>6</v>
      </c>
      <c r="K350" s="334">
        <v>24</v>
      </c>
      <c r="L350" s="334">
        <v>3</v>
      </c>
      <c r="M350" s="336">
        <v>12</v>
      </c>
    </row>
    <row r="351" spans="4:13">
      <c r="D351" s="226">
        <v>1177</v>
      </c>
      <c r="E351" s="224">
        <v>43991</v>
      </c>
      <c r="F351" s="207" t="s">
        <v>1530</v>
      </c>
      <c r="G351" s="207" t="s">
        <v>1503</v>
      </c>
      <c r="H351" s="207" t="s">
        <v>530</v>
      </c>
      <c r="I351" s="207">
        <v>2</v>
      </c>
      <c r="J351" s="334">
        <v>40</v>
      </c>
      <c r="K351" s="334">
        <v>80</v>
      </c>
      <c r="L351" s="334">
        <v>20</v>
      </c>
      <c r="M351" s="336">
        <v>40</v>
      </c>
    </row>
    <row r="352" spans="4:13">
      <c r="D352" s="226">
        <v>1178</v>
      </c>
      <c r="E352" s="224">
        <v>43992</v>
      </c>
      <c r="F352" s="207" t="s">
        <v>1531</v>
      </c>
      <c r="G352" s="207" t="s">
        <v>1494</v>
      </c>
      <c r="H352" s="207" t="s">
        <v>525</v>
      </c>
      <c r="I352" s="207">
        <v>11</v>
      </c>
      <c r="J352" s="334">
        <v>30</v>
      </c>
      <c r="K352" s="334">
        <v>330</v>
      </c>
      <c r="L352" s="334">
        <v>15</v>
      </c>
      <c r="M352" s="336">
        <v>165</v>
      </c>
    </row>
    <row r="353" spans="4:13">
      <c r="D353" s="226">
        <v>1179</v>
      </c>
      <c r="E353" s="224">
        <v>43992</v>
      </c>
      <c r="F353" s="207" t="s">
        <v>1532</v>
      </c>
      <c r="G353" s="207" t="s">
        <v>1502</v>
      </c>
      <c r="H353" s="207" t="s">
        <v>525</v>
      </c>
      <c r="I353" s="207">
        <v>6</v>
      </c>
      <c r="J353" s="334">
        <v>6</v>
      </c>
      <c r="K353" s="334">
        <v>36</v>
      </c>
      <c r="L353" s="334">
        <v>3</v>
      </c>
      <c r="M353" s="336">
        <v>18</v>
      </c>
    </row>
    <row r="354" spans="4:13">
      <c r="D354" s="226">
        <v>1180</v>
      </c>
      <c r="E354" s="224">
        <v>43993</v>
      </c>
      <c r="F354" s="207" t="s">
        <v>1530</v>
      </c>
      <c r="G354" s="207" t="s">
        <v>1503</v>
      </c>
      <c r="H354" s="207" t="s">
        <v>530</v>
      </c>
      <c r="I354" s="207">
        <v>7</v>
      </c>
      <c r="J354" s="334">
        <v>33</v>
      </c>
      <c r="K354" s="334">
        <v>231</v>
      </c>
      <c r="L354" s="334">
        <v>16.5</v>
      </c>
      <c r="M354" s="336">
        <v>115.5</v>
      </c>
    </row>
    <row r="355" spans="4:13">
      <c r="D355" s="226">
        <v>1181</v>
      </c>
      <c r="E355" s="224">
        <v>43993</v>
      </c>
      <c r="F355" s="207" t="s">
        <v>1531</v>
      </c>
      <c r="G355" s="207" t="s">
        <v>1497</v>
      </c>
      <c r="H355" s="207" t="s">
        <v>518</v>
      </c>
      <c r="I355" s="207">
        <v>5</v>
      </c>
      <c r="J355" s="334">
        <v>44</v>
      </c>
      <c r="K355" s="334">
        <v>220</v>
      </c>
      <c r="L355" s="334">
        <v>22</v>
      </c>
      <c r="M355" s="336">
        <v>110</v>
      </c>
    </row>
    <row r="356" spans="4:13">
      <c r="D356" s="226">
        <v>1182</v>
      </c>
      <c r="E356" s="224">
        <v>43999</v>
      </c>
      <c r="F356" s="207" t="s">
        <v>1532</v>
      </c>
      <c r="G356" s="207" t="s">
        <v>1499</v>
      </c>
      <c r="H356" s="207" t="s">
        <v>520</v>
      </c>
      <c r="I356" s="207">
        <v>2</v>
      </c>
      <c r="J356" s="334">
        <v>260.67</v>
      </c>
      <c r="K356" s="334">
        <v>521.33000000000004</v>
      </c>
      <c r="L356" s="334">
        <v>130.33000000000001</v>
      </c>
      <c r="M356" s="336">
        <v>260.67</v>
      </c>
    </row>
    <row r="357" spans="4:13">
      <c r="D357" s="226">
        <v>1183</v>
      </c>
      <c r="E357" s="224">
        <v>43999</v>
      </c>
      <c r="F357" s="207" t="s">
        <v>1530</v>
      </c>
      <c r="G357" s="207" t="s">
        <v>1497</v>
      </c>
      <c r="H357" s="207" t="s">
        <v>525</v>
      </c>
      <c r="I357" s="207">
        <v>16</v>
      </c>
      <c r="J357" s="334">
        <v>20</v>
      </c>
      <c r="K357" s="334">
        <v>320</v>
      </c>
      <c r="L357" s="334">
        <v>10</v>
      </c>
      <c r="M357" s="336">
        <v>160</v>
      </c>
    </row>
    <row r="358" spans="4:13">
      <c r="D358" s="226">
        <v>1184</v>
      </c>
      <c r="E358" s="224">
        <v>44001</v>
      </c>
      <c r="F358" s="207" t="s">
        <v>1531</v>
      </c>
      <c r="G358" s="207" t="s">
        <v>1497</v>
      </c>
      <c r="H358" s="207" t="s">
        <v>534</v>
      </c>
      <c r="I358" s="207">
        <v>3</v>
      </c>
      <c r="J358" s="334">
        <v>10</v>
      </c>
      <c r="K358" s="334">
        <v>30</v>
      </c>
      <c r="L358" s="334">
        <v>5</v>
      </c>
      <c r="M358" s="336">
        <v>15</v>
      </c>
    </row>
    <row r="359" spans="4:13">
      <c r="D359" s="226">
        <v>1185</v>
      </c>
      <c r="E359" s="224">
        <v>44001</v>
      </c>
      <c r="F359" s="207" t="s">
        <v>1533</v>
      </c>
      <c r="G359" s="207" t="s">
        <v>1502</v>
      </c>
      <c r="H359" s="207" t="s">
        <v>525</v>
      </c>
      <c r="I359" s="207">
        <v>6</v>
      </c>
      <c r="J359" s="334">
        <v>5</v>
      </c>
      <c r="K359" s="334">
        <v>30</v>
      </c>
      <c r="L359" s="334">
        <v>2.5</v>
      </c>
      <c r="M359" s="336">
        <v>15</v>
      </c>
    </row>
    <row r="360" spans="4:13">
      <c r="D360" s="226">
        <v>1186</v>
      </c>
      <c r="E360" s="224">
        <v>44002</v>
      </c>
      <c r="F360" s="207" t="s">
        <v>1532</v>
      </c>
      <c r="G360" s="207" t="s">
        <v>1497</v>
      </c>
      <c r="H360" s="207" t="s">
        <v>520</v>
      </c>
      <c r="I360" s="207">
        <v>2</v>
      </c>
      <c r="J360" s="334">
        <v>316</v>
      </c>
      <c r="K360" s="334">
        <v>632</v>
      </c>
      <c r="L360" s="334">
        <v>158</v>
      </c>
      <c r="M360" s="336">
        <v>316</v>
      </c>
    </row>
    <row r="361" spans="4:13">
      <c r="D361" s="226">
        <v>1187</v>
      </c>
      <c r="E361" s="224">
        <v>44004</v>
      </c>
      <c r="F361" s="207" t="s">
        <v>1531</v>
      </c>
      <c r="G361" s="207" t="s">
        <v>1499</v>
      </c>
      <c r="H361" s="207" t="s">
        <v>525</v>
      </c>
      <c r="I361" s="207">
        <v>9</v>
      </c>
      <c r="J361" s="334">
        <v>11</v>
      </c>
      <c r="K361" s="334">
        <v>99</v>
      </c>
      <c r="L361" s="334">
        <v>5.5</v>
      </c>
      <c r="M361" s="336">
        <v>49.5</v>
      </c>
    </row>
    <row r="362" spans="4:13">
      <c r="D362" s="226">
        <v>1188</v>
      </c>
      <c r="E362" s="224">
        <v>44006</v>
      </c>
      <c r="F362" s="207" t="s">
        <v>1530</v>
      </c>
      <c r="G362" s="207" t="s">
        <v>1497</v>
      </c>
      <c r="H362" s="207" t="s">
        <v>525</v>
      </c>
      <c r="I362" s="207">
        <v>15</v>
      </c>
      <c r="J362" s="334">
        <v>11</v>
      </c>
      <c r="K362" s="334">
        <v>165</v>
      </c>
      <c r="L362" s="334">
        <v>5.5</v>
      </c>
      <c r="M362" s="336">
        <v>82.5</v>
      </c>
    </row>
    <row r="363" spans="4:13">
      <c r="D363" s="226">
        <v>1189</v>
      </c>
      <c r="E363" s="224">
        <v>44008</v>
      </c>
      <c r="F363" s="207" t="s">
        <v>1531</v>
      </c>
      <c r="G363" s="207" t="s">
        <v>1503</v>
      </c>
      <c r="H363" s="207" t="s">
        <v>530</v>
      </c>
      <c r="I363" s="207">
        <v>3</v>
      </c>
      <c r="J363" s="334">
        <v>32</v>
      </c>
      <c r="K363" s="334">
        <v>96</v>
      </c>
      <c r="L363" s="334">
        <v>16</v>
      </c>
      <c r="M363" s="336">
        <v>48</v>
      </c>
    </row>
    <row r="364" spans="4:13">
      <c r="D364" s="226">
        <v>1190</v>
      </c>
      <c r="E364" s="224">
        <v>44009</v>
      </c>
      <c r="F364" s="207" t="s">
        <v>1533</v>
      </c>
      <c r="G364" s="207" t="s">
        <v>1502</v>
      </c>
      <c r="H364" s="207" t="s">
        <v>518</v>
      </c>
      <c r="I364" s="207">
        <v>3</v>
      </c>
      <c r="J364" s="334">
        <v>12</v>
      </c>
      <c r="K364" s="334">
        <v>36</v>
      </c>
      <c r="L364" s="334">
        <v>6</v>
      </c>
      <c r="M364" s="336">
        <v>18</v>
      </c>
    </row>
    <row r="365" spans="4:13">
      <c r="D365" s="226">
        <v>1191</v>
      </c>
      <c r="E365" s="224">
        <v>44009</v>
      </c>
      <c r="F365" s="207" t="s">
        <v>1530</v>
      </c>
      <c r="G365" s="207" t="s">
        <v>1494</v>
      </c>
      <c r="H365" s="207" t="s">
        <v>518</v>
      </c>
      <c r="I365" s="207">
        <v>4</v>
      </c>
      <c r="J365" s="334">
        <v>132</v>
      </c>
      <c r="K365" s="334">
        <v>528</v>
      </c>
      <c r="L365" s="334">
        <v>66</v>
      </c>
      <c r="M365" s="336">
        <v>264</v>
      </c>
    </row>
    <row r="366" spans="4:13">
      <c r="D366" s="226">
        <v>1192</v>
      </c>
      <c r="E366" s="224">
        <v>44010</v>
      </c>
      <c r="F366" s="207" t="s">
        <v>1530</v>
      </c>
      <c r="G366" s="207" t="s">
        <v>1502</v>
      </c>
      <c r="H366" s="207" t="s">
        <v>534</v>
      </c>
      <c r="I366" s="207">
        <v>5</v>
      </c>
      <c r="J366" s="334">
        <v>5</v>
      </c>
      <c r="K366" s="334">
        <v>25</v>
      </c>
      <c r="L366" s="334">
        <v>2.5</v>
      </c>
      <c r="M366" s="336">
        <v>12.5</v>
      </c>
    </row>
    <row r="367" spans="4:13">
      <c r="D367" s="226">
        <v>1193</v>
      </c>
      <c r="E367" s="224">
        <v>44011</v>
      </c>
      <c r="F367" s="207" t="s">
        <v>1534</v>
      </c>
      <c r="G367" s="207" t="s">
        <v>1502</v>
      </c>
      <c r="H367" s="207" t="s">
        <v>518</v>
      </c>
      <c r="I367" s="207">
        <v>9</v>
      </c>
      <c r="J367" s="334">
        <v>19</v>
      </c>
      <c r="K367" s="334">
        <v>171</v>
      </c>
      <c r="L367" s="334">
        <v>9.5</v>
      </c>
      <c r="M367" s="336">
        <v>85.5</v>
      </c>
    </row>
    <row r="368" spans="4:13">
      <c r="D368" s="226">
        <v>1194</v>
      </c>
      <c r="E368" s="224">
        <v>44012</v>
      </c>
      <c r="F368" s="207" t="s">
        <v>1533</v>
      </c>
      <c r="G368" s="207" t="s">
        <v>1497</v>
      </c>
      <c r="H368" s="207" t="s">
        <v>534</v>
      </c>
      <c r="I368" s="207">
        <v>10</v>
      </c>
      <c r="J368" s="334">
        <v>8</v>
      </c>
      <c r="K368" s="334">
        <v>80</v>
      </c>
      <c r="L368" s="334">
        <v>4</v>
      </c>
      <c r="M368" s="336">
        <v>40</v>
      </c>
    </row>
    <row r="369" spans="4:13">
      <c r="D369" s="226">
        <v>1195</v>
      </c>
      <c r="E369" s="224">
        <v>44012</v>
      </c>
      <c r="F369" s="207" t="s">
        <v>1534</v>
      </c>
      <c r="G369" s="207" t="s">
        <v>1499</v>
      </c>
      <c r="H369" s="207" t="s">
        <v>530</v>
      </c>
      <c r="I369" s="207">
        <v>6</v>
      </c>
      <c r="J369" s="334">
        <v>35</v>
      </c>
      <c r="K369" s="334">
        <v>210</v>
      </c>
      <c r="L369" s="334">
        <v>17.5</v>
      </c>
      <c r="M369" s="336">
        <v>105</v>
      </c>
    </row>
    <row r="370" spans="4:13">
      <c r="D370" s="226">
        <v>1196</v>
      </c>
      <c r="E370" s="224">
        <v>44013</v>
      </c>
      <c r="F370" s="207" t="s">
        <v>1533</v>
      </c>
      <c r="G370" s="207" t="s">
        <v>1499</v>
      </c>
      <c r="H370" s="207" t="s">
        <v>534</v>
      </c>
      <c r="I370" s="207">
        <v>9</v>
      </c>
      <c r="J370" s="334">
        <v>9</v>
      </c>
      <c r="K370" s="334">
        <v>81</v>
      </c>
      <c r="L370" s="334">
        <v>4.5</v>
      </c>
      <c r="M370" s="336">
        <v>40.5</v>
      </c>
    </row>
    <row r="371" spans="4:13">
      <c r="D371" s="226">
        <v>1197</v>
      </c>
      <c r="E371" s="224">
        <v>44013</v>
      </c>
      <c r="F371" s="207" t="s">
        <v>1530</v>
      </c>
      <c r="G371" s="207" t="s">
        <v>1502</v>
      </c>
      <c r="H371" s="207" t="s">
        <v>534</v>
      </c>
      <c r="I371" s="207">
        <v>2</v>
      </c>
      <c r="J371" s="334">
        <v>9</v>
      </c>
      <c r="K371" s="334">
        <v>18</v>
      </c>
      <c r="L371" s="334">
        <v>4.5</v>
      </c>
      <c r="M371" s="336">
        <v>9</v>
      </c>
    </row>
    <row r="372" spans="4:13">
      <c r="D372" s="226">
        <v>1198</v>
      </c>
      <c r="E372" s="224">
        <v>44014</v>
      </c>
      <c r="F372" s="207" t="s">
        <v>1531</v>
      </c>
      <c r="G372" s="207" t="s">
        <v>1497</v>
      </c>
      <c r="H372" s="207" t="s">
        <v>525</v>
      </c>
      <c r="I372" s="207">
        <v>15</v>
      </c>
      <c r="J372" s="334">
        <v>25</v>
      </c>
      <c r="K372" s="334">
        <v>375</v>
      </c>
      <c r="L372" s="334">
        <v>12.5</v>
      </c>
      <c r="M372" s="336">
        <v>187.5</v>
      </c>
    </row>
    <row r="373" spans="4:13">
      <c r="D373" s="226">
        <v>1199</v>
      </c>
      <c r="E373" s="224">
        <v>44014</v>
      </c>
      <c r="F373" s="207" t="s">
        <v>1530</v>
      </c>
      <c r="G373" s="207" t="s">
        <v>1497</v>
      </c>
      <c r="H373" s="207" t="s">
        <v>520</v>
      </c>
      <c r="I373" s="207">
        <v>2</v>
      </c>
      <c r="J373" s="334">
        <v>405.33</v>
      </c>
      <c r="K373" s="334">
        <v>810.67</v>
      </c>
      <c r="L373" s="334">
        <v>202.67</v>
      </c>
      <c r="M373" s="336">
        <v>405.33</v>
      </c>
    </row>
    <row r="374" spans="4:13">
      <c r="D374" s="226">
        <v>1200</v>
      </c>
      <c r="E374" s="224">
        <v>44014</v>
      </c>
      <c r="F374" s="207" t="s">
        <v>1533</v>
      </c>
      <c r="G374" s="207" t="s">
        <v>1502</v>
      </c>
      <c r="H374" s="207" t="s">
        <v>518</v>
      </c>
      <c r="I374" s="207">
        <v>6</v>
      </c>
      <c r="J374" s="334">
        <v>25</v>
      </c>
      <c r="K374" s="334">
        <v>150</v>
      </c>
      <c r="L374" s="334">
        <v>12.5</v>
      </c>
      <c r="M374" s="336">
        <v>75</v>
      </c>
    </row>
    <row r="375" spans="4:13">
      <c r="D375" s="226">
        <v>1201</v>
      </c>
      <c r="E375" s="224">
        <v>44015</v>
      </c>
      <c r="F375" s="207" t="s">
        <v>1531</v>
      </c>
      <c r="G375" s="207" t="s">
        <v>1497</v>
      </c>
      <c r="H375" s="207" t="s">
        <v>525</v>
      </c>
      <c r="I375" s="207">
        <v>1</v>
      </c>
      <c r="J375" s="334">
        <v>10</v>
      </c>
      <c r="K375" s="334">
        <v>10</v>
      </c>
      <c r="L375" s="334">
        <v>5</v>
      </c>
      <c r="M375" s="336">
        <v>5</v>
      </c>
    </row>
    <row r="376" spans="4:13">
      <c r="D376" s="226">
        <v>1202</v>
      </c>
      <c r="E376" s="224">
        <v>44015</v>
      </c>
      <c r="F376" s="207" t="s">
        <v>1530</v>
      </c>
      <c r="G376" s="207" t="s">
        <v>1494</v>
      </c>
      <c r="H376" s="207" t="s">
        <v>525</v>
      </c>
      <c r="I376" s="207">
        <v>2</v>
      </c>
      <c r="J376" s="334">
        <v>36</v>
      </c>
      <c r="K376" s="334">
        <v>72</v>
      </c>
      <c r="L376" s="334">
        <v>18</v>
      </c>
      <c r="M376" s="336">
        <v>36</v>
      </c>
    </row>
    <row r="377" spans="4:13">
      <c r="D377" s="226">
        <v>1203</v>
      </c>
      <c r="E377" s="224">
        <v>44016</v>
      </c>
      <c r="F377" s="207" t="s">
        <v>1530</v>
      </c>
      <c r="G377" s="207" t="s">
        <v>1499</v>
      </c>
      <c r="H377" s="207" t="s">
        <v>520</v>
      </c>
      <c r="I377" s="207">
        <v>1</v>
      </c>
      <c r="J377" s="334">
        <v>148.66999999999999</v>
      </c>
      <c r="K377" s="334">
        <v>148.66999999999999</v>
      </c>
      <c r="L377" s="334">
        <v>74.33</v>
      </c>
      <c r="M377" s="336">
        <v>74.33</v>
      </c>
    </row>
    <row r="378" spans="4:13">
      <c r="D378" s="226">
        <v>1204</v>
      </c>
      <c r="E378" s="224">
        <v>44016</v>
      </c>
      <c r="F378" s="207" t="s">
        <v>1530</v>
      </c>
      <c r="G378" s="207" t="s">
        <v>1503</v>
      </c>
      <c r="H378" s="207" t="s">
        <v>530</v>
      </c>
      <c r="I378" s="207">
        <v>5</v>
      </c>
      <c r="J378" s="334">
        <v>41</v>
      </c>
      <c r="K378" s="334">
        <v>205</v>
      </c>
      <c r="L378" s="334">
        <v>20.5</v>
      </c>
      <c r="M378" s="336">
        <v>102.5</v>
      </c>
    </row>
    <row r="379" spans="4:13">
      <c r="D379" s="226">
        <v>1205</v>
      </c>
      <c r="E379" s="224">
        <v>44017</v>
      </c>
      <c r="F379" s="207" t="s">
        <v>1532</v>
      </c>
      <c r="G379" s="207" t="s">
        <v>1497</v>
      </c>
      <c r="H379" s="207" t="s">
        <v>520</v>
      </c>
      <c r="I379" s="207">
        <v>2</v>
      </c>
      <c r="J379" s="334">
        <v>424</v>
      </c>
      <c r="K379" s="334">
        <v>848</v>
      </c>
      <c r="L379" s="334">
        <v>212</v>
      </c>
      <c r="M379" s="336">
        <v>424</v>
      </c>
    </row>
    <row r="380" spans="4:13">
      <c r="D380" s="226">
        <v>1206</v>
      </c>
      <c r="E380" s="224">
        <v>44017</v>
      </c>
      <c r="F380" s="207" t="s">
        <v>1530</v>
      </c>
      <c r="G380" s="207" t="s">
        <v>1502</v>
      </c>
      <c r="H380" s="207" t="s">
        <v>530</v>
      </c>
      <c r="I380" s="207">
        <v>3</v>
      </c>
      <c r="J380" s="334">
        <v>37</v>
      </c>
      <c r="K380" s="334">
        <v>111</v>
      </c>
      <c r="L380" s="334">
        <v>18.5</v>
      </c>
      <c r="M380" s="336">
        <v>55.5</v>
      </c>
    </row>
    <row r="381" spans="4:13">
      <c r="D381" s="226">
        <v>1207</v>
      </c>
      <c r="E381" s="224">
        <v>44019</v>
      </c>
      <c r="F381" s="207" t="s">
        <v>1534</v>
      </c>
      <c r="G381" s="207" t="s">
        <v>1497</v>
      </c>
      <c r="H381" s="207" t="s">
        <v>518</v>
      </c>
      <c r="I381" s="207">
        <v>10</v>
      </c>
      <c r="J381" s="334">
        <v>41</v>
      </c>
      <c r="K381" s="334">
        <v>410</v>
      </c>
      <c r="L381" s="334">
        <v>20.5</v>
      </c>
      <c r="M381" s="336">
        <v>205</v>
      </c>
    </row>
    <row r="382" spans="4:13">
      <c r="D382" s="226">
        <v>1208</v>
      </c>
      <c r="E382" s="224">
        <v>44019</v>
      </c>
      <c r="F382" s="207" t="s">
        <v>1533</v>
      </c>
      <c r="G382" s="207" t="s">
        <v>1499</v>
      </c>
      <c r="H382" s="207" t="s">
        <v>525</v>
      </c>
      <c r="I382" s="207">
        <v>17</v>
      </c>
      <c r="J382" s="334">
        <v>14</v>
      </c>
      <c r="K382" s="334">
        <v>238</v>
      </c>
      <c r="L382" s="334">
        <v>7</v>
      </c>
      <c r="M382" s="336">
        <v>119</v>
      </c>
    </row>
    <row r="383" spans="4:13">
      <c r="D383" s="226">
        <v>1209</v>
      </c>
      <c r="E383" s="224">
        <v>44020</v>
      </c>
      <c r="F383" s="207" t="s">
        <v>1530</v>
      </c>
      <c r="G383" s="207" t="s">
        <v>1502</v>
      </c>
      <c r="H383" s="207" t="s">
        <v>520</v>
      </c>
      <c r="I383" s="207">
        <v>1</v>
      </c>
      <c r="J383" s="334">
        <v>259.33</v>
      </c>
      <c r="K383" s="334">
        <v>259.33</v>
      </c>
      <c r="L383" s="334">
        <v>129.66999999999999</v>
      </c>
      <c r="M383" s="336">
        <v>129.66999999999999</v>
      </c>
    </row>
    <row r="384" spans="4:13">
      <c r="D384" s="226">
        <v>1210</v>
      </c>
      <c r="E384" s="224">
        <v>44020</v>
      </c>
      <c r="F384" s="207" t="s">
        <v>1530</v>
      </c>
      <c r="G384" s="207" t="s">
        <v>1494</v>
      </c>
      <c r="H384" s="207" t="s">
        <v>534</v>
      </c>
      <c r="I384" s="207">
        <v>4</v>
      </c>
      <c r="J384" s="334">
        <v>7</v>
      </c>
      <c r="K384" s="334">
        <v>28</v>
      </c>
      <c r="L384" s="334">
        <v>3.5</v>
      </c>
      <c r="M384" s="336">
        <v>14</v>
      </c>
    </row>
    <row r="385" spans="4:13">
      <c r="D385" s="226">
        <v>1211</v>
      </c>
      <c r="E385" s="224">
        <v>44020</v>
      </c>
      <c r="F385" s="207" t="s">
        <v>1532</v>
      </c>
      <c r="G385" s="207" t="s">
        <v>1494</v>
      </c>
      <c r="H385" s="207" t="s">
        <v>525</v>
      </c>
      <c r="I385" s="207">
        <v>2</v>
      </c>
      <c r="J385" s="334">
        <v>28</v>
      </c>
      <c r="K385" s="334">
        <v>56</v>
      </c>
      <c r="L385" s="334">
        <v>14</v>
      </c>
      <c r="M385" s="336">
        <v>28</v>
      </c>
    </row>
    <row r="386" spans="4:13">
      <c r="D386" s="226">
        <v>1212</v>
      </c>
      <c r="E386" s="224">
        <v>44021</v>
      </c>
      <c r="F386" s="207" t="s">
        <v>1533</v>
      </c>
      <c r="G386" s="207" t="s">
        <v>1499</v>
      </c>
      <c r="H386" s="207" t="s">
        <v>525</v>
      </c>
      <c r="I386" s="207">
        <v>14</v>
      </c>
      <c r="J386" s="334">
        <v>11</v>
      </c>
      <c r="K386" s="334">
        <v>154</v>
      </c>
      <c r="L386" s="334">
        <v>5.5</v>
      </c>
      <c r="M386" s="336">
        <v>77</v>
      </c>
    </row>
    <row r="387" spans="4:13">
      <c r="D387" s="226">
        <v>1213</v>
      </c>
      <c r="E387" s="224">
        <v>44021</v>
      </c>
      <c r="F387" s="207" t="s">
        <v>1530</v>
      </c>
      <c r="G387" s="207" t="s">
        <v>1497</v>
      </c>
      <c r="H387" s="207" t="s">
        <v>518</v>
      </c>
      <c r="I387" s="207">
        <v>3</v>
      </c>
      <c r="J387" s="334">
        <v>26</v>
      </c>
      <c r="K387" s="334">
        <v>78</v>
      </c>
      <c r="L387" s="334">
        <v>13</v>
      </c>
      <c r="M387" s="336">
        <v>39</v>
      </c>
    </row>
    <row r="388" spans="4:13">
      <c r="D388" s="226">
        <v>1214</v>
      </c>
      <c r="E388" s="224">
        <v>44022</v>
      </c>
      <c r="F388" s="207" t="s">
        <v>1532</v>
      </c>
      <c r="G388" s="207" t="s">
        <v>1503</v>
      </c>
      <c r="H388" s="207" t="s">
        <v>530</v>
      </c>
      <c r="I388" s="207">
        <v>3</v>
      </c>
      <c r="J388" s="334">
        <v>37</v>
      </c>
      <c r="K388" s="334">
        <v>111</v>
      </c>
      <c r="L388" s="334">
        <v>18.5</v>
      </c>
      <c r="M388" s="336">
        <v>55.5</v>
      </c>
    </row>
    <row r="389" spans="4:13">
      <c r="D389" s="226">
        <v>1215</v>
      </c>
      <c r="E389" s="224">
        <v>44023</v>
      </c>
      <c r="F389" s="207" t="s">
        <v>1531</v>
      </c>
      <c r="G389" s="207" t="s">
        <v>1499</v>
      </c>
      <c r="H389" s="207" t="s">
        <v>520</v>
      </c>
      <c r="I389" s="207">
        <v>2</v>
      </c>
      <c r="J389" s="334">
        <v>220.67</v>
      </c>
      <c r="K389" s="334">
        <v>441.33</v>
      </c>
      <c r="L389" s="334">
        <v>110.33</v>
      </c>
      <c r="M389" s="336">
        <v>220.67</v>
      </c>
    </row>
    <row r="390" spans="4:13">
      <c r="D390" s="226">
        <v>1216</v>
      </c>
      <c r="E390" s="224">
        <v>44024</v>
      </c>
      <c r="F390" s="207" t="s">
        <v>1532</v>
      </c>
      <c r="G390" s="207" t="s">
        <v>1502</v>
      </c>
      <c r="H390" s="207" t="s">
        <v>518</v>
      </c>
      <c r="I390" s="207">
        <v>8</v>
      </c>
      <c r="J390" s="334">
        <v>28</v>
      </c>
      <c r="K390" s="334">
        <v>224</v>
      </c>
      <c r="L390" s="334">
        <v>14</v>
      </c>
      <c r="M390" s="336">
        <v>112</v>
      </c>
    </row>
    <row r="391" spans="4:13">
      <c r="D391" s="226">
        <v>1217</v>
      </c>
      <c r="E391" s="224">
        <v>44024</v>
      </c>
      <c r="F391" s="207" t="s">
        <v>1531</v>
      </c>
      <c r="G391" s="207" t="s">
        <v>1497</v>
      </c>
      <c r="H391" s="207" t="s">
        <v>518</v>
      </c>
      <c r="I391" s="207">
        <v>1</v>
      </c>
      <c r="J391" s="334">
        <v>27</v>
      </c>
      <c r="K391" s="334">
        <v>27</v>
      </c>
      <c r="L391" s="334">
        <v>13.5</v>
      </c>
      <c r="M391" s="336">
        <v>13.5</v>
      </c>
    </row>
    <row r="392" spans="4:13">
      <c r="D392" s="226">
        <v>1218</v>
      </c>
      <c r="E392" s="224">
        <v>44028</v>
      </c>
      <c r="F392" s="207" t="s">
        <v>1530</v>
      </c>
      <c r="G392" s="207" t="s">
        <v>1499</v>
      </c>
      <c r="H392" s="207" t="s">
        <v>530</v>
      </c>
      <c r="I392" s="207">
        <v>3</v>
      </c>
      <c r="J392" s="334">
        <v>34</v>
      </c>
      <c r="K392" s="334">
        <v>102</v>
      </c>
      <c r="L392" s="334">
        <v>17</v>
      </c>
      <c r="M392" s="336">
        <v>51</v>
      </c>
    </row>
    <row r="393" spans="4:13">
      <c r="D393" s="226">
        <v>1219</v>
      </c>
      <c r="E393" s="224">
        <v>44028</v>
      </c>
      <c r="F393" s="207" t="s">
        <v>1532</v>
      </c>
      <c r="G393" s="207" t="s">
        <v>1497</v>
      </c>
      <c r="H393" s="207" t="s">
        <v>530</v>
      </c>
      <c r="I393" s="207">
        <v>4</v>
      </c>
      <c r="J393" s="334">
        <v>36</v>
      </c>
      <c r="K393" s="334">
        <v>144</v>
      </c>
      <c r="L393" s="334">
        <v>18</v>
      </c>
      <c r="M393" s="336">
        <v>72</v>
      </c>
    </row>
    <row r="394" spans="4:13">
      <c r="D394" s="226">
        <v>1220</v>
      </c>
      <c r="E394" s="224">
        <v>44028</v>
      </c>
      <c r="F394" s="207" t="s">
        <v>1532</v>
      </c>
      <c r="G394" s="207" t="s">
        <v>1503</v>
      </c>
      <c r="H394" s="207" t="s">
        <v>525</v>
      </c>
      <c r="I394" s="207">
        <v>20</v>
      </c>
      <c r="J394" s="334">
        <v>42</v>
      </c>
      <c r="K394" s="334">
        <v>840</v>
      </c>
      <c r="L394" s="334">
        <v>21</v>
      </c>
      <c r="M394" s="336">
        <v>420</v>
      </c>
    </row>
    <row r="395" spans="4:13">
      <c r="D395" s="226">
        <v>1221</v>
      </c>
      <c r="E395" s="224">
        <v>44029</v>
      </c>
      <c r="F395" s="207" t="s">
        <v>1531</v>
      </c>
      <c r="G395" s="207" t="s">
        <v>1503</v>
      </c>
      <c r="H395" s="207" t="s">
        <v>525</v>
      </c>
      <c r="I395" s="207">
        <v>19</v>
      </c>
      <c r="J395" s="334">
        <v>20</v>
      </c>
      <c r="K395" s="334">
        <v>380</v>
      </c>
      <c r="L395" s="334">
        <v>10</v>
      </c>
      <c r="M395" s="336">
        <v>190</v>
      </c>
    </row>
    <row r="396" spans="4:13">
      <c r="D396" s="226">
        <v>1222</v>
      </c>
      <c r="E396" s="224">
        <v>44029</v>
      </c>
      <c r="F396" s="207" t="s">
        <v>1530</v>
      </c>
      <c r="G396" s="207" t="s">
        <v>1494</v>
      </c>
      <c r="H396" s="207" t="s">
        <v>534</v>
      </c>
      <c r="I396" s="207">
        <v>7</v>
      </c>
      <c r="J396" s="334">
        <v>7</v>
      </c>
      <c r="K396" s="334">
        <v>49</v>
      </c>
      <c r="L396" s="334">
        <v>3.5</v>
      </c>
      <c r="M396" s="336">
        <v>24.5</v>
      </c>
    </row>
    <row r="397" spans="4:13">
      <c r="D397" s="226">
        <v>1223</v>
      </c>
      <c r="E397" s="224">
        <v>44030</v>
      </c>
      <c r="F397" s="207" t="s">
        <v>1530</v>
      </c>
      <c r="G397" s="207" t="s">
        <v>1494</v>
      </c>
      <c r="H397" s="207" t="s">
        <v>530</v>
      </c>
      <c r="I397" s="207">
        <v>4</v>
      </c>
      <c r="J397" s="334">
        <v>21</v>
      </c>
      <c r="K397" s="334">
        <v>84</v>
      </c>
      <c r="L397" s="334">
        <v>10.5</v>
      </c>
      <c r="M397" s="336">
        <v>42</v>
      </c>
    </row>
    <row r="398" spans="4:13">
      <c r="D398" s="226">
        <v>1224</v>
      </c>
      <c r="E398" s="224">
        <v>44031</v>
      </c>
      <c r="F398" s="207" t="s">
        <v>1530</v>
      </c>
      <c r="G398" s="207" t="s">
        <v>1494</v>
      </c>
      <c r="H398" s="207" t="s">
        <v>530</v>
      </c>
      <c r="I398" s="207">
        <v>4</v>
      </c>
      <c r="J398" s="334">
        <v>50</v>
      </c>
      <c r="K398" s="334">
        <v>200</v>
      </c>
      <c r="L398" s="334">
        <v>25</v>
      </c>
      <c r="M398" s="336">
        <v>100</v>
      </c>
    </row>
    <row r="399" spans="4:13">
      <c r="D399" s="226">
        <v>1225</v>
      </c>
      <c r="E399" s="224">
        <v>44031</v>
      </c>
      <c r="F399" s="207" t="s">
        <v>1531</v>
      </c>
      <c r="G399" s="207" t="s">
        <v>1503</v>
      </c>
      <c r="H399" s="207" t="s">
        <v>520</v>
      </c>
      <c r="I399" s="207">
        <v>2</v>
      </c>
      <c r="J399" s="334">
        <v>374.36</v>
      </c>
      <c r="K399" s="334">
        <v>748.72</v>
      </c>
      <c r="L399" s="334">
        <v>187.18</v>
      </c>
      <c r="M399" s="336">
        <v>374.36</v>
      </c>
    </row>
    <row r="400" spans="4:13">
      <c r="D400" s="226">
        <v>1226</v>
      </c>
      <c r="E400" s="224">
        <v>44031</v>
      </c>
      <c r="F400" s="207" t="s">
        <v>1533</v>
      </c>
      <c r="G400" s="207" t="s">
        <v>1503</v>
      </c>
      <c r="H400" s="207" t="s">
        <v>518</v>
      </c>
      <c r="I400" s="207">
        <v>3</v>
      </c>
      <c r="J400" s="334">
        <v>151</v>
      </c>
      <c r="K400" s="334">
        <v>453</v>
      </c>
      <c r="L400" s="334">
        <v>75.5</v>
      </c>
      <c r="M400" s="336">
        <v>226.5</v>
      </c>
    </row>
    <row r="401" spans="4:13">
      <c r="D401" s="226">
        <v>1227</v>
      </c>
      <c r="E401" s="224">
        <v>44032</v>
      </c>
      <c r="F401" s="207" t="s">
        <v>1532</v>
      </c>
      <c r="G401" s="207" t="s">
        <v>1499</v>
      </c>
      <c r="H401" s="207" t="s">
        <v>520</v>
      </c>
      <c r="I401" s="207">
        <v>1</v>
      </c>
      <c r="J401" s="334">
        <v>157.33000000000001</v>
      </c>
      <c r="K401" s="334">
        <v>157.33000000000001</v>
      </c>
      <c r="L401" s="334">
        <v>78.67</v>
      </c>
      <c r="M401" s="336">
        <v>78.67</v>
      </c>
    </row>
    <row r="402" spans="4:13">
      <c r="D402" s="226">
        <v>1228</v>
      </c>
      <c r="E402" s="224">
        <v>44032</v>
      </c>
      <c r="F402" s="207" t="s">
        <v>1530</v>
      </c>
      <c r="G402" s="207" t="s">
        <v>1502</v>
      </c>
      <c r="H402" s="207" t="s">
        <v>530</v>
      </c>
      <c r="I402" s="207">
        <v>8</v>
      </c>
      <c r="J402" s="334">
        <v>43</v>
      </c>
      <c r="K402" s="334">
        <v>344</v>
      </c>
      <c r="L402" s="334">
        <v>21.5</v>
      </c>
      <c r="M402" s="336">
        <v>172</v>
      </c>
    </row>
    <row r="403" spans="4:13">
      <c r="D403" s="226">
        <v>1229</v>
      </c>
      <c r="E403" s="224">
        <v>44033</v>
      </c>
      <c r="F403" s="207" t="s">
        <v>1532</v>
      </c>
      <c r="G403" s="207" t="s">
        <v>1494</v>
      </c>
      <c r="H403" s="207" t="s">
        <v>534</v>
      </c>
      <c r="I403" s="207">
        <v>9</v>
      </c>
      <c r="J403" s="334">
        <v>8</v>
      </c>
      <c r="K403" s="334">
        <v>72</v>
      </c>
      <c r="L403" s="334">
        <v>4</v>
      </c>
      <c r="M403" s="336">
        <v>36</v>
      </c>
    </row>
    <row r="404" spans="4:13">
      <c r="D404" s="226">
        <v>1230</v>
      </c>
      <c r="E404" s="224">
        <v>44034</v>
      </c>
      <c r="F404" s="207" t="s">
        <v>1533</v>
      </c>
      <c r="G404" s="207" t="s">
        <v>1502</v>
      </c>
      <c r="H404" s="207" t="s">
        <v>525</v>
      </c>
      <c r="I404" s="207">
        <v>4</v>
      </c>
      <c r="J404" s="334">
        <v>8</v>
      </c>
      <c r="K404" s="334">
        <v>32</v>
      </c>
      <c r="L404" s="334">
        <v>4</v>
      </c>
      <c r="M404" s="336">
        <v>16</v>
      </c>
    </row>
    <row r="405" spans="4:13">
      <c r="D405" s="226">
        <v>1231</v>
      </c>
      <c r="E405" s="224">
        <v>44035</v>
      </c>
      <c r="F405" s="207" t="s">
        <v>1532</v>
      </c>
      <c r="G405" s="207" t="s">
        <v>1499</v>
      </c>
      <c r="H405" s="207" t="s">
        <v>520</v>
      </c>
      <c r="I405" s="207">
        <v>2</v>
      </c>
      <c r="J405" s="334">
        <v>231.33</v>
      </c>
      <c r="K405" s="334">
        <v>462.67</v>
      </c>
      <c r="L405" s="334">
        <v>115.67</v>
      </c>
      <c r="M405" s="336">
        <v>231.33</v>
      </c>
    </row>
    <row r="406" spans="4:13">
      <c r="D406" s="226">
        <v>1232</v>
      </c>
      <c r="E406" s="224">
        <v>44035</v>
      </c>
      <c r="F406" s="207" t="s">
        <v>1531</v>
      </c>
      <c r="G406" s="207" t="s">
        <v>1499</v>
      </c>
      <c r="H406" s="207" t="s">
        <v>530</v>
      </c>
      <c r="I406" s="207">
        <v>8</v>
      </c>
      <c r="J406" s="334">
        <v>39</v>
      </c>
      <c r="K406" s="334">
        <v>312</v>
      </c>
      <c r="L406" s="334">
        <v>19.5</v>
      </c>
      <c r="M406" s="336">
        <v>156</v>
      </c>
    </row>
    <row r="407" spans="4:13">
      <c r="D407" s="226">
        <v>1233</v>
      </c>
      <c r="E407" s="224">
        <v>44036</v>
      </c>
      <c r="F407" s="207" t="s">
        <v>1533</v>
      </c>
      <c r="G407" s="207" t="s">
        <v>1502</v>
      </c>
      <c r="H407" s="207" t="s">
        <v>520</v>
      </c>
      <c r="I407" s="207">
        <v>2</v>
      </c>
      <c r="J407" s="334">
        <v>298</v>
      </c>
      <c r="K407" s="334">
        <v>596</v>
      </c>
      <c r="L407" s="334">
        <v>149</v>
      </c>
      <c r="M407" s="336">
        <v>298</v>
      </c>
    </row>
    <row r="408" spans="4:13">
      <c r="D408" s="226">
        <v>1234</v>
      </c>
      <c r="E408" s="224">
        <v>44036</v>
      </c>
      <c r="F408" s="207" t="s">
        <v>1534</v>
      </c>
      <c r="G408" s="207" t="s">
        <v>1503</v>
      </c>
      <c r="H408" s="207" t="s">
        <v>530</v>
      </c>
      <c r="I408" s="207">
        <v>3</v>
      </c>
      <c r="J408" s="334">
        <v>28</v>
      </c>
      <c r="K408" s="334">
        <v>84</v>
      </c>
      <c r="L408" s="334">
        <v>14</v>
      </c>
      <c r="M408" s="336">
        <v>42</v>
      </c>
    </row>
    <row r="409" spans="4:13">
      <c r="D409" s="226">
        <v>1235</v>
      </c>
      <c r="E409" s="224">
        <v>44036</v>
      </c>
      <c r="F409" s="207" t="s">
        <v>1531</v>
      </c>
      <c r="G409" s="207" t="s">
        <v>1503</v>
      </c>
      <c r="H409" s="207" t="s">
        <v>530</v>
      </c>
      <c r="I409" s="207">
        <v>3</v>
      </c>
      <c r="J409" s="334">
        <v>25</v>
      </c>
      <c r="K409" s="334">
        <v>75</v>
      </c>
      <c r="L409" s="334">
        <v>12.5</v>
      </c>
      <c r="M409" s="336">
        <v>37.5</v>
      </c>
    </row>
    <row r="410" spans="4:13">
      <c r="D410" s="226">
        <v>1236</v>
      </c>
      <c r="E410" s="224">
        <v>44036</v>
      </c>
      <c r="F410" s="207" t="s">
        <v>1530</v>
      </c>
      <c r="G410" s="207" t="s">
        <v>1494</v>
      </c>
      <c r="H410" s="207" t="s">
        <v>530</v>
      </c>
      <c r="I410" s="207">
        <v>5</v>
      </c>
      <c r="J410" s="334">
        <v>45</v>
      </c>
      <c r="K410" s="334">
        <v>225</v>
      </c>
      <c r="L410" s="334">
        <v>22.5</v>
      </c>
      <c r="M410" s="336">
        <v>112.5</v>
      </c>
    </row>
    <row r="411" spans="4:13">
      <c r="D411" s="226">
        <v>1237</v>
      </c>
      <c r="E411" s="224">
        <v>44037</v>
      </c>
      <c r="F411" s="207" t="s">
        <v>1531</v>
      </c>
      <c r="G411" s="207" t="s">
        <v>1499</v>
      </c>
      <c r="H411" s="207" t="s">
        <v>520</v>
      </c>
      <c r="I411" s="207">
        <v>2</v>
      </c>
      <c r="J411" s="334">
        <v>222</v>
      </c>
      <c r="K411" s="334">
        <v>444</v>
      </c>
      <c r="L411" s="334">
        <v>111</v>
      </c>
      <c r="M411" s="336">
        <v>222</v>
      </c>
    </row>
    <row r="412" spans="4:13">
      <c r="D412" s="226">
        <v>1238</v>
      </c>
      <c r="E412" s="224">
        <v>44038</v>
      </c>
      <c r="F412" s="207" t="s">
        <v>1534</v>
      </c>
      <c r="G412" s="207" t="s">
        <v>1502</v>
      </c>
      <c r="H412" s="207" t="s">
        <v>530</v>
      </c>
      <c r="I412" s="207">
        <v>5</v>
      </c>
      <c r="J412" s="334">
        <v>42</v>
      </c>
      <c r="K412" s="334">
        <v>210</v>
      </c>
      <c r="L412" s="334">
        <v>21</v>
      </c>
      <c r="M412" s="336">
        <v>105</v>
      </c>
    </row>
    <row r="413" spans="4:13">
      <c r="D413" s="226">
        <v>1239</v>
      </c>
      <c r="E413" s="224">
        <v>44039</v>
      </c>
      <c r="F413" s="207" t="s">
        <v>1531</v>
      </c>
      <c r="G413" s="207" t="s">
        <v>1502</v>
      </c>
      <c r="H413" s="207" t="s">
        <v>525</v>
      </c>
      <c r="I413" s="207">
        <v>17</v>
      </c>
      <c r="J413" s="334">
        <v>5</v>
      </c>
      <c r="K413" s="334">
        <v>85</v>
      </c>
      <c r="L413" s="334">
        <v>2.5</v>
      </c>
      <c r="M413" s="336">
        <v>42.5</v>
      </c>
    </row>
    <row r="414" spans="4:13">
      <c r="D414" s="226">
        <v>1240</v>
      </c>
      <c r="E414" s="224">
        <v>44040</v>
      </c>
      <c r="F414" s="207" t="s">
        <v>1534</v>
      </c>
      <c r="G414" s="207" t="s">
        <v>1499</v>
      </c>
      <c r="H414" s="207" t="s">
        <v>534</v>
      </c>
      <c r="I414" s="207">
        <v>9</v>
      </c>
      <c r="J414" s="334">
        <v>7</v>
      </c>
      <c r="K414" s="334">
        <v>63</v>
      </c>
      <c r="L414" s="334">
        <v>3.5</v>
      </c>
      <c r="M414" s="336">
        <v>31.5</v>
      </c>
    </row>
    <row r="415" spans="4:13">
      <c r="D415" s="226">
        <v>1241</v>
      </c>
      <c r="E415" s="224">
        <v>44041</v>
      </c>
      <c r="F415" s="207" t="s">
        <v>1534</v>
      </c>
      <c r="G415" s="207" t="s">
        <v>1499</v>
      </c>
      <c r="H415" s="207" t="s">
        <v>518</v>
      </c>
      <c r="I415" s="207">
        <v>5</v>
      </c>
      <c r="J415" s="334">
        <v>60</v>
      </c>
      <c r="K415" s="334">
        <v>300</v>
      </c>
      <c r="L415" s="334">
        <v>30</v>
      </c>
      <c r="M415" s="336">
        <v>150</v>
      </c>
    </row>
    <row r="416" spans="4:13">
      <c r="D416" s="226">
        <v>1242</v>
      </c>
      <c r="E416" s="224">
        <v>44041</v>
      </c>
      <c r="F416" s="207" t="s">
        <v>1530</v>
      </c>
      <c r="G416" s="207" t="s">
        <v>1503</v>
      </c>
      <c r="H416" s="207" t="s">
        <v>525</v>
      </c>
      <c r="I416" s="207">
        <v>18</v>
      </c>
      <c r="J416" s="334">
        <v>43</v>
      </c>
      <c r="K416" s="334">
        <v>774</v>
      </c>
      <c r="L416" s="334">
        <v>21.5</v>
      </c>
      <c r="M416" s="336">
        <v>387</v>
      </c>
    </row>
    <row r="417" spans="4:13">
      <c r="D417" s="226">
        <v>1243</v>
      </c>
      <c r="E417" s="224">
        <v>44041</v>
      </c>
      <c r="F417" s="207" t="s">
        <v>1530</v>
      </c>
      <c r="G417" s="207" t="s">
        <v>1497</v>
      </c>
      <c r="H417" s="207" t="s">
        <v>525</v>
      </c>
      <c r="I417" s="207">
        <v>15</v>
      </c>
      <c r="J417" s="334">
        <v>12</v>
      </c>
      <c r="K417" s="334">
        <v>180</v>
      </c>
      <c r="L417" s="334">
        <v>6</v>
      </c>
      <c r="M417" s="336">
        <v>90</v>
      </c>
    </row>
    <row r="418" spans="4:13">
      <c r="D418" s="226">
        <v>1244</v>
      </c>
      <c r="E418" s="224">
        <v>44041</v>
      </c>
      <c r="F418" s="207" t="s">
        <v>1533</v>
      </c>
      <c r="G418" s="207" t="s">
        <v>1497</v>
      </c>
      <c r="H418" s="207" t="s">
        <v>534</v>
      </c>
      <c r="I418" s="207">
        <v>6</v>
      </c>
      <c r="J418" s="334">
        <v>10</v>
      </c>
      <c r="K418" s="334">
        <v>60</v>
      </c>
      <c r="L418" s="334">
        <v>5</v>
      </c>
      <c r="M418" s="336">
        <v>30</v>
      </c>
    </row>
    <row r="419" spans="4:13">
      <c r="D419" s="226">
        <v>1245</v>
      </c>
      <c r="E419" s="224">
        <v>44042</v>
      </c>
      <c r="F419" s="207" t="s">
        <v>1531</v>
      </c>
      <c r="G419" s="207" t="s">
        <v>1497</v>
      </c>
      <c r="H419" s="207" t="s">
        <v>518</v>
      </c>
      <c r="I419" s="207">
        <v>7</v>
      </c>
      <c r="J419" s="334">
        <v>36</v>
      </c>
      <c r="K419" s="334">
        <v>252</v>
      </c>
      <c r="L419" s="334">
        <v>18</v>
      </c>
      <c r="M419" s="336">
        <v>126</v>
      </c>
    </row>
    <row r="420" spans="4:13">
      <c r="D420" s="226">
        <v>1246</v>
      </c>
      <c r="E420" s="224">
        <v>44043</v>
      </c>
      <c r="F420" s="207" t="s">
        <v>1530</v>
      </c>
      <c r="G420" s="207" t="s">
        <v>1503</v>
      </c>
      <c r="H420" s="207" t="s">
        <v>530</v>
      </c>
      <c r="I420" s="207">
        <v>7</v>
      </c>
      <c r="J420" s="334">
        <v>29</v>
      </c>
      <c r="K420" s="334">
        <v>203</v>
      </c>
      <c r="L420" s="334">
        <v>14.5</v>
      </c>
      <c r="M420" s="336">
        <v>101.5</v>
      </c>
    </row>
    <row r="421" spans="4:13">
      <c r="D421" s="226">
        <v>1247</v>
      </c>
      <c r="E421" s="224">
        <v>44044</v>
      </c>
      <c r="F421" s="207" t="s">
        <v>1534</v>
      </c>
      <c r="G421" s="207" t="s">
        <v>1503</v>
      </c>
      <c r="H421" s="207" t="s">
        <v>534</v>
      </c>
      <c r="I421" s="207">
        <v>9</v>
      </c>
      <c r="J421" s="334">
        <v>6</v>
      </c>
      <c r="K421" s="334">
        <v>54</v>
      </c>
      <c r="L421" s="334">
        <v>3</v>
      </c>
      <c r="M421" s="336">
        <v>27</v>
      </c>
    </row>
    <row r="422" spans="4:13">
      <c r="D422" s="226">
        <v>1248</v>
      </c>
      <c r="E422" s="224">
        <v>44045</v>
      </c>
      <c r="F422" s="207" t="s">
        <v>1533</v>
      </c>
      <c r="G422" s="207" t="s">
        <v>1494</v>
      </c>
      <c r="H422" s="207" t="s">
        <v>525</v>
      </c>
      <c r="I422" s="207">
        <v>15</v>
      </c>
      <c r="J422" s="334">
        <v>31</v>
      </c>
      <c r="K422" s="334">
        <v>465</v>
      </c>
      <c r="L422" s="334">
        <v>15.5</v>
      </c>
      <c r="M422" s="336">
        <v>232.5</v>
      </c>
    </row>
    <row r="423" spans="4:13">
      <c r="D423" s="226">
        <v>1249</v>
      </c>
      <c r="E423" s="224">
        <v>44046</v>
      </c>
      <c r="F423" s="207" t="s">
        <v>1533</v>
      </c>
      <c r="G423" s="207" t="s">
        <v>1494</v>
      </c>
      <c r="H423" s="207" t="s">
        <v>534</v>
      </c>
      <c r="I423" s="207">
        <v>6</v>
      </c>
      <c r="J423" s="334">
        <v>10</v>
      </c>
      <c r="K423" s="334">
        <v>60</v>
      </c>
      <c r="L423" s="334">
        <v>5</v>
      </c>
      <c r="M423" s="336">
        <v>30</v>
      </c>
    </row>
    <row r="424" spans="4:13">
      <c r="D424" s="226">
        <v>1250</v>
      </c>
      <c r="E424" s="224">
        <v>44046</v>
      </c>
      <c r="F424" s="207" t="s">
        <v>1534</v>
      </c>
      <c r="G424" s="207" t="s">
        <v>1502</v>
      </c>
      <c r="H424" s="207" t="s">
        <v>530</v>
      </c>
      <c r="I424" s="207">
        <v>6</v>
      </c>
      <c r="J424" s="334">
        <v>28</v>
      </c>
      <c r="K424" s="334">
        <v>168</v>
      </c>
      <c r="L424" s="334">
        <v>14</v>
      </c>
      <c r="M424" s="336">
        <v>84</v>
      </c>
    </row>
    <row r="425" spans="4:13">
      <c r="D425" s="226">
        <v>1251</v>
      </c>
      <c r="E425" s="224">
        <v>44046</v>
      </c>
      <c r="F425" s="207" t="s">
        <v>1532</v>
      </c>
      <c r="G425" s="207" t="s">
        <v>1494</v>
      </c>
      <c r="H425" s="207" t="s">
        <v>520</v>
      </c>
      <c r="I425" s="207">
        <v>1</v>
      </c>
      <c r="J425" s="334">
        <v>400.67</v>
      </c>
      <c r="K425" s="334">
        <v>400.67</v>
      </c>
      <c r="L425" s="334">
        <v>200.33</v>
      </c>
      <c r="M425" s="336">
        <v>200.33</v>
      </c>
    </row>
    <row r="426" spans="4:13">
      <c r="D426" s="226">
        <v>1252</v>
      </c>
      <c r="E426" s="224">
        <v>44048</v>
      </c>
      <c r="F426" s="207" t="s">
        <v>1532</v>
      </c>
      <c r="G426" s="207" t="s">
        <v>1494</v>
      </c>
      <c r="H426" s="207" t="s">
        <v>534</v>
      </c>
      <c r="I426" s="207">
        <v>6</v>
      </c>
      <c r="J426" s="334">
        <v>5</v>
      </c>
      <c r="K426" s="334">
        <v>30</v>
      </c>
      <c r="L426" s="334">
        <v>2.5</v>
      </c>
      <c r="M426" s="336">
        <v>15</v>
      </c>
    </row>
    <row r="427" spans="4:13">
      <c r="D427" s="226">
        <v>1253</v>
      </c>
      <c r="E427" s="224">
        <v>44048</v>
      </c>
      <c r="F427" s="207" t="s">
        <v>1530</v>
      </c>
      <c r="G427" s="207" t="s">
        <v>1502</v>
      </c>
      <c r="H427" s="207" t="s">
        <v>520</v>
      </c>
      <c r="I427" s="207">
        <v>1</v>
      </c>
      <c r="J427" s="334">
        <v>274</v>
      </c>
      <c r="K427" s="334">
        <v>274</v>
      </c>
      <c r="L427" s="334">
        <v>137</v>
      </c>
      <c r="M427" s="336">
        <v>137</v>
      </c>
    </row>
    <row r="428" spans="4:13">
      <c r="D428" s="226">
        <v>1254</v>
      </c>
      <c r="E428" s="224">
        <v>44049</v>
      </c>
      <c r="F428" s="207" t="s">
        <v>1530</v>
      </c>
      <c r="G428" s="207" t="s">
        <v>1503</v>
      </c>
      <c r="H428" s="207" t="s">
        <v>530</v>
      </c>
      <c r="I428" s="207">
        <v>7</v>
      </c>
      <c r="J428" s="334">
        <v>45</v>
      </c>
      <c r="K428" s="334">
        <v>315</v>
      </c>
      <c r="L428" s="334">
        <v>22.5</v>
      </c>
      <c r="M428" s="336">
        <v>157.5</v>
      </c>
    </row>
    <row r="429" spans="4:13">
      <c r="D429" s="226">
        <v>1255</v>
      </c>
      <c r="E429" s="224">
        <v>44049</v>
      </c>
      <c r="F429" s="207" t="s">
        <v>1533</v>
      </c>
      <c r="G429" s="207" t="s">
        <v>1497</v>
      </c>
      <c r="H429" s="207" t="s">
        <v>534</v>
      </c>
      <c r="I429" s="207">
        <v>1</v>
      </c>
      <c r="J429" s="334">
        <v>6</v>
      </c>
      <c r="K429" s="334">
        <v>6</v>
      </c>
      <c r="L429" s="334">
        <v>3</v>
      </c>
      <c r="M429" s="336">
        <v>3</v>
      </c>
    </row>
    <row r="430" spans="4:13">
      <c r="D430" s="226">
        <v>1256</v>
      </c>
      <c r="E430" s="224">
        <v>44049</v>
      </c>
      <c r="F430" s="207" t="s">
        <v>1530</v>
      </c>
      <c r="G430" s="207" t="s">
        <v>1502</v>
      </c>
      <c r="H430" s="207" t="s">
        <v>518</v>
      </c>
      <c r="I430" s="207">
        <v>6</v>
      </c>
      <c r="J430" s="334">
        <v>25</v>
      </c>
      <c r="K430" s="334">
        <v>150</v>
      </c>
      <c r="L430" s="334">
        <v>12.5</v>
      </c>
      <c r="M430" s="336">
        <v>75</v>
      </c>
    </row>
    <row r="431" spans="4:13">
      <c r="D431" s="226">
        <v>1257</v>
      </c>
      <c r="E431" s="224">
        <v>44051</v>
      </c>
      <c r="F431" s="207" t="s">
        <v>1533</v>
      </c>
      <c r="G431" s="207" t="s">
        <v>1502</v>
      </c>
      <c r="H431" s="207" t="s">
        <v>530</v>
      </c>
      <c r="I431" s="207">
        <v>4</v>
      </c>
      <c r="J431" s="334">
        <v>31</v>
      </c>
      <c r="K431" s="334">
        <v>124</v>
      </c>
      <c r="L431" s="334">
        <v>15.5</v>
      </c>
      <c r="M431" s="336">
        <v>62</v>
      </c>
    </row>
    <row r="432" spans="4:13">
      <c r="D432" s="226">
        <v>1258</v>
      </c>
      <c r="E432" s="224">
        <v>44053</v>
      </c>
      <c r="F432" s="207" t="s">
        <v>1531</v>
      </c>
      <c r="G432" s="207" t="s">
        <v>1499</v>
      </c>
      <c r="H432" s="207" t="s">
        <v>520</v>
      </c>
      <c r="I432" s="207">
        <v>1</v>
      </c>
      <c r="J432" s="334">
        <v>147.33000000000001</v>
      </c>
      <c r="K432" s="334">
        <v>147.33000000000001</v>
      </c>
      <c r="L432" s="334">
        <v>73.67</v>
      </c>
      <c r="M432" s="336">
        <v>73.67</v>
      </c>
    </row>
    <row r="433" spans="4:13">
      <c r="D433" s="226">
        <v>1259</v>
      </c>
      <c r="E433" s="224">
        <v>44053</v>
      </c>
      <c r="F433" s="207" t="s">
        <v>1530</v>
      </c>
      <c r="G433" s="207" t="s">
        <v>1503</v>
      </c>
      <c r="H433" s="207" t="s">
        <v>530</v>
      </c>
      <c r="I433" s="207">
        <v>4</v>
      </c>
      <c r="J433" s="334">
        <v>22</v>
      </c>
      <c r="K433" s="334">
        <v>88</v>
      </c>
      <c r="L433" s="334">
        <v>11</v>
      </c>
      <c r="M433" s="336">
        <v>44</v>
      </c>
    </row>
    <row r="434" spans="4:13">
      <c r="D434" s="226">
        <v>1260</v>
      </c>
      <c r="E434" s="224">
        <v>44056</v>
      </c>
      <c r="F434" s="207" t="s">
        <v>1533</v>
      </c>
      <c r="G434" s="207" t="s">
        <v>1494</v>
      </c>
      <c r="H434" s="207" t="s">
        <v>518</v>
      </c>
      <c r="I434" s="207">
        <v>4</v>
      </c>
      <c r="J434" s="334">
        <v>120</v>
      </c>
      <c r="K434" s="334">
        <v>480</v>
      </c>
      <c r="L434" s="334">
        <v>60</v>
      </c>
      <c r="M434" s="336">
        <v>240</v>
      </c>
    </row>
    <row r="435" spans="4:13">
      <c r="D435" s="226">
        <v>1261</v>
      </c>
      <c r="E435" s="224">
        <v>44060</v>
      </c>
      <c r="F435" s="207" t="s">
        <v>1534</v>
      </c>
      <c r="G435" s="207" t="s">
        <v>1497</v>
      </c>
      <c r="H435" s="207" t="s">
        <v>520</v>
      </c>
      <c r="I435" s="207">
        <v>2</v>
      </c>
      <c r="J435" s="334">
        <v>232.67</v>
      </c>
      <c r="K435" s="334">
        <v>465.33</v>
      </c>
      <c r="L435" s="334">
        <v>116.33</v>
      </c>
      <c r="M435" s="336">
        <v>232.67</v>
      </c>
    </row>
    <row r="436" spans="4:13">
      <c r="D436" s="226">
        <v>1262</v>
      </c>
      <c r="E436" s="224">
        <v>44061</v>
      </c>
      <c r="F436" s="207" t="s">
        <v>1533</v>
      </c>
      <c r="G436" s="207" t="s">
        <v>1499</v>
      </c>
      <c r="H436" s="207" t="s">
        <v>525</v>
      </c>
      <c r="I436" s="207">
        <v>19</v>
      </c>
      <c r="J436" s="334">
        <v>12</v>
      </c>
      <c r="K436" s="334">
        <v>228</v>
      </c>
      <c r="L436" s="334">
        <v>6</v>
      </c>
      <c r="M436" s="336">
        <v>114</v>
      </c>
    </row>
    <row r="437" spans="4:13">
      <c r="D437" s="226">
        <v>1263</v>
      </c>
      <c r="E437" s="224">
        <v>44062</v>
      </c>
      <c r="F437" s="207" t="s">
        <v>1534</v>
      </c>
      <c r="G437" s="207" t="s">
        <v>1502</v>
      </c>
      <c r="H437" s="207" t="s">
        <v>520</v>
      </c>
      <c r="I437" s="207">
        <v>1</v>
      </c>
      <c r="J437" s="334">
        <v>100.67</v>
      </c>
      <c r="K437" s="334">
        <v>100.67</v>
      </c>
      <c r="L437" s="334">
        <v>50.33</v>
      </c>
      <c r="M437" s="336">
        <v>50.33</v>
      </c>
    </row>
    <row r="438" spans="4:13">
      <c r="D438" s="226">
        <v>1264</v>
      </c>
      <c r="E438" s="224">
        <v>44062</v>
      </c>
      <c r="F438" s="207" t="s">
        <v>1534</v>
      </c>
      <c r="G438" s="207" t="s">
        <v>1502</v>
      </c>
      <c r="H438" s="207" t="s">
        <v>520</v>
      </c>
      <c r="I438" s="207">
        <v>2</v>
      </c>
      <c r="J438" s="334">
        <v>246.67</v>
      </c>
      <c r="K438" s="334">
        <v>493.33</v>
      </c>
      <c r="L438" s="334">
        <v>123.33</v>
      </c>
      <c r="M438" s="336">
        <v>246.67</v>
      </c>
    </row>
    <row r="439" spans="4:13">
      <c r="D439" s="226">
        <v>1265</v>
      </c>
      <c r="E439" s="224">
        <v>44064</v>
      </c>
      <c r="F439" s="207" t="s">
        <v>1531</v>
      </c>
      <c r="G439" s="207" t="s">
        <v>1494</v>
      </c>
      <c r="H439" s="207" t="s">
        <v>518</v>
      </c>
      <c r="I439" s="207">
        <v>7</v>
      </c>
      <c r="J439" s="334">
        <v>109</v>
      </c>
      <c r="K439" s="334">
        <v>763</v>
      </c>
      <c r="L439" s="334">
        <v>54.5</v>
      </c>
      <c r="M439" s="336">
        <v>381.5</v>
      </c>
    </row>
    <row r="440" spans="4:13">
      <c r="D440" s="226">
        <v>1266</v>
      </c>
      <c r="E440" s="224">
        <v>44064</v>
      </c>
      <c r="F440" s="207" t="s">
        <v>1534</v>
      </c>
      <c r="G440" s="207" t="s">
        <v>1503</v>
      </c>
      <c r="H440" s="207" t="s">
        <v>530</v>
      </c>
      <c r="I440" s="207">
        <v>1</v>
      </c>
      <c r="J440" s="334">
        <v>32</v>
      </c>
      <c r="K440" s="334">
        <v>32</v>
      </c>
      <c r="L440" s="334">
        <v>16</v>
      </c>
      <c r="M440" s="336">
        <v>16</v>
      </c>
    </row>
    <row r="441" spans="4:13">
      <c r="D441" s="226">
        <v>1267</v>
      </c>
      <c r="E441" s="224">
        <v>44064</v>
      </c>
      <c r="F441" s="207" t="s">
        <v>1534</v>
      </c>
      <c r="G441" s="207" t="s">
        <v>1497</v>
      </c>
      <c r="H441" s="207" t="s">
        <v>525</v>
      </c>
      <c r="I441" s="207">
        <v>8</v>
      </c>
      <c r="J441" s="334">
        <v>17</v>
      </c>
      <c r="K441" s="334">
        <v>136</v>
      </c>
      <c r="L441" s="334">
        <v>8.5</v>
      </c>
      <c r="M441" s="336">
        <v>68</v>
      </c>
    </row>
    <row r="442" spans="4:13">
      <c r="D442" s="226">
        <v>1268</v>
      </c>
      <c r="E442" s="224">
        <v>44065</v>
      </c>
      <c r="F442" s="207" t="s">
        <v>1532</v>
      </c>
      <c r="G442" s="207" t="s">
        <v>1497</v>
      </c>
      <c r="H442" s="207" t="s">
        <v>525</v>
      </c>
      <c r="I442" s="207">
        <v>17</v>
      </c>
      <c r="J442" s="334">
        <v>23</v>
      </c>
      <c r="K442" s="334">
        <v>391</v>
      </c>
      <c r="L442" s="334">
        <v>11.5</v>
      </c>
      <c r="M442" s="336">
        <v>195.5</v>
      </c>
    </row>
    <row r="443" spans="4:13">
      <c r="D443" s="226">
        <v>1269</v>
      </c>
      <c r="E443" s="224">
        <v>44067</v>
      </c>
      <c r="F443" s="207" t="s">
        <v>1533</v>
      </c>
      <c r="G443" s="207" t="s">
        <v>1503</v>
      </c>
      <c r="H443" s="207" t="s">
        <v>534</v>
      </c>
      <c r="I443" s="207">
        <v>1</v>
      </c>
      <c r="J443" s="334">
        <v>6</v>
      </c>
      <c r="K443" s="334">
        <v>6</v>
      </c>
      <c r="L443" s="334">
        <v>3</v>
      </c>
      <c r="M443" s="336">
        <v>3</v>
      </c>
    </row>
    <row r="444" spans="4:13">
      <c r="D444" s="226">
        <v>1270</v>
      </c>
      <c r="E444" s="224">
        <v>44067</v>
      </c>
      <c r="F444" s="207" t="s">
        <v>1534</v>
      </c>
      <c r="G444" s="207" t="s">
        <v>1503</v>
      </c>
      <c r="H444" s="207" t="s">
        <v>530</v>
      </c>
      <c r="I444" s="207">
        <v>5</v>
      </c>
      <c r="J444" s="334">
        <v>38</v>
      </c>
      <c r="K444" s="334">
        <v>190</v>
      </c>
      <c r="L444" s="334">
        <v>19</v>
      </c>
      <c r="M444" s="336">
        <v>95</v>
      </c>
    </row>
    <row r="445" spans="4:13">
      <c r="D445" s="226">
        <v>1271</v>
      </c>
      <c r="E445" s="224">
        <v>44069</v>
      </c>
      <c r="F445" s="207" t="s">
        <v>1530</v>
      </c>
      <c r="G445" s="207" t="s">
        <v>1503</v>
      </c>
      <c r="H445" s="207" t="s">
        <v>525</v>
      </c>
      <c r="I445" s="207">
        <v>9</v>
      </c>
      <c r="J445" s="334">
        <v>16</v>
      </c>
      <c r="K445" s="334">
        <v>144</v>
      </c>
      <c r="L445" s="334">
        <v>8</v>
      </c>
      <c r="M445" s="336">
        <v>72</v>
      </c>
    </row>
    <row r="446" spans="4:13">
      <c r="D446" s="226">
        <v>1272</v>
      </c>
      <c r="E446" s="224">
        <v>44069</v>
      </c>
      <c r="F446" s="207" t="s">
        <v>1532</v>
      </c>
      <c r="G446" s="207" t="s">
        <v>1503</v>
      </c>
      <c r="H446" s="207" t="s">
        <v>534</v>
      </c>
      <c r="I446" s="207">
        <v>1</v>
      </c>
      <c r="J446" s="334">
        <v>9</v>
      </c>
      <c r="K446" s="334">
        <v>9</v>
      </c>
      <c r="L446" s="334">
        <v>4.5</v>
      </c>
      <c r="M446" s="336">
        <v>4.5</v>
      </c>
    </row>
    <row r="447" spans="4:13">
      <c r="D447" s="226">
        <v>1273</v>
      </c>
      <c r="E447" s="224">
        <v>44071</v>
      </c>
      <c r="F447" s="207" t="s">
        <v>1531</v>
      </c>
      <c r="G447" s="207" t="s">
        <v>1503</v>
      </c>
      <c r="H447" s="207" t="s">
        <v>525</v>
      </c>
      <c r="I447" s="207">
        <v>5</v>
      </c>
      <c r="J447" s="334">
        <v>20</v>
      </c>
      <c r="K447" s="334">
        <v>100</v>
      </c>
      <c r="L447" s="334">
        <v>10</v>
      </c>
      <c r="M447" s="336">
        <v>50</v>
      </c>
    </row>
    <row r="448" spans="4:13">
      <c r="D448" s="226">
        <v>1274</v>
      </c>
      <c r="E448" s="224">
        <v>44071</v>
      </c>
      <c r="F448" s="207" t="s">
        <v>1534</v>
      </c>
      <c r="G448" s="207" t="s">
        <v>1494</v>
      </c>
      <c r="H448" s="207" t="s">
        <v>530</v>
      </c>
      <c r="I448" s="207">
        <v>6</v>
      </c>
      <c r="J448" s="334">
        <v>25</v>
      </c>
      <c r="K448" s="334">
        <v>150</v>
      </c>
      <c r="L448" s="334">
        <v>12.5</v>
      </c>
      <c r="M448" s="336">
        <v>75</v>
      </c>
    </row>
    <row r="449" spans="4:13">
      <c r="D449" s="226">
        <v>1275</v>
      </c>
      <c r="E449" s="224">
        <v>44071</v>
      </c>
      <c r="F449" s="207" t="s">
        <v>1531</v>
      </c>
      <c r="G449" s="207" t="s">
        <v>1499</v>
      </c>
      <c r="H449" s="207" t="s">
        <v>534</v>
      </c>
      <c r="I449" s="207">
        <v>4</v>
      </c>
      <c r="J449" s="334">
        <v>9</v>
      </c>
      <c r="K449" s="334">
        <v>36</v>
      </c>
      <c r="L449" s="334">
        <v>4.5</v>
      </c>
      <c r="M449" s="336">
        <v>18</v>
      </c>
    </row>
    <row r="450" spans="4:13">
      <c r="D450" s="226">
        <v>1276</v>
      </c>
      <c r="E450" s="224">
        <v>44071</v>
      </c>
      <c r="F450" s="207" t="s">
        <v>1534</v>
      </c>
      <c r="G450" s="207" t="s">
        <v>1502</v>
      </c>
      <c r="H450" s="207" t="s">
        <v>525</v>
      </c>
      <c r="I450" s="207">
        <v>7</v>
      </c>
      <c r="J450" s="334">
        <v>9</v>
      </c>
      <c r="K450" s="334">
        <v>63</v>
      </c>
      <c r="L450" s="334">
        <v>4.5</v>
      </c>
      <c r="M450" s="336">
        <v>31.5</v>
      </c>
    </row>
    <row r="451" spans="4:13">
      <c r="D451" s="226">
        <v>1277</v>
      </c>
      <c r="E451" s="224">
        <v>44073</v>
      </c>
      <c r="F451" s="207" t="s">
        <v>1531</v>
      </c>
      <c r="G451" s="207" t="s">
        <v>1503</v>
      </c>
      <c r="H451" s="207" t="s">
        <v>520</v>
      </c>
      <c r="I451" s="207">
        <v>1</v>
      </c>
      <c r="J451" s="334">
        <v>380</v>
      </c>
      <c r="K451" s="334">
        <v>380</v>
      </c>
      <c r="L451" s="334">
        <v>190</v>
      </c>
      <c r="M451" s="336">
        <v>190</v>
      </c>
    </row>
    <row r="452" spans="4:13">
      <c r="D452" s="226">
        <v>1278</v>
      </c>
      <c r="E452" s="224">
        <v>44074</v>
      </c>
      <c r="F452" s="207" t="s">
        <v>1531</v>
      </c>
      <c r="G452" s="207" t="s">
        <v>1503</v>
      </c>
      <c r="H452" s="207" t="s">
        <v>525</v>
      </c>
      <c r="I452" s="207">
        <v>4</v>
      </c>
      <c r="J452" s="334">
        <v>18</v>
      </c>
      <c r="K452" s="334">
        <v>72</v>
      </c>
      <c r="L452" s="334">
        <v>9</v>
      </c>
      <c r="M452" s="336">
        <v>36</v>
      </c>
    </row>
    <row r="453" spans="4:13">
      <c r="D453" s="226">
        <v>1279</v>
      </c>
      <c r="E453" s="224">
        <v>44074</v>
      </c>
      <c r="F453" s="207" t="s">
        <v>1533</v>
      </c>
      <c r="G453" s="207" t="s">
        <v>1499</v>
      </c>
      <c r="H453" s="207" t="s">
        <v>530</v>
      </c>
      <c r="I453" s="207">
        <v>6</v>
      </c>
      <c r="J453" s="334">
        <v>47</v>
      </c>
      <c r="K453" s="334">
        <v>282</v>
      </c>
      <c r="L453" s="334">
        <v>23.5</v>
      </c>
      <c r="M453" s="336">
        <v>141</v>
      </c>
    </row>
    <row r="454" spans="4:13">
      <c r="D454" s="226">
        <v>1280</v>
      </c>
      <c r="E454" s="224">
        <v>44075</v>
      </c>
      <c r="F454" s="207" t="s">
        <v>1531</v>
      </c>
      <c r="G454" s="207" t="s">
        <v>1503</v>
      </c>
      <c r="H454" s="207" t="s">
        <v>525</v>
      </c>
      <c r="I454" s="207">
        <v>20</v>
      </c>
      <c r="J454" s="334">
        <v>41</v>
      </c>
      <c r="K454" s="334">
        <v>820</v>
      </c>
      <c r="L454" s="334">
        <v>20.5</v>
      </c>
      <c r="M454" s="336">
        <v>410</v>
      </c>
    </row>
    <row r="455" spans="4:13">
      <c r="D455" s="226">
        <v>1281</v>
      </c>
      <c r="E455" s="224">
        <v>44076</v>
      </c>
      <c r="F455" s="207" t="s">
        <v>1530</v>
      </c>
      <c r="G455" s="207" t="s">
        <v>1503</v>
      </c>
      <c r="H455" s="207" t="s">
        <v>525</v>
      </c>
      <c r="I455" s="207">
        <v>18</v>
      </c>
      <c r="J455" s="334">
        <v>42</v>
      </c>
      <c r="K455" s="334">
        <v>756</v>
      </c>
      <c r="L455" s="334">
        <v>21</v>
      </c>
      <c r="M455" s="336">
        <v>378</v>
      </c>
    </row>
    <row r="456" spans="4:13">
      <c r="D456" s="226">
        <v>1282</v>
      </c>
      <c r="E456" s="224">
        <v>44076</v>
      </c>
      <c r="F456" s="207" t="s">
        <v>1531</v>
      </c>
      <c r="G456" s="207" t="s">
        <v>1497</v>
      </c>
      <c r="H456" s="207" t="s">
        <v>525</v>
      </c>
      <c r="I456" s="207">
        <v>1</v>
      </c>
      <c r="J456" s="334">
        <v>12</v>
      </c>
      <c r="K456" s="334">
        <v>12</v>
      </c>
      <c r="L456" s="334">
        <v>6</v>
      </c>
      <c r="M456" s="336">
        <v>6</v>
      </c>
    </row>
    <row r="457" spans="4:13">
      <c r="D457" s="226">
        <v>1283</v>
      </c>
      <c r="E457" s="224">
        <v>44077</v>
      </c>
      <c r="F457" s="207" t="s">
        <v>1530</v>
      </c>
      <c r="G457" s="207" t="s">
        <v>1497</v>
      </c>
      <c r="H457" s="207" t="s">
        <v>525</v>
      </c>
      <c r="I457" s="207">
        <v>3</v>
      </c>
      <c r="J457" s="334">
        <v>9</v>
      </c>
      <c r="K457" s="334">
        <v>27</v>
      </c>
      <c r="L457" s="334">
        <v>4.5</v>
      </c>
      <c r="M457" s="336">
        <v>13.5</v>
      </c>
    </row>
    <row r="458" spans="4:13">
      <c r="D458" s="226">
        <v>1284</v>
      </c>
      <c r="E458" s="224">
        <v>44078</v>
      </c>
      <c r="F458" s="207" t="s">
        <v>1532</v>
      </c>
      <c r="G458" s="207" t="s">
        <v>1494</v>
      </c>
      <c r="H458" s="207" t="s">
        <v>530</v>
      </c>
      <c r="I458" s="207">
        <v>4</v>
      </c>
      <c r="J458" s="334">
        <v>42</v>
      </c>
      <c r="K458" s="334">
        <v>168</v>
      </c>
      <c r="L458" s="334">
        <v>21</v>
      </c>
      <c r="M458" s="336">
        <v>84</v>
      </c>
    </row>
    <row r="459" spans="4:13">
      <c r="D459" s="226">
        <v>1285</v>
      </c>
      <c r="E459" s="224">
        <v>44078</v>
      </c>
      <c r="F459" s="207" t="s">
        <v>1530</v>
      </c>
      <c r="G459" s="207" t="s">
        <v>1499</v>
      </c>
      <c r="H459" s="207" t="s">
        <v>525</v>
      </c>
      <c r="I459" s="207">
        <v>9</v>
      </c>
      <c r="J459" s="334">
        <v>6</v>
      </c>
      <c r="K459" s="334">
        <v>54</v>
      </c>
      <c r="L459" s="334">
        <v>3</v>
      </c>
      <c r="M459" s="336">
        <v>27</v>
      </c>
    </row>
    <row r="460" spans="4:13">
      <c r="D460" s="226">
        <v>1286</v>
      </c>
      <c r="E460" s="224">
        <v>44079</v>
      </c>
      <c r="F460" s="207" t="s">
        <v>1531</v>
      </c>
      <c r="G460" s="207" t="s">
        <v>1497</v>
      </c>
      <c r="H460" s="207" t="s">
        <v>525</v>
      </c>
      <c r="I460" s="207">
        <v>1</v>
      </c>
      <c r="J460" s="334">
        <v>12</v>
      </c>
      <c r="K460" s="334">
        <v>12</v>
      </c>
      <c r="L460" s="334">
        <v>6</v>
      </c>
      <c r="M460" s="336">
        <v>6</v>
      </c>
    </row>
    <row r="461" spans="4:13">
      <c r="D461" s="226">
        <v>1287</v>
      </c>
      <c r="E461" s="224">
        <v>44083</v>
      </c>
      <c r="F461" s="207" t="s">
        <v>1533</v>
      </c>
      <c r="G461" s="207" t="s">
        <v>1499</v>
      </c>
      <c r="H461" s="207" t="s">
        <v>534</v>
      </c>
      <c r="I461" s="207">
        <v>3</v>
      </c>
      <c r="J461" s="334">
        <v>7</v>
      </c>
      <c r="K461" s="334">
        <v>21</v>
      </c>
      <c r="L461" s="334">
        <v>3.5</v>
      </c>
      <c r="M461" s="336">
        <v>10.5</v>
      </c>
    </row>
    <row r="462" spans="4:13">
      <c r="D462" s="226">
        <v>1288</v>
      </c>
      <c r="E462" s="224">
        <v>44085</v>
      </c>
      <c r="F462" s="207" t="s">
        <v>1531</v>
      </c>
      <c r="G462" s="207" t="s">
        <v>1494</v>
      </c>
      <c r="H462" s="207" t="s">
        <v>520</v>
      </c>
      <c r="I462" s="207">
        <v>2</v>
      </c>
      <c r="J462" s="334">
        <v>283.33</v>
      </c>
      <c r="K462" s="334">
        <v>566.66999999999996</v>
      </c>
      <c r="L462" s="334">
        <v>141.66999999999999</v>
      </c>
      <c r="M462" s="336">
        <v>283.33</v>
      </c>
    </row>
    <row r="463" spans="4:13">
      <c r="D463" s="226">
        <v>1289</v>
      </c>
      <c r="E463" s="224">
        <v>44086</v>
      </c>
      <c r="F463" s="207" t="s">
        <v>1533</v>
      </c>
      <c r="G463" s="207" t="s">
        <v>1502</v>
      </c>
      <c r="H463" s="207" t="s">
        <v>520</v>
      </c>
      <c r="I463" s="207">
        <v>2</v>
      </c>
      <c r="J463" s="334">
        <v>282</v>
      </c>
      <c r="K463" s="334">
        <v>564</v>
      </c>
      <c r="L463" s="334">
        <v>141</v>
      </c>
      <c r="M463" s="336">
        <v>282</v>
      </c>
    </row>
    <row r="464" spans="4:13">
      <c r="D464" s="226">
        <v>1290</v>
      </c>
      <c r="E464" s="224">
        <v>44086</v>
      </c>
      <c r="F464" s="207" t="s">
        <v>1530</v>
      </c>
      <c r="G464" s="207" t="s">
        <v>1499</v>
      </c>
      <c r="H464" s="207" t="s">
        <v>518</v>
      </c>
      <c r="I464" s="207">
        <v>8</v>
      </c>
      <c r="J464" s="334">
        <v>80</v>
      </c>
      <c r="K464" s="334">
        <v>640</v>
      </c>
      <c r="L464" s="334">
        <v>40</v>
      </c>
      <c r="M464" s="336">
        <v>320</v>
      </c>
    </row>
    <row r="465" spans="4:13">
      <c r="D465" s="226">
        <v>1291</v>
      </c>
      <c r="E465" s="224">
        <v>44086</v>
      </c>
      <c r="F465" s="207" t="s">
        <v>1534</v>
      </c>
      <c r="G465" s="207" t="s">
        <v>1502</v>
      </c>
      <c r="H465" s="207" t="s">
        <v>520</v>
      </c>
      <c r="I465" s="207">
        <v>1</v>
      </c>
      <c r="J465" s="334">
        <v>231.33</v>
      </c>
      <c r="K465" s="334">
        <v>231.33</v>
      </c>
      <c r="L465" s="334">
        <v>115.67</v>
      </c>
      <c r="M465" s="336">
        <v>115.67</v>
      </c>
    </row>
    <row r="466" spans="4:13">
      <c r="D466" s="226">
        <v>1292</v>
      </c>
      <c r="E466" s="224">
        <v>44086</v>
      </c>
      <c r="F466" s="207" t="s">
        <v>1534</v>
      </c>
      <c r="G466" s="207" t="s">
        <v>1494</v>
      </c>
      <c r="H466" s="207" t="s">
        <v>520</v>
      </c>
      <c r="I466" s="207">
        <v>1</v>
      </c>
      <c r="J466" s="334">
        <v>425.33</v>
      </c>
      <c r="K466" s="334">
        <v>425.33</v>
      </c>
      <c r="L466" s="334">
        <v>212.67</v>
      </c>
      <c r="M466" s="336">
        <v>212.67</v>
      </c>
    </row>
    <row r="467" spans="4:13">
      <c r="D467" s="226">
        <v>1293</v>
      </c>
      <c r="E467" s="224">
        <v>44087</v>
      </c>
      <c r="F467" s="207" t="s">
        <v>1532</v>
      </c>
      <c r="G467" s="207" t="s">
        <v>1503</v>
      </c>
      <c r="H467" s="207" t="s">
        <v>530</v>
      </c>
      <c r="I467" s="207">
        <v>7</v>
      </c>
      <c r="J467" s="334">
        <v>50</v>
      </c>
      <c r="K467" s="334">
        <v>350</v>
      </c>
      <c r="L467" s="334">
        <v>25</v>
      </c>
      <c r="M467" s="336">
        <v>175</v>
      </c>
    </row>
    <row r="468" spans="4:13">
      <c r="D468" s="226">
        <v>1294</v>
      </c>
      <c r="E468" s="224">
        <v>44087</v>
      </c>
      <c r="F468" s="207" t="s">
        <v>1532</v>
      </c>
      <c r="G468" s="207" t="s">
        <v>1494</v>
      </c>
      <c r="H468" s="207" t="s">
        <v>525</v>
      </c>
      <c r="I468" s="207">
        <v>7</v>
      </c>
      <c r="J468" s="334">
        <v>20</v>
      </c>
      <c r="K468" s="334">
        <v>140</v>
      </c>
      <c r="L468" s="334">
        <v>10</v>
      </c>
      <c r="M468" s="336">
        <v>70</v>
      </c>
    </row>
    <row r="469" spans="4:13">
      <c r="D469" s="226">
        <v>1295</v>
      </c>
      <c r="E469" s="224">
        <v>44087</v>
      </c>
      <c r="F469" s="207" t="s">
        <v>1530</v>
      </c>
      <c r="G469" s="207" t="s">
        <v>1494</v>
      </c>
      <c r="H469" s="207" t="s">
        <v>525</v>
      </c>
      <c r="I469" s="207">
        <v>20</v>
      </c>
      <c r="J469" s="334">
        <v>37</v>
      </c>
      <c r="K469" s="334">
        <v>740</v>
      </c>
      <c r="L469" s="334">
        <v>18.5</v>
      </c>
      <c r="M469" s="336">
        <v>370</v>
      </c>
    </row>
    <row r="470" spans="4:13">
      <c r="D470" s="226">
        <v>1296</v>
      </c>
      <c r="E470" s="224">
        <v>44088</v>
      </c>
      <c r="F470" s="207" t="s">
        <v>1532</v>
      </c>
      <c r="G470" s="207" t="s">
        <v>1499</v>
      </c>
      <c r="H470" s="207" t="s">
        <v>518</v>
      </c>
      <c r="I470" s="207">
        <v>10</v>
      </c>
      <c r="J470" s="334">
        <v>57</v>
      </c>
      <c r="K470" s="334">
        <v>570</v>
      </c>
      <c r="L470" s="334">
        <v>28.5</v>
      </c>
      <c r="M470" s="336">
        <v>285</v>
      </c>
    </row>
    <row r="471" spans="4:13">
      <c r="D471" s="226">
        <v>1297</v>
      </c>
      <c r="E471" s="224">
        <v>44088</v>
      </c>
      <c r="F471" s="207" t="s">
        <v>1533</v>
      </c>
      <c r="G471" s="207" t="s">
        <v>1494</v>
      </c>
      <c r="H471" s="207" t="s">
        <v>534</v>
      </c>
      <c r="I471" s="207">
        <v>8</v>
      </c>
      <c r="J471" s="334">
        <v>9</v>
      </c>
      <c r="K471" s="334">
        <v>72</v>
      </c>
      <c r="L471" s="334">
        <v>4.5</v>
      </c>
      <c r="M471" s="336">
        <v>36</v>
      </c>
    </row>
    <row r="472" spans="4:13">
      <c r="D472" s="226">
        <v>1298</v>
      </c>
      <c r="E472" s="224">
        <v>44089</v>
      </c>
      <c r="F472" s="207" t="s">
        <v>1530</v>
      </c>
      <c r="G472" s="207" t="s">
        <v>1503</v>
      </c>
      <c r="H472" s="207" t="s">
        <v>534</v>
      </c>
      <c r="I472" s="207">
        <v>5</v>
      </c>
      <c r="J472" s="334">
        <v>5</v>
      </c>
      <c r="K472" s="334">
        <v>25</v>
      </c>
      <c r="L472" s="334">
        <v>2.5</v>
      </c>
      <c r="M472" s="336">
        <v>12.5</v>
      </c>
    </row>
    <row r="473" spans="4:13">
      <c r="D473" s="226">
        <v>1299</v>
      </c>
      <c r="E473" s="224">
        <v>44090</v>
      </c>
      <c r="F473" s="207" t="s">
        <v>1534</v>
      </c>
      <c r="G473" s="207" t="s">
        <v>1499</v>
      </c>
      <c r="H473" s="207" t="s">
        <v>530</v>
      </c>
      <c r="I473" s="207">
        <v>4</v>
      </c>
      <c r="J473" s="334">
        <v>37</v>
      </c>
      <c r="K473" s="334">
        <v>148</v>
      </c>
      <c r="L473" s="334">
        <v>18.5</v>
      </c>
      <c r="M473" s="336">
        <v>74</v>
      </c>
    </row>
    <row r="474" spans="4:13">
      <c r="D474" s="226">
        <v>1300</v>
      </c>
      <c r="E474" s="224">
        <v>44090</v>
      </c>
      <c r="F474" s="207" t="s">
        <v>1533</v>
      </c>
      <c r="G474" s="207" t="s">
        <v>1502</v>
      </c>
      <c r="H474" s="207" t="s">
        <v>518</v>
      </c>
      <c r="I474" s="207">
        <v>6</v>
      </c>
      <c r="J474" s="334">
        <v>16</v>
      </c>
      <c r="K474" s="334">
        <v>96</v>
      </c>
      <c r="L474" s="334">
        <v>8</v>
      </c>
      <c r="M474" s="336">
        <v>48</v>
      </c>
    </row>
    <row r="475" spans="4:13">
      <c r="D475" s="226">
        <v>1301</v>
      </c>
      <c r="E475" s="224">
        <v>44091</v>
      </c>
      <c r="F475" s="207" t="s">
        <v>1532</v>
      </c>
      <c r="G475" s="207" t="s">
        <v>1497</v>
      </c>
      <c r="H475" s="207" t="s">
        <v>520</v>
      </c>
      <c r="I475" s="207">
        <v>2</v>
      </c>
      <c r="J475" s="334">
        <v>240</v>
      </c>
      <c r="K475" s="334">
        <v>480</v>
      </c>
      <c r="L475" s="334">
        <v>120</v>
      </c>
      <c r="M475" s="336">
        <v>240</v>
      </c>
    </row>
    <row r="476" spans="4:13">
      <c r="D476" s="226">
        <v>1302</v>
      </c>
      <c r="E476" s="224">
        <v>44093</v>
      </c>
      <c r="F476" s="207" t="s">
        <v>1532</v>
      </c>
      <c r="G476" s="207" t="s">
        <v>1502</v>
      </c>
      <c r="H476" s="207" t="s">
        <v>534</v>
      </c>
      <c r="I476" s="207">
        <v>1</v>
      </c>
      <c r="J476" s="334">
        <v>7</v>
      </c>
      <c r="K476" s="334">
        <v>7</v>
      </c>
      <c r="L476" s="334">
        <v>3.5</v>
      </c>
      <c r="M476" s="336">
        <v>3.5</v>
      </c>
    </row>
    <row r="477" spans="4:13">
      <c r="D477" s="226">
        <v>1303</v>
      </c>
      <c r="E477" s="224">
        <v>44093</v>
      </c>
      <c r="F477" s="207" t="s">
        <v>1530</v>
      </c>
      <c r="G477" s="207" t="s">
        <v>1499</v>
      </c>
      <c r="H477" s="207" t="s">
        <v>520</v>
      </c>
      <c r="I477" s="207">
        <v>2</v>
      </c>
      <c r="J477" s="334">
        <v>320</v>
      </c>
      <c r="K477" s="334">
        <v>640</v>
      </c>
      <c r="L477" s="334">
        <v>160</v>
      </c>
      <c r="M477" s="336">
        <v>320</v>
      </c>
    </row>
    <row r="478" spans="4:13">
      <c r="D478" s="226">
        <v>1304</v>
      </c>
      <c r="E478" s="224">
        <v>44094</v>
      </c>
      <c r="F478" s="207" t="s">
        <v>1531</v>
      </c>
      <c r="G478" s="207" t="s">
        <v>1502</v>
      </c>
      <c r="H478" s="207" t="s">
        <v>534</v>
      </c>
      <c r="I478" s="207">
        <v>7</v>
      </c>
      <c r="J478" s="334">
        <v>10</v>
      </c>
      <c r="K478" s="334">
        <v>70</v>
      </c>
      <c r="L478" s="334">
        <v>5</v>
      </c>
      <c r="M478" s="336">
        <v>35</v>
      </c>
    </row>
    <row r="479" spans="4:13">
      <c r="D479" s="226">
        <v>1305</v>
      </c>
      <c r="E479" s="224">
        <v>44098</v>
      </c>
      <c r="F479" s="207" t="s">
        <v>1533</v>
      </c>
      <c r="G479" s="207" t="s">
        <v>1497</v>
      </c>
      <c r="H479" s="207" t="s">
        <v>518</v>
      </c>
      <c r="I479" s="207">
        <v>9</v>
      </c>
      <c r="J479" s="334">
        <v>36</v>
      </c>
      <c r="K479" s="334">
        <v>324</v>
      </c>
      <c r="L479" s="334">
        <v>18</v>
      </c>
      <c r="M479" s="336">
        <v>162</v>
      </c>
    </row>
    <row r="480" spans="4:13">
      <c r="D480" s="226">
        <v>1306</v>
      </c>
      <c r="E480" s="224">
        <v>44098</v>
      </c>
      <c r="F480" s="207" t="s">
        <v>1533</v>
      </c>
      <c r="G480" s="207" t="s">
        <v>1503</v>
      </c>
      <c r="H480" s="207" t="s">
        <v>518</v>
      </c>
      <c r="I480" s="207">
        <v>9</v>
      </c>
      <c r="J480" s="334">
        <v>208</v>
      </c>
      <c r="K480" s="334">
        <v>1872</v>
      </c>
      <c r="L480" s="334">
        <v>104</v>
      </c>
      <c r="M480" s="336">
        <v>936</v>
      </c>
    </row>
    <row r="481" spans="4:13">
      <c r="D481" s="226">
        <v>1307</v>
      </c>
      <c r="E481" s="224">
        <v>44102</v>
      </c>
      <c r="F481" s="207" t="s">
        <v>1530</v>
      </c>
      <c r="G481" s="207" t="s">
        <v>1499</v>
      </c>
      <c r="H481" s="207" t="s">
        <v>520</v>
      </c>
      <c r="I481" s="207">
        <v>2</v>
      </c>
      <c r="J481" s="334">
        <v>173.33</v>
      </c>
      <c r="K481" s="334">
        <v>346.67</v>
      </c>
      <c r="L481" s="334">
        <v>86.67</v>
      </c>
      <c r="M481" s="336">
        <v>173.33</v>
      </c>
    </row>
    <row r="482" spans="4:13">
      <c r="D482" s="226">
        <v>1308</v>
      </c>
      <c r="E482" s="224">
        <v>44105</v>
      </c>
      <c r="F482" s="207" t="s">
        <v>1533</v>
      </c>
      <c r="G482" s="207" t="s">
        <v>1499</v>
      </c>
      <c r="H482" s="207" t="s">
        <v>534</v>
      </c>
      <c r="I482" s="207">
        <v>9</v>
      </c>
      <c r="J482" s="334">
        <v>9</v>
      </c>
      <c r="K482" s="334">
        <v>81</v>
      </c>
      <c r="L482" s="334">
        <v>4.5</v>
      </c>
      <c r="M482" s="336">
        <v>40.5</v>
      </c>
    </row>
    <row r="483" spans="4:13">
      <c r="D483" s="226">
        <v>1309</v>
      </c>
      <c r="E483" s="224">
        <v>44107</v>
      </c>
      <c r="F483" s="207" t="s">
        <v>1533</v>
      </c>
      <c r="G483" s="207" t="s">
        <v>1494</v>
      </c>
      <c r="H483" s="207" t="s">
        <v>530</v>
      </c>
      <c r="I483" s="207">
        <v>8</v>
      </c>
      <c r="J483" s="334">
        <v>45</v>
      </c>
      <c r="K483" s="334">
        <v>360</v>
      </c>
      <c r="L483" s="334">
        <v>22.5</v>
      </c>
      <c r="M483" s="336">
        <v>180</v>
      </c>
    </row>
    <row r="484" spans="4:13">
      <c r="D484" s="226">
        <v>1310</v>
      </c>
      <c r="E484" s="224">
        <v>44108</v>
      </c>
      <c r="F484" s="207" t="s">
        <v>1533</v>
      </c>
      <c r="G484" s="207" t="s">
        <v>1502</v>
      </c>
      <c r="H484" s="207" t="s">
        <v>534</v>
      </c>
      <c r="I484" s="207">
        <v>1</v>
      </c>
      <c r="J484" s="334">
        <v>9</v>
      </c>
      <c r="K484" s="334">
        <v>9</v>
      </c>
      <c r="L484" s="334">
        <v>4.5</v>
      </c>
      <c r="M484" s="336">
        <v>4.5</v>
      </c>
    </row>
    <row r="485" spans="4:13">
      <c r="D485" s="226">
        <v>1311</v>
      </c>
      <c r="E485" s="224">
        <v>44108</v>
      </c>
      <c r="F485" s="207" t="s">
        <v>1533</v>
      </c>
      <c r="G485" s="207" t="s">
        <v>1502</v>
      </c>
      <c r="H485" s="207" t="s">
        <v>534</v>
      </c>
      <c r="I485" s="207">
        <v>5</v>
      </c>
      <c r="J485" s="334">
        <v>5</v>
      </c>
      <c r="K485" s="334">
        <v>25</v>
      </c>
      <c r="L485" s="334">
        <v>2.5</v>
      </c>
      <c r="M485" s="336">
        <v>12.5</v>
      </c>
    </row>
    <row r="486" spans="4:13">
      <c r="D486" s="226">
        <v>1312</v>
      </c>
      <c r="E486" s="224">
        <v>44108</v>
      </c>
      <c r="F486" s="207" t="s">
        <v>1532</v>
      </c>
      <c r="G486" s="207" t="s">
        <v>1499</v>
      </c>
      <c r="H486" s="207" t="s">
        <v>530</v>
      </c>
      <c r="I486" s="207">
        <v>3</v>
      </c>
      <c r="J486" s="334">
        <v>50</v>
      </c>
      <c r="K486" s="334">
        <v>150</v>
      </c>
      <c r="L486" s="334">
        <v>25</v>
      </c>
      <c r="M486" s="336">
        <v>75</v>
      </c>
    </row>
    <row r="487" spans="4:13">
      <c r="D487" s="226">
        <v>1313</v>
      </c>
      <c r="E487" s="224">
        <v>44109</v>
      </c>
      <c r="F487" s="207" t="s">
        <v>1532</v>
      </c>
      <c r="G487" s="207" t="s">
        <v>1503</v>
      </c>
      <c r="H487" s="207" t="s">
        <v>534</v>
      </c>
      <c r="I487" s="207">
        <v>6</v>
      </c>
      <c r="J487" s="334">
        <v>10</v>
      </c>
      <c r="K487" s="334">
        <v>60</v>
      </c>
      <c r="L487" s="334">
        <v>5</v>
      </c>
      <c r="M487" s="336">
        <v>30</v>
      </c>
    </row>
    <row r="488" spans="4:13">
      <c r="D488" s="226">
        <v>1314</v>
      </c>
      <c r="E488" s="224">
        <v>44110</v>
      </c>
      <c r="F488" s="207" t="s">
        <v>1532</v>
      </c>
      <c r="G488" s="207" t="s">
        <v>1494</v>
      </c>
      <c r="H488" s="207" t="s">
        <v>520</v>
      </c>
      <c r="I488" s="207">
        <v>1</v>
      </c>
      <c r="J488" s="334">
        <v>566.66999999999996</v>
      </c>
      <c r="K488" s="334">
        <v>566.66999999999996</v>
      </c>
      <c r="L488" s="334">
        <v>283.33</v>
      </c>
      <c r="M488" s="336">
        <v>283.33</v>
      </c>
    </row>
    <row r="489" spans="4:13">
      <c r="D489" s="226">
        <v>1315</v>
      </c>
      <c r="E489" s="224">
        <v>44112</v>
      </c>
      <c r="F489" s="207" t="s">
        <v>1533</v>
      </c>
      <c r="G489" s="207" t="s">
        <v>1503</v>
      </c>
      <c r="H489" s="207" t="s">
        <v>534</v>
      </c>
      <c r="I489" s="207">
        <v>4</v>
      </c>
      <c r="J489" s="334">
        <v>6</v>
      </c>
      <c r="K489" s="334">
        <v>24</v>
      </c>
      <c r="L489" s="334">
        <v>3</v>
      </c>
      <c r="M489" s="336">
        <v>12</v>
      </c>
    </row>
    <row r="490" spans="4:13">
      <c r="D490" s="226">
        <v>1316</v>
      </c>
      <c r="E490" s="224">
        <v>44112</v>
      </c>
      <c r="F490" s="207" t="s">
        <v>1533</v>
      </c>
      <c r="G490" s="207" t="s">
        <v>1503</v>
      </c>
      <c r="H490" s="207" t="s">
        <v>520</v>
      </c>
      <c r="I490" s="207">
        <v>1</v>
      </c>
      <c r="J490" s="334">
        <v>527.69000000000005</v>
      </c>
      <c r="K490" s="334">
        <v>527.69000000000005</v>
      </c>
      <c r="L490" s="334">
        <v>263.85000000000002</v>
      </c>
      <c r="M490" s="336">
        <v>263.85000000000002</v>
      </c>
    </row>
    <row r="491" spans="4:13">
      <c r="D491" s="226">
        <v>1317</v>
      </c>
      <c r="E491" s="224">
        <v>44114</v>
      </c>
      <c r="F491" s="207" t="s">
        <v>1534</v>
      </c>
      <c r="G491" s="207" t="s">
        <v>1503</v>
      </c>
      <c r="H491" s="207" t="s">
        <v>534</v>
      </c>
      <c r="I491" s="207">
        <v>9</v>
      </c>
      <c r="J491" s="334">
        <v>8</v>
      </c>
      <c r="K491" s="334">
        <v>72</v>
      </c>
      <c r="L491" s="334">
        <v>4</v>
      </c>
      <c r="M491" s="336">
        <v>36</v>
      </c>
    </row>
    <row r="492" spans="4:13">
      <c r="D492" s="226">
        <v>1318</v>
      </c>
      <c r="E492" s="224">
        <v>44114</v>
      </c>
      <c r="F492" s="207" t="s">
        <v>1532</v>
      </c>
      <c r="G492" s="207" t="s">
        <v>1502</v>
      </c>
      <c r="H492" s="207" t="s">
        <v>530</v>
      </c>
      <c r="I492" s="207">
        <v>4</v>
      </c>
      <c r="J492" s="334">
        <v>24</v>
      </c>
      <c r="K492" s="334">
        <v>96</v>
      </c>
      <c r="L492" s="334">
        <v>12</v>
      </c>
      <c r="M492" s="336">
        <v>48</v>
      </c>
    </row>
    <row r="493" spans="4:13">
      <c r="D493" s="226">
        <v>1319</v>
      </c>
      <c r="E493" s="224">
        <v>44115</v>
      </c>
      <c r="F493" s="207" t="s">
        <v>1533</v>
      </c>
      <c r="G493" s="207" t="s">
        <v>1499</v>
      </c>
      <c r="H493" s="207" t="s">
        <v>518</v>
      </c>
      <c r="I493" s="207">
        <v>10</v>
      </c>
      <c r="J493" s="334">
        <v>65</v>
      </c>
      <c r="K493" s="334">
        <v>650</v>
      </c>
      <c r="L493" s="334">
        <v>32.5</v>
      </c>
      <c r="M493" s="336">
        <v>325</v>
      </c>
    </row>
    <row r="494" spans="4:13">
      <c r="D494" s="226">
        <v>1320</v>
      </c>
      <c r="E494" s="224">
        <v>44117</v>
      </c>
      <c r="F494" s="207" t="s">
        <v>1530</v>
      </c>
      <c r="G494" s="207" t="s">
        <v>1497</v>
      </c>
      <c r="H494" s="207" t="s">
        <v>518</v>
      </c>
      <c r="I494" s="207">
        <v>9</v>
      </c>
      <c r="J494" s="334">
        <v>21</v>
      </c>
      <c r="K494" s="334">
        <v>189</v>
      </c>
      <c r="L494" s="334">
        <v>10.5</v>
      </c>
      <c r="M494" s="336">
        <v>94.5</v>
      </c>
    </row>
    <row r="495" spans="4:13">
      <c r="D495" s="226">
        <v>1321</v>
      </c>
      <c r="E495" s="224">
        <v>44117</v>
      </c>
      <c r="F495" s="207" t="s">
        <v>1532</v>
      </c>
      <c r="G495" s="207" t="s">
        <v>1497</v>
      </c>
      <c r="H495" s="207" t="s">
        <v>525</v>
      </c>
      <c r="I495" s="207">
        <v>10</v>
      </c>
      <c r="J495" s="334">
        <v>11</v>
      </c>
      <c r="K495" s="334">
        <v>110</v>
      </c>
      <c r="L495" s="334">
        <v>5.5</v>
      </c>
      <c r="M495" s="336">
        <v>55</v>
      </c>
    </row>
    <row r="496" spans="4:13">
      <c r="D496" s="226">
        <v>1322</v>
      </c>
      <c r="E496" s="224">
        <v>44117</v>
      </c>
      <c r="F496" s="207" t="s">
        <v>1532</v>
      </c>
      <c r="G496" s="207" t="s">
        <v>1503</v>
      </c>
      <c r="H496" s="207" t="s">
        <v>525</v>
      </c>
      <c r="I496" s="207">
        <v>18</v>
      </c>
      <c r="J496" s="334">
        <v>43</v>
      </c>
      <c r="K496" s="334">
        <v>774</v>
      </c>
      <c r="L496" s="334">
        <v>21.5</v>
      </c>
      <c r="M496" s="336">
        <v>387</v>
      </c>
    </row>
    <row r="497" spans="4:13">
      <c r="D497" s="226">
        <v>1323</v>
      </c>
      <c r="E497" s="224">
        <v>44118</v>
      </c>
      <c r="F497" s="207" t="s">
        <v>1532</v>
      </c>
      <c r="G497" s="207" t="s">
        <v>1502</v>
      </c>
      <c r="H497" s="207" t="s">
        <v>534</v>
      </c>
      <c r="I497" s="207">
        <v>5</v>
      </c>
      <c r="J497" s="334">
        <v>9</v>
      </c>
      <c r="K497" s="334">
        <v>45</v>
      </c>
      <c r="L497" s="334">
        <v>4.5</v>
      </c>
      <c r="M497" s="336">
        <v>22.5</v>
      </c>
    </row>
    <row r="498" spans="4:13">
      <c r="D498" s="226">
        <v>1324</v>
      </c>
      <c r="E498" s="224">
        <v>44119</v>
      </c>
      <c r="F498" s="207" t="s">
        <v>1532</v>
      </c>
      <c r="G498" s="207" t="s">
        <v>1497</v>
      </c>
      <c r="H498" s="207" t="s">
        <v>534</v>
      </c>
      <c r="I498" s="207">
        <v>8</v>
      </c>
      <c r="J498" s="334">
        <v>5</v>
      </c>
      <c r="K498" s="334">
        <v>40</v>
      </c>
      <c r="L498" s="334">
        <v>2.5</v>
      </c>
      <c r="M498" s="336">
        <v>20</v>
      </c>
    </row>
    <row r="499" spans="4:13">
      <c r="D499" s="226">
        <v>1325</v>
      </c>
      <c r="E499" s="224">
        <v>44119</v>
      </c>
      <c r="F499" s="207" t="s">
        <v>1531</v>
      </c>
      <c r="G499" s="207" t="s">
        <v>1497</v>
      </c>
      <c r="H499" s="207" t="s">
        <v>525</v>
      </c>
      <c r="I499" s="207">
        <v>10</v>
      </c>
      <c r="J499" s="334">
        <v>8</v>
      </c>
      <c r="K499" s="334">
        <v>80</v>
      </c>
      <c r="L499" s="334">
        <v>4</v>
      </c>
      <c r="M499" s="336">
        <v>40</v>
      </c>
    </row>
    <row r="500" spans="4:13">
      <c r="D500" s="226">
        <v>1326</v>
      </c>
      <c r="E500" s="224">
        <v>44121</v>
      </c>
      <c r="F500" s="207" t="s">
        <v>1533</v>
      </c>
      <c r="G500" s="207" t="s">
        <v>1499</v>
      </c>
      <c r="H500" s="207" t="s">
        <v>530</v>
      </c>
      <c r="I500" s="207">
        <v>7</v>
      </c>
      <c r="J500" s="334">
        <v>41</v>
      </c>
      <c r="K500" s="334">
        <v>287</v>
      </c>
      <c r="L500" s="334">
        <v>20.5</v>
      </c>
      <c r="M500" s="336">
        <v>143.5</v>
      </c>
    </row>
    <row r="501" spans="4:13">
      <c r="D501" s="226">
        <v>1327</v>
      </c>
      <c r="E501" s="224">
        <v>44121</v>
      </c>
      <c r="F501" s="207" t="s">
        <v>1530</v>
      </c>
      <c r="G501" s="207" t="s">
        <v>1502</v>
      </c>
      <c r="H501" s="207" t="s">
        <v>534</v>
      </c>
      <c r="I501" s="207">
        <v>1</v>
      </c>
      <c r="J501" s="334">
        <v>7</v>
      </c>
      <c r="K501" s="334">
        <v>7</v>
      </c>
      <c r="L501" s="334">
        <v>3.5</v>
      </c>
      <c r="M501" s="336">
        <v>3.5</v>
      </c>
    </row>
    <row r="502" spans="4:13">
      <c r="D502" s="226">
        <v>1328</v>
      </c>
      <c r="E502" s="224">
        <v>44122</v>
      </c>
      <c r="F502" s="207" t="s">
        <v>1531</v>
      </c>
      <c r="G502" s="207" t="s">
        <v>1494</v>
      </c>
      <c r="H502" s="207" t="s">
        <v>518</v>
      </c>
      <c r="I502" s="207">
        <v>9</v>
      </c>
      <c r="J502" s="334">
        <v>186</v>
      </c>
      <c r="K502" s="334">
        <v>1674</v>
      </c>
      <c r="L502" s="334">
        <v>93</v>
      </c>
      <c r="M502" s="336">
        <v>837</v>
      </c>
    </row>
    <row r="503" spans="4:13">
      <c r="D503" s="226">
        <v>1329</v>
      </c>
      <c r="E503" s="224">
        <v>44122</v>
      </c>
      <c r="F503" s="207" t="s">
        <v>1532</v>
      </c>
      <c r="G503" s="207" t="s">
        <v>1494</v>
      </c>
      <c r="H503" s="207" t="s">
        <v>518</v>
      </c>
      <c r="I503" s="207">
        <v>3</v>
      </c>
      <c r="J503" s="334">
        <v>143</v>
      </c>
      <c r="K503" s="334">
        <v>429</v>
      </c>
      <c r="L503" s="334">
        <v>71.5</v>
      </c>
      <c r="M503" s="336">
        <v>214.5</v>
      </c>
    </row>
    <row r="504" spans="4:13">
      <c r="D504" s="226">
        <v>1330</v>
      </c>
      <c r="E504" s="224">
        <v>44123</v>
      </c>
      <c r="F504" s="207" t="s">
        <v>1533</v>
      </c>
      <c r="G504" s="207" t="s">
        <v>1503</v>
      </c>
      <c r="H504" s="207" t="s">
        <v>525</v>
      </c>
      <c r="I504" s="207">
        <v>6</v>
      </c>
      <c r="J504" s="334">
        <v>46</v>
      </c>
      <c r="K504" s="334">
        <v>276</v>
      </c>
      <c r="L504" s="334">
        <v>23</v>
      </c>
      <c r="M504" s="336">
        <v>138</v>
      </c>
    </row>
    <row r="505" spans="4:13">
      <c r="D505" s="226">
        <v>1331</v>
      </c>
      <c r="E505" s="224">
        <v>44123</v>
      </c>
      <c r="F505" s="207" t="s">
        <v>1530</v>
      </c>
      <c r="G505" s="207" t="s">
        <v>1497</v>
      </c>
      <c r="H505" s="207" t="s">
        <v>530</v>
      </c>
      <c r="I505" s="207">
        <v>8</v>
      </c>
      <c r="J505" s="334">
        <v>35</v>
      </c>
      <c r="K505" s="334">
        <v>280</v>
      </c>
      <c r="L505" s="334">
        <v>17.5</v>
      </c>
      <c r="M505" s="336">
        <v>140</v>
      </c>
    </row>
    <row r="506" spans="4:13">
      <c r="D506" s="226">
        <v>1332</v>
      </c>
      <c r="E506" s="224">
        <v>44123</v>
      </c>
      <c r="F506" s="207" t="s">
        <v>1531</v>
      </c>
      <c r="G506" s="207" t="s">
        <v>1503</v>
      </c>
      <c r="H506" s="207" t="s">
        <v>525</v>
      </c>
      <c r="I506" s="207">
        <v>11</v>
      </c>
      <c r="J506" s="334">
        <v>25</v>
      </c>
      <c r="K506" s="334">
        <v>275</v>
      </c>
      <c r="L506" s="334">
        <v>12.5</v>
      </c>
      <c r="M506" s="336">
        <v>137.5</v>
      </c>
    </row>
    <row r="507" spans="4:13">
      <c r="D507" s="226">
        <v>1333</v>
      </c>
      <c r="E507" s="224">
        <v>44124</v>
      </c>
      <c r="F507" s="207" t="s">
        <v>1530</v>
      </c>
      <c r="G507" s="207" t="s">
        <v>1497</v>
      </c>
      <c r="H507" s="207" t="s">
        <v>534</v>
      </c>
      <c r="I507" s="207">
        <v>1</v>
      </c>
      <c r="J507" s="334">
        <v>10</v>
      </c>
      <c r="K507" s="334">
        <v>10</v>
      </c>
      <c r="L507" s="334">
        <v>5</v>
      </c>
      <c r="M507" s="336">
        <v>5</v>
      </c>
    </row>
    <row r="508" spans="4:13">
      <c r="D508" s="226">
        <v>1334</v>
      </c>
      <c r="E508" s="224">
        <v>44125</v>
      </c>
      <c r="F508" s="207" t="s">
        <v>1534</v>
      </c>
      <c r="G508" s="207" t="s">
        <v>1503</v>
      </c>
      <c r="H508" s="207" t="s">
        <v>530</v>
      </c>
      <c r="I508" s="207">
        <v>5</v>
      </c>
      <c r="J508" s="334">
        <v>29</v>
      </c>
      <c r="K508" s="334">
        <v>145</v>
      </c>
      <c r="L508" s="334">
        <v>14.5</v>
      </c>
      <c r="M508" s="336">
        <v>72.5</v>
      </c>
    </row>
    <row r="509" spans="4:13">
      <c r="D509" s="226">
        <v>1335</v>
      </c>
      <c r="E509" s="224">
        <v>44125</v>
      </c>
      <c r="F509" s="207" t="s">
        <v>1531</v>
      </c>
      <c r="G509" s="207" t="s">
        <v>1502</v>
      </c>
      <c r="H509" s="207" t="s">
        <v>525</v>
      </c>
      <c r="I509" s="207">
        <v>10</v>
      </c>
      <c r="J509" s="334">
        <v>8</v>
      </c>
      <c r="K509" s="334">
        <v>80</v>
      </c>
      <c r="L509" s="334">
        <v>4</v>
      </c>
      <c r="M509" s="336">
        <v>40</v>
      </c>
    </row>
    <row r="510" spans="4:13">
      <c r="D510" s="226">
        <v>1336</v>
      </c>
      <c r="E510" s="224">
        <v>44127</v>
      </c>
      <c r="F510" s="207" t="s">
        <v>1532</v>
      </c>
      <c r="G510" s="207" t="s">
        <v>1502</v>
      </c>
      <c r="H510" s="207" t="s">
        <v>520</v>
      </c>
      <c r="I510" s="207">
        <v>2</v>
      </c>
      <c r="J510" s="334">
        <v>91.33</v>
      </c>
      <c r="K510" s="334">
        <v>182.67</v>
      </c>
      <c r="L510" s="334">
        <v>45.67</v>
      </c>
      <c r="M510" s="336">
        <v>91.33</v>
      </c>
    </row>
    <row r="511" spans="4:13">
      <c r="D511" s="226">
        <v>1337</v>
      </c>
      <c r="E511" s="224">
        <v>44128</v>
      </c>
      <c r="F511" s="207" t="s">
        <v>1533</v>
      </c>
      <c r="G511" s="207" t="s">
        <v>1497</v>
      </c>
      <c r="H511" s="207" t="s">
        <v>530</v>
      </c>
      <c r="I511" s="207">
        <v>2</v>
      </c>
      <c r="J511" s="334">
        <v>44</v>
      </c>
      <c r="K511" s="334">
        <v>88</v>
      </c>
      <c r="L511" s="334">
        <v>22</v>
      </c>
      <c r="M511" s="336">
        <v>44</v>
      </c>
    </row>
    <row r="512" spans="4:13">
      <c r="D512" s="226">
        <v>1338</v>
      </c>
      <c r="E512" s="224">
        <v>44128</v>
      </c>
      <c r="F512" s="207" t="s">
        <v>1533</v>
      </c>
      <c r="G512" s="207" t="s">
        <v>1502</v>
      </c>
      <c r="H512" s="207" t="s">
        <v>518</v>
      </c>
      <c r="I512" s="207">
        <v>5</v>
      </c>
      <c r="J512" s="334">
        <v>23</v>
      </c>
      <c r="K512" s="334">
        <v>115</v>
      </c>
      <c r="L512" s="334">
        <v>11.5</v>
      </c>
      <c r="M512" s="336">
        <v>57.5</v>
      </c>
    </row>
    <row r="513" spans="4:13">
      <c r="D513" s="226">
        <v>1339</v>
      </c>
      <c r="E513" s="224">
        <v>44128</v>
      </c>
      <c r="F513" s="207" t="s">
        <v>1534</v>
      </c>
      <c r="G513" s="207" t="s">
        <v>1499</v>
      </c>
      <c r="H513" s="207" t="s">
        <v>525</v>
      </c>
      <c r="I513" s="207">
        <v>10</v>
      </c>
      <c r="J513" s="334">
        <v>20</v>
      </c>
      <c r="K513" s="334">
        <v>200</v>
      </c>
      <c r="L513" s="334">
        <v>10</v>
      </c>
      <c r="M513" s="336">
        <v>100</v>
      </c>
    </row>
    <row r="514" spans="4:13">
      <c r="D514" s="226">
        <v>1340</v>
      </c>
      <c r="E514" s="224">
        <v>44128</v>
      </c>
      <c r="F514" s="207" t="s">
        <v>1531</v>
      </c>
      <c r="G514" s="207" t="s">
        <v>1502</v>
      </c>
      <c r="H514" s="207" t="s">
        <v>530</v>
      </c>
      <c r="I514" s="207">
        <v>3</v>
      </c>
      <c r="J514" s="334">
        <v>40</v>
      </c>
      <c r="K514" s="334">
        <v>120</v>
      </c>
      <c r="L514" s="334">
        <v>20</v>
      </c>
      <c r="M514" s="336">
        <v>60</v>
      </c>
    </row>
    <row r="515" spans="4:13">
      <c r="D515" s="226">
        <v>1341</v>
      </c>
      <c r="E515" s="224">
        <v>44128</v>
      </c>
      <c r="F515" s="207" t="s">
        <v>1532</v>
      </c>
      <c r="G515" s="207" t="s">
        <v>1499</v>
      </c>
      <c r="H515" s="207" t="s">
        <v>534</v>
      </c>
      <c r="I515" s="207">
        <v>2</v>
      </c>
      <c r="J515" s="334">
        <v>6</v>
      </c>
      <c r="K515" s="334">
        <v>12</v>
      </c>
      <c r="L515" s="334">
        <v>3</v>
      </c>
      <c r="M515" s="336">
        <v>6</v>
      </c>
    </row>
    <row r="516" spans="4:13">
      <c r="D516" s="226">
        <v>1342</v>
      </c>
      <c r="E516" s="224">
        <v>44129</v>
      </c>
      <c r="F516" s="207" t="s">
        <v>1533</v>
      </c>
      <c r="G516" s="207" t="s">
        <v>1503</v>
      </c>
      <c r="H516" s="207" t="s">
        <v>534</v>
      </c>
      <c r="I516" s="207">
        <v>1</v>
      </c>
      <c r="J516" s="334">
        <v>9</v>
      </c>
      <c r="K516" s="334">
        <v>9</v>
      </c>
      <c r="L516" s="334">
        <v>4.5</v>
      </c>
      <c r="M516" s="336">
        <v>4.5</v>
      </c>
    </row>
    <row r="517" spans="4:13">
      <c r="D517" s="226">
        <v>1343</v>
      </c>
      <c r="E517" s="224">
        <v>44129</v>
      </c>
      <c r="F517" s="207" t="s">
        <v>1532</v>
      </c>
      <c r="G517" s="207" t="s">
        <v>1503</v>
      </c>
      <c r="H517" s="207" t="s">
        <v>534</v>
      </c>
      <c r="I517" s="207">
        <v>6</v>
      </c>
      <c r="J517" s="334">
        <v>5</v>
      </c>
      <c r="K517" s="334">
        <v>30</v>
      </c>
      <c r="L517" s="334">
        <v>2.5</v>
      </c>
      <c r="M517" s="336">
        <v>15</v>
      </c>
    </row>
    <row r="518" spans="4:13">
      <c r="D518" s="226">
        <v>1344</v>
      </c>
      <c r="E518" s="224">
        <v>44130</v>
      </c>
      <c r="F518" s="207" t="s">
        <v>1532</v>
      </c>
      <c r="G518" s="207" t="s">
        <v>1494</v>
      </c>
      <c r="H518" s="207" t="s">
        <v>534</v>
      </c>
      <c r="I518" s="207">
        <v>5</v>
      </c>
      <c r="J518" s="334">
        <v>9</v>
      </c>
      <c r="K518" s="334">
        <v>45</v>
      </c>
      <c r="L518" s="334">
        <v>4.5</v>
      </c>
      <c r="M518" s="336">
        <v>22.5</v>
      </c>
    </row>
    <row r="519" spans="4:13">
      <c r="D519" s="226">
        <v>1345</v>
      </c>
      <c r="E519" s="224">
        <v>44130</v>
      </c>
      <c r="F519" s="207" t="s">
        <v>1531</v>
      </c>
      <c r="G519" s="207" t="s">
        <v>1494</v>
      </c>
      <c r="H519" s="207" t="s">
        <v>530</v>
      </c>
      <c r="I519" s="207">
        <v>2</v>
      </c>
      <c r="J519" s="334">
        <v>24</v>
      </c>
      <c r="K519" s="334">
        <v>48</v>
      </c>
      <c r="L519" s="334">
        <v>12</v>
      </c>
      <c r="M519" s="336">
        <v>24</v>
      </c>
    </row>
    <row r="520" spans="4:13">
      <c r="D520" s="226">
        <v>1346</v>
      </c>
      <c r="E520" s="224">
        <v>44131</v>
      </c>
      <c r="F520" s="207" t="s">
        <v>1534</v>
      </c>
      <c r="G520" s="207" t="s">
        <v>1502</v>
      </c>
      <c r="H520" s="207" t="s">
        <v>520</v>
      </c>
      <c r="I520" s="207">
        <v>2</v>
      </c>
      <c r="J520" s="334">
        <v>176</v>
      </c>
      <c r="K520" s="334">
        <v>352</v>
      </c>
      <c r="L520" s="334">
        <v>88</v>
      </c>
      <c r="M520" s="336">
        <v>176</v>
      </c>
    </row>
    <row r="521" spans="4:13">
      <c r="D521" s="226">
        <v>1347</v>
      </c>
      <c r="E521" s="224">
        <v>44132</v>
      </c>
      <c r="F521" s="207" t="s">
        <v>1530</v>
      </c>
      <c r="G521" s="207" t="s">
        <v>1494</v>
      </c>
      <c r="H521" s="207" t="s">
        <v>520</v>
      </c>
      <c r="I521" s="207">
        <v>1</v>
      </c>
      <c r="J521" s="334">
        <v>573.33000000000004</v>
      </c>
      <c r="K521" s="334">
        <v>573.33000000000004</v>
      </c>
      <c r="L521" s="334">
        <v>286.67</v>
      </c>
      <c r="M521" s="336">
        <v>286.67</v>
      </c>
    </row>
    <row r="522" spans="4:13">
      <c r="D522" s="226">
        <v>1348</v>
      </c>
      <c r="E522" s="224">
        <v>44134</v>
      </c>
      <c r="F522" s="207" t="s">
        <v>1531</v>
      </c>
      <c r="G522" s="207" t="s">
        <v>1503</v>
      </c>
      <c r="H522" s="207" t="s">
        <v>534</v>
      </c>
      <c r="I522" s="207">
        <v>8</v>
      </c>
      <c r="J522" s="334">
        <v>6</v>
      </c>
      <c r="K522" s="334">
        <v>48</v>
      </c>
      <c r="L522" s="334">
        <v>3</v>
      </c>
      <c r="M522" s="336">
        <v>24</v>
      </c>
    </row>
    <row r="523" spans="4:13">
      <c r="D523" s="226">
        <v>1349</v>
      </c>
      <c r="E523" s="224">
        <v>44136</v>
      </c>
      <c r="F523" s="207" t="s">
        <v>1530</v>
      </c>
      <c r="G523" s="207" t="s">
        <v>1499</v>
      </c>
      <c r="H523" s="207" t="s">
        <v>518</v>
      </c>
      <c r="I523" s="207">
        <v>7</v>
      </c>
      <c r="J523" s="334">
        <v>63</v>
      </c>
      <c r="K523" s="334">
        <v>441</v>
      </c>
      <c r="L523" s="334">
        <v>31.5</v>
      </c>
      <c r="M523" s="336">
        <v>220.5</v>
      </c>
    </row>
    <row r="524" spans="4:13">
      <c r="D524" s="226">
        <v>1350</v>
      </c>
      <c r="E524" s="224">
        <v>44136</v>
      </c>
      <c r="F524" s="207" t="s">
        <v>1534</v>
      </c>
      <c r="G524" s="207" t="s">
        <v>1499</v>
      </c>
      <c r="H524" s="207" t="s">
        <v>534</v>
      </c>
      <c r="I524" s="207">
        <v>6</v>
      </c>
      <c r="J524" s="334">
        <v>6</v>
      </c>
      <c r="K524" s="334">
        <v>36</v>
      </c>
      <c r="L524" s="334">
        <v>3</v>
      </c>
      <c r="M524" s="336">
        <v>18</v>
      </c>
    </row>
    <row r="525" spans="4:13">
      <c r="D525" s="226">
        <v>1351</v>
      </c>
      <c r="E525" s="224">
        <v>44139</v>
      </c>
      <c r="F525" s="207" t="s">
        <v>1530</v>
      </c>
      <c r="G525" s="207" t="s">
        <v>1497</v>
      </c>
      <c r="H525" s="207" t="s">
        <v>530</v>
      </c>
      <c r="I525" s="207">
        <v>6</v>
      </c>
      <c r="J525" s="334">
        <v>48</v>
      </c>
      <c r="K525" s="334">
        <v>288</v>
      </c>
      <c r="L525" s="334">
        <v>24</v>
      </c>
      <c r="M525" s="336">
        <v>144</v>
      </c>
    </row>
    <row r="526" spans="4:13">
      <c r="D526" s="226">
        <v>1352</v>
      </c>
      <c r="E526" s="224">
        <v>44142</v>
      </c>
      <c r="F526" s="207" t="s">
        <v>1533</v>
      </c>
      <c r="G526" s="207" t="s">
        <v>1497</v>
      </c>
      <c r="H526" s="207" t="s">
        <v>518</v>
      </c>
      <c r="I526" s="207">
        <v>5</v>
      </c>
      <c r="J526" s="334">
        <v>15</v>
      </c>
      <c r="K526" s="334">
        <v>75</v>
      </c>
      <c r="L526" s="334">
        <v>7.5</v>
      </c>
      <c r="M526" s="336">
        <v>37.5</v>
      </c>
    </row>
    <row r="527" spans="4:13">
      <c r="D527" s="226">
        <v>1353</v>
      </c>
      <c r="E527" s="224">
        <v>44142</v>
      </c>
      <c r="F527" s="207" t="s">
        <v>1533</v>
      </c>
      <c r="G527" s="207" t="s">
        <v>1499</v>
      </c>
      <c r="H527" s="207" t="s">
        <v>525</v>
      </c>
      <c r="I527" s="207">
        <v>20</v>
      </c>
      <c r="J527" s="334">
        <v>6</v>
      </c>
      <c r="K527" s="334">
        <v>120</v>
      </c>
      <c r="L527" s="334">
        <v>3</v>
      </c>
      <c r="M527" s="336">
        <v>60</v>
      </c>
    </row>
    <row r="528" spans="4:13">
      <c r="D528" s="226">
        <v>1354</v>
      </c>
      <c r="E528" s="224">
        <v>44143</v>
      </c>
      <c r="F528" s="207" t="s">
        <v>1532</v>
      </c>
      <c r="G528" s="207" t="s">
        <v>1494</v>
      </c>
      <c r="H528" s="207" t="s">
        <v>518</v>
      </c>
      <c r="I528" s="207">
        <v>2</v>
      </c>
      <c r="J528" s="334">
        <v>198</v>
      </c>
      <c r="K528" s="334">
        <v>396</v>
      </c>
      <c r="L528" s="334">
        <v>99</v>
      </c>
      <c r="M528" s="336">
        <v>198</v>
      </c>
    </row>
    <row r="529" spans="4:13">
      <c r="D529" s="226">
        <v>1355</v>
      </c>
      <c r="E529" s="224">
        <v>44143</v>
      </c>
      <c r="F529" s="207" t="s">
        <v>1534</v>
      </c>
      <c r="G529" s="207" t="s">
        <v>1494</v>
      </c>
      <c r="H529" s="207" t="s">
        <v>520</v>
      </c>
      <c r="I529" s="207">
        <v>1</v>
      </c>
      <c r="J529" s="334">
        <v>414</v>
      </c>
      <c r="K529" s="334">
        <v>414</v>
      </c>
      <c r="L529" s="334">
        <v>207</v>
      </c>
      <c r="M529" s="336">
        <v>207</v>
      </c>
    </row>
    <row r="530" spans="4:13">
      <c r="D530" s="226">
        <v>1356</v>
      </c>
      <c r="E530" s="224">
        <v>44144</v>
      </c>
      <c r="F530" s="207" t="s">
        <v>1530</v>
      </c>
      <c r="G530" s="207" t="s">
        <v>1503</v>
      </c>
      <c r="H530" s="207" t="s">
        <v>525</v>
      </c>
      <c r="I530" s="207">
        <v>18</v>
      </c>
      <c r="J530" s="334">
        <v>16</v>
      </c>
      <c r="K530" s="334">
        <v>288</v>
      </c>
      <c r="L530" s="334">
        <v>8</v>
      </c>
      <c r="M530" s="336">
        <v>144</v>
      </c>
    </row>
    <row r="531" spans="4:13">
      <c r="D531" s="226">
        <v>1357</v>
      </c>
      <c r="E531" s="224">
        <v>44144</v>
      </c>
      <c r="F531" s="207" t="s">
        <v>1534</v>
      </c>
      <c r="G531" s="207" t="s">
        <v>1497</v>
      </c>
      <c r="H531" s="207" t="s">
        <v>518</v>
      </c>
      <c r="I531" s="207">
        <v>3</v>
      </c>
      <c r="J531" s="334">
        <v>31</v>
      </c>
      <c r="K531" s="334">
        <v>93</v>
      </c>
      <c r="L531" s="334">
        <v>15.5</v>
      </c>
      <c r="M531" s="336">
        <v>46.5</v>
      </c>
    </row>
    <row r="532" spans="4:13">
      <c r="D532" s="226">
        <v>1358</v>
      </c>
      <c r="E532" s="224">
        <v>44144</v>
      </c>
      <c r="F532" s="207" t="s">
        <v>1530</v>
      </c>
      <c r="G532" s="207" t="s">
        <v>1503</v>
      </c>
      <c r="H532" s="207" t="s">
        <v>520</v>
      </c>
      <c r="I532" s="207">
        <v>2</v>
      </c>
      <c r="J532" s="334">
        <v>340</v>
      </c>
      <c r="K532" s="334">
        <v>680</v>
      </c>
      <c r="L532" s="334">
        <v>170</v>
      </c>
      <c r="M532" s="336">
        <v>340</v>
      </c>
    </row>
    <row r="533" spans="4:13">
      <c r="D533" s="226">
        <v>1359</v>
      </c>
      <c r="E533" s="224">
        <v>44145</v>
      </c>
      <c r="F533" s="207" t="s">
        <v>1532</v>
      </c>
      <c r="G533" s="207" t="s">
        <v>1503</v>
      </c>
      <c r="H533" s="207" t="s">
        <v>525</v>
      </c>
      <c r="I533" s="207">
        <v>15</v>
      </c>
      <c r="J533" s="334">
        <v>22</v>
      </c>
      <c r="K533" s="334">
        <v>330</v>
      </c>
      <c r="L533" s="334">
        <v>11</v>
      </c>
      <c r="M533" s="336">
        <v>165</v>
      </c>
    </row>
    <row r="534" spans="4:13">
      <c r="D534" s="226">
        <v>1360</v>
      </c>
      <c r="E534" s="224">
        <v>44145</v>
      </c>
      <c r="F534" s="207" t="s">
        <v>1531</v>
      </c>
      <c r="G534" s="207" t="s">
        <v>1503</v>
      </c>
      <c r="H534" s="207" t="s">
        <v>534</v>
      </c>
      <c r="I534" s="207">
        <v>6</v>
      </c>
      <c r="J534" s="334">
        <v>7</v>
      </c>
      <c r="K534" s="334">
        <v>42</v>
      </c>
      <c r="L534" s="334">
        <v>3.5</v>
      </c>
      <c r="M534" s="336">
        <v>21</v>
      </c>
    </row>
    <row r="535" spans="4:13">
      <c r="D535" s="226">
        <v>1361</v>
      </c>
      <c r="E535" s="224">
        <v>44146</v>
      </c>
      <c r="F535" s="207" t="s">
        <v>1532</v>
      </c>
      <c r="G535" s="207" t="s">
        <v>1494</v>
      </c>
      <c r="H535" s="207" t="s">
        <v>525</v>
      </c>
      <c r="I535" s="207">
        <v>12</v>
      </c>
      <c r="J535" s="334">
        <v>21</v>
      </c>
      <c r="K535" s="334">
        <v>252</v>
      </c>
      <c r="L535" s="334">
        <v>10.5</v>
      </c>
      <c r="M535" s="336">
        <v>126</v>
      </c>
    </row>
    <row r="536" spans="4:13">
      <c r="D536" s="226">
        <v>1362</v>
      </c>
      <c r="E536" s="224">
        <v>44147</v>
      </c>
      <c r="F536" s="207" t="s">
        <v>1530</v>
      </c>
      <c r="G536" s="207" t="s">
        <v>1497</v>
      </c>
      <c r="H536" s="207" t="s">
        <v>525</v>
      </c>
      <c r="I536" s="207">
        <v>7</v>
      </c>
      <c r="J536" s="334">
        <v>15</v>
      </c>
      <c r="K536" s="334">
        <v>105</v>
      </c>
      <c r="L536" s="334">
        <v>7.5</v>
      </c>
      <c r="M536" s="336">
        <v>52.5</v>
      </c>
    </row>
    <row r="537" spans="4:13">
      <c r="D537" s="226">
        <v>1363</v>
      </c>
      <c r="E537" s="224">
        <v>44148</v>
      </c>
      <c r="F537" s="207" t="s">
        <v>1531</v>
      </c>
      <c r="G537" s="207" t="s">
        <v>1494</v>
      </c>
      <c r="H537" s="207" t="s">
        <v>520</v>
      </c>
      <c r="I537" s="207">
        <v>1</v>
      </c>
      <c r="J537" s="334">
        <v>219.33</v>
      </c>
      <c r="K537" s="334">
        <v>219.33</v>
      </c>
      <c r="L537" s="334">
        <v>109.67</v>
      </c>
      <c r="M537" s="336">
        <v>109.67</v>
      </c>
    </row>
    <row r="538" spans="4:13">
      <c r="D538" s="226">
        <v>1364</v>
      </c>
      <c r="E538" s="224">
        <v>44149</v>
      </c>
      <c r="F538" s="207" t="s">
        <v>1530</v>
      </c>
      <c r="G538" s="207" t="s">
        <v>1494</v>
      </c>
      <c r="H538" s="207" t="s">
        <v>534</v>
      </c>
      <c r="I538" s="207">
        <v>5</v>
      </c>
      <c r="J538" s="334">
        <v>6</v>
      </c>
      <c r="K538" s="334">
        <v>30</v>
      </c>
      <c r="L538" s="334">
        <v>3</v>
      </c>
      <c r="M538" s="336">
        <v>15</v>
      </c>
    </row>
    <row r="539" spans="4:13">
      <c r="D539" s="226">
        <v>1365</v>
      </c>
      <c r="E539" s="224">
        <v>44151</v>
      </c>
      <c r="F539" s="207" t="s">
        <v>1530</v>
      </c>
      <c r="G539" s="207" t="s">
        <v>1503</v>
      </c>
      <c r="H539" s="207" t="s">
        <v>518</v>
      </c>
      <c r="I539" s="207">
        <v>4</v>
      </c>
      <c r="J539" s="334">
        <v>244</v>
      </c>
      <c r="K539" s="334">
        <v>976</v>
      </c>
      <c r="L539" s="334">
        <v>122</v>
      </c>
      <c r="M539" s="336">
        <v>488</v>
      </c>
    </row>
    <row r="540" spans="4:13">
      <c r="D540" s="226">
        <v>1366</v>
      </c>
      <c r="E540" s="224">
        <v>44152</v>
      </c>
      <c r="F540" s="207" t="s">
        <v>1532</v>
      </c>
      <c r="G540" s="207" t="s">
        <v>1503</v>
      </c>
      <c r="H540" s="207" t="s">
        <v>534</v>
      </c>
      <c r="I540" s="207">
        <v>1</v>
      </c>
      <c r="J540" s="334">
        <v>8</v>
      </c>
      <c r="K540" s="334">
        <v>8</v>
      </c>
      <c r="L540" s="334">
        <v>4</v>
      </c>
      <c r="M540" s="336">
        <v>4</v>
      </c>
    </row>
    <row r="541" spans="4:13">
      <c r="D541" s="226">
        <v>1367</v>
      </c>
      <c r="E541" s="224">
        <v>44153</v>
      </c>
      <c r="F541" s="207" t="s">
        <v>1533</v>
      </c>
      <c r="G541" s="207" t="s">
        <v>1499</v>
      </c>
      <c r="H541" s="207" t="s">
        <v>525</v>
      </c>
      <c r="I541" s="207">
        <v>13</v>
      </c>
      <c r="J541" s="334">
        <v>12</v>
      </c>
      <c r="K541" s="334">
        <v>156</v>
      </c>
      <c r="L541" s="334">
        <v>6</v>
      </c>
      <c r="M541" s="336">
        <v>78</v>
      </c>
    </row>
    <row r="542" spans="4:13">
      <c r="D542" s="226">
        <v>1368</v>
      </c>
      <c r="E542" s="224">
        <v>44156</v>
      </c>
      <c r="F542" s="207" t="s">
        <v>1531</v>
      </c>
      <c r="G542" s="207" t="s">
        <v>1494</v>
      </c>
      <c r="H542" s="207" t="s">
        <v>530</v>
      </c>
      <c r="I542" s="207">
        <v>4</v>
      </c>
      <c r="J542" s="334">
        <v>35</v>
      </c>
      <c r="K542" s="334">
        <v>140</v>
      </c>
      <c r="L542" s="334">
        <v>17.5</v>
      </c>
      <c r="M542" s="336">
        <v>70</v>
      </c>
    </row>
    <row r="543" spans="4:13">
      <c r="D543" s="226">
        <v>1369</v>
      </c>
      <c r="E543" s="224">
        <v>44156</v>
      </c>
      <c r="F543" s="207" t="s">
        <v>1532</v>
      </c>
      <c r="G543" s="207" t="s">
        <v>1497</v>
      </c>
      <c r="H543" s="207" t="s">
        <v>534</v>
      </c>
      <c r="I543" s="207">
        <v>7</v>
      </c>
      <c r="J543" s="334">
        <v>8</v>
      </c>
      <c r="K543" s="334">
        <v>56</v>
      </c>
      <c r="L543" s="334">
        <v>4</v>
      </c>
      <c r="M543" s="336">
        <v>28</v>
      </c>
    </row>
    <row r="544" spans="4:13">
      <c r="D544" s="226">
        <v>1370</v>
      </c>
      <c r="E544" s="224">
        <v>44159</v>
      </c>
      <c r="F544" s="207" t="s">
        <v>1533</v>
      </c>
      <c r="G544" s="207" t="s">
        <v>1502</v>
      </c>
      <c r="H544" s="207" t="s">
        <v>518</v>
      </c>
      <c r="I544" s="207">
        <v>8</v>
      </c>
      <c r="J544" s="334">
        <v>20</v>
      </c>
      <c r="K544" s="334">
        <v>160</v>
      </c>
      <c r="L544" s="334">
        <v>10</v>
      </c>
      <c r="M544" s="336">
        <v>80</v>
      </c>
    </row>
    <row r="545" spans="4:13">
      <c r="D545" s="226">
        <v>1371</v>
      </c>
      <c r="E545" s="224">
        <v>44159</v>
      </c>
      <c r="F545" s="207" t="s">
        <v>1534</v>
      </c>
      <c r="G545" s="207" t="s">
        <v>1497</v>
      </c>
      <c r="H545" s="207" t="s">
        <v>530</v>
      </c>
      <c r="I545" s="207">
        <v>4</v>
      </c>
      <c r="J545" s="334">
        <v>21</v>
      </c>
      <c r="K545" s="334">
        <v>84</v>
      </c>
      <c r="L545" s="334">
        <v>10.5</v>
      </c>
      <c r="M545" s="336">
        <v>42</v>
      </c>
    </row>
    <row r="546" spans="4:13">
      <c r="D546" s="226">
        <v>1372</v>
      </c>
      <c r="E546" s="224">
        <v>44161</v>
      </c>
      <c r="F546" s="207" t="s">
        <v>1530</v>
      </c>
      <c r="G546" s="207" t="s">
        <v>1494</v>
      </c>
      <c r="H546" s="207" t="s">
        <v>530</v>
      </c>
      <c r="I546" s="207">
        <v>3</v>
      </c>
      <c r="J546" s="334">
        <v>36</v>
      </c>
      <c r="K546" s="334">
        <v>108</v>
      </c>
      <c r="L546" s="334">
        <v>18</v>
      </c>
      <c r="M546" s="336">
        <v>54</v>
      </c>
    </row>
    <row r="547" spans="4:13">
      <c r="D547" s="226">
        <v>1373</v>
      </c>
      <c r="E547" s="224">
        <v>44161</v>
      </c>
      <c r="F547" s="207" t="s">
        <v>1532</v>
      </c>
      <c r="G547" s="207" t="s">
        <v>1502</v>
      </c>
      <c r="H547" s="207" t="s">
        <v>518</v>
      </c>
      <c r="I547" s="207">
        <v>2</v>
      </c>
      <c r="J547" s="334">
        <v>23</v>
      </c>
      <c r="K547" s="334">
        <v>46</v>
      </c>
      <c r="L547" s="334">
        <v>11.5</v>
      </c>
      <c r="M547" s="336">
        <v>23</v>
      </c>
    </row>
    <row r="548" spans="4:13">
      <c r="D548" s="226">
        <v>1374</v>
      </c>
      <c r="E548" s="224">
        <v>44162</v>
      </c>
      <c r="F548" s="207" t="s">
        <v>1534</v>
      </c>
      <c r="G548" s="207" t="s">
        <v>1502</v>
      </c>
      <c r="H548" s="207" t="s">
        <v>520</v>
      </c>
      <c r="I548" s="207">
        <v>2</v>
      </c>
      <c r="J548" s="334">
        <v>133.33000000000001</v>
      </c>
      <c r="K548" s="334">
        <v>266.67</v>
      </c>
      <c r="L548" s="334">
        <v>66.67</v>
      </c>
      <c r="M548" s="336">
        <v>133.33000000000001</v>
      </c>
    </row>
    <row r="549" spans="4:13">
      <c r="D549" s="226">
        <v>1375</v>
      </c>
      <c r="E549" s="224">
        <v>44162</v>
      </c>
      <c r="F549" s="207" t="s">
        <v>1530</v>
      </c>
      <c r="G549" s="207" t="s">
        <v>1503</v>
      </c>
      <c r="H549" s="207" t="s">
        <v>530</v>
      </c>
      <c r="I549" s="207">
        <v>1</v>
      </c>
      <c r="J549" s="334">
        <v>43</v>
      </c>
      <c r="K549" s="334">
        <v>43</v>
      </c>
      <c r="L549" s="334">
        <v>21.5</v>
      </c>
      <c r="M549" s="336">
        <v>21.5</v>
      </c>
    </row>
    <row r="550" spans="4:13">
      <c r="D550" s="226">
        <v>1376</v>
      </c>
      <c r="E550" s="224">
        <v>44165</v>
      </c>
      <c r="F550" s="207" t="s">
        <v>1531</v>
      </c>
      <c r="G550" s="207" t="s">
        <v>1499</v>
      </c>
      <c r="H550" s="207" t="s">
        <v>530</v>
      </c>
      <c r="I550" s="207">
        <v>5</v>
      </c>
      <c r="J550" s="334">
        <v>50</v>
      </c>
      <c r="K550" s="334">
        <v>250</v>
      </c>
      <c r="L550" s="334">
        <v>25</v>
      </c>
      <c r="M550" s="336">
        <v>125</v>
      </c>
    </row>
    <row r="551" spans="4:13">
      <c r="D551" s="226">
        <v>1377</v>
      </c>
      <c r="E551" s="224">
        <v>44167</v>
      </c>
      <c r="F551" s="207" t="s">
        <v>1533</v>
      </c>
      <c r="G551" s="207" t="s">
        <v>1494</v>
      </c>
      <c r="H551" s="207" t="s">
        <v>518</v>
      </c>
      <c r="I551" s="207">
        <v>6</v>
      </c>
      <c r="J551" s="334">
        <v>140</v>
      </c>
      <c r="K551" s="334">
        <v>840</v>
      </c>
      <c r="L551" s="334">
        <v>70</v>
      </c>
      <c r="M551" s="336">
        <v>420</v>
      </c>
    </row>
    <row r="552" spans="4:13">
      <c r="D552" s="226">
        <v>1378</v>
      </c>
      <c r="E552" s="224">
        <v>44168</v>
      </c>
      <c r="F552" s="207" t="s">
        <v>1531</v>
      </c>
      <c r="G552" s="207" t="s">
        <v>1503</v>
      </c>
      <c r="H552" s="207" t="s">
        <v>534</v>
      </c>
      <c r="I552" s="207">
        <v>4</v>
      </c>
      <c r="J552" s="334">
        <v>5</v>
      </c>
      <c r="K552" s="334">
        <v>20</v>
      </c>
      <c r="L552" s="334">
        <v>2.5</v>
      </c>
      <c r="M552" s="336">
        <v>10</v>
      </c>
    </row>
    <row r="553" spans="4:13">
      <c r="D553" s="226">
        <v>1379</v>
      </c>
      <c r="E553" s="224">
        <v>44170</v>
      </c>
      <c r="F553" s="207" t="s">
        <v>1534</v>
      </c>
      <c r="G553" s="207" t="s">
        <v>1499</v>
      </c>
      <c r="H553" s="207" t="s">
        <v>520</v>
      </c>
      <c r="I553" s="207">
        <v>1</v>
      </c>
      <c r="J553" s="334">
        <v>184.67</v>
      </c>
      <c r="K553" s="334">
        <v>184.67</v>
      </c>
      <c r="L553" s="334">
        <v>92.33</v>
      </c>
      <c r="M553" s="336">
        <v>92.33</v>
      </c>
    </row>
    <row r="554" spans="4:13">
      <c r="D554" s="226">
        <v>1380</v>
      </c>
      <c r="E554" s="224">
        <v>44170</v>
      </c>
      <c r="F554" s="207" t="s">
        <v>1534</v>
      </c>
      <c r="G554" s="207" t="s">
        <v>1499</v>
      </c>
      <c r="H554" s="207" t="s">
        <v>525</v>
      </c>
      <c r="I554" s="207">
        <v>8</v>
      </c>
      <c r="J554" s="334">
        <v>6</v>
      </c>
      <c r="K554" s="334">
        <v>48</v>
      </c>
      <c r="L554" s="334">
        <v>3</v>
      </c>
      <c r="M554" s="336">
        <v>24</v>
      </c>
    </row>
    <row r="555" spans="4:13">
      <c r="D555" s="226">
        <v>1381</v>
      </c>
      <c r="E555" s="224">
        <v>44172</v>
      </c>
      <c r="F555" s="207" t="s">
        <v>1532</v>
      </c>
      <c r="G555" s="207" t="s">
        <v>1494</v>
      </c>
      <c r="H555" s="207" t="s">
        <v>520</v>
      </c>
      <c r="I555" s="207">
        <v>1</v>
      </c>
      <c r="J555" s="334">
        <v>556</v>
      </c>
      <c r="K555" s="334">
        <v>556</v>
      </c>
      <c r="L555" s="334">
        <v>278</v>
      </c>
      <c r="M555" s="336">
        <v>278</v>
      </c>
    </row>
    <row r="556" spans="4:13">
      <c r="D556" s="226">
        <v>1382</v>
      </c>
      <c r="E556" s="224">
        <v>44173</v>
      </c>
      <c r="F556" s="207" t="s">
        <v>1534</v>
      </c>
      <c r="G556" s="207" t="s">
        <v>1497</v>
      </c>
      <c r="H556" s="207" t="s">
        <v>530</v>
      </c>
      <c r="I556" s="207">
        <v>1</v>
      </c>
      <c r="J556" s="334">
        <v>48</v>
      </c>
      <c r="K556" s="334">
        <v>48</v>
      </c>
      <c r="L556" s="334">
        <v>24</v>
      </c>
      <c r="M556" s="336">
        <v>24</v>
      </c>
    </row>
    <row r="557" spans="4:13">
      <c r="D557" s="226">
        <v>1383</v>
      </c>
      <c r="E557" s="224">
        <v>44174</v>
      </c>
      <c r="F557" s="207" t="s">
        <v>1534</v>
      </c>
      <c r="G557" s="207" t="s">
        <v>1499</v>
      </c>
      <c r="H557" s="207" t="s">
        <v>534</v>
      </c>
      <c r="I557" s="207">
        <v>1</v>
      </c>
      <c r="J557" s="334">
        <v>7</v>
      </c>
      <c r="K557" s="334">
        <v>7</v>
      </c>
      <c r="L557" s="334">
        <v>3.5</v>
      </c>
      <c r="M557" s="336">
        <v>3.5</v>
      </c>
    </row>
    <row r="558" spans="4:13">
      <c r="D558" s="226">
        <v>1384</v>
      </c>
      <c r="E558" s="224">
        <v>44175</v>
      </c>
      <c r="F558" s="207" t="s">
        <v>1532</v>
      </c>
      <c r="G558" s="207" t="s">
        <v>1494</v>
      </c>
      <c r="H558" s="207" t="s">
        <v>534</v>
      </c>
      <c r="I558" s="207">
        <v>5</v>
      </c>
      <c r="J558" s="334">
        <v>6</v>
      </c>
      <c r="K558" s="334">
        <v>30</v>
      </c>
      <c r="L558" s="334">
        <v>3</v>
      </c>
      <c r="M558" s="336">
        <v>15</v>
      </c>
    </row>
    <row r="559" spans="4:13">
      <c r="D559" s="226">
        <v>1385</v>
      </c>
      <c r="E559" s="224">
        <v>44177</v>
      </c>
      <c r="F559" s="207" t="s">
        <v>1534</v>
      </c>
      <c r="G559" s="207" t="s">
        <v>1502</v>
      </c>
      <c r="H559" s="207" t="s">
        <v>530</v>
      </c>
      <c r="I559" s="207">
        <v>4</v>
      </c>
      <c r="J559" s="334">
        <v>28</v>
      </c>
      <c r="K559" s="334">
        <v>112</v>
      </c>
      <c r="L559" s="334">
        <v>14</v>
      </c>
      <c r="M559" s="336">
        <v>56</v>
      </c>
    </row>
    <row r="560" spans="4:13">
      <c r="D560" s="226">
        <v>1386</v>
      </c>
      <c r="E560" s="224">
        <v>44178</v>
      </c>
      <c r="F560" s="207" t="s">
        <v>1533</v>
      </c>
      <c r="G560" s="207" t="s">
        <v>1502</v>
      </c>
      <c r="H560" s="207" t="s">
        <v>530</v>
      </c>
      <c r="I560" s="207">
        <v>9</v>
      </c>
      <c r="J560" s="334">
        <v>23</v>
      </c>
      <c r="K560" s="334">
        <v>207</v>
      </c>
      <c r="L560" s="334">
        <v>11.5</v>
      </c>
      <c r="M560" s="336">
        <v>103.5</v>
      </c>
    </row>
    <row r="561" spans="4:13">
      <c r="D561" s="226">
        <v>1387</v>
      </c>
      <c r="E561" s="224">
        <v>44180</v>
      </c>
      <c r="F561" s="207" t="s">
        <v>1534</v>
      </c>
      <c r="G561" s="207" t="s">
        <v>1499</v>
      </c>
      <c r="H561" s="207" t="s">
        <v>534</v>
      </c>
      <c r="I561" s="207">
        <v>3</v>
      </c>
      <c r="J561" s="334">
        <v>6</v>
      </c>
      <c r="K561" s="334">
        <v>18</v>
      </c>
      <c r="L561" s="334">
        <v>3</v>
      </c>
      <c r="M561" s="336">
        <v>9</v>
      </c>
    </row>
    <row r="562" spans="4:13">
      <c r="D562" s="226">
        <v>1388</v>
      </c>
      <c r="E562" s="224">
        <v>44181</v>
      </c>
      <c r="F562" s="207" t="s">
        <v>1532</v>
      </c>
      <c r="G562" s="207" t="s">
        <v>1494</v>
      </c>
      <c r="H562" s="207" t="s">
        <v>530</v>
      </c>
      <c r="I562" s="207">
        <v>2</v>
      </c>
      <c r="J562" s="334">
        <v>38</v>
      </c>
      <c r="K562" s="334">
        <v>76</v>
      </c>
      <c r="L562" s="334">
        <v>19</v>
      </c>
      <c r="M562" s="336">
        <v>38</v>
      </c>
    </row>
    <row r="563" spans="4:13">
      <c r="D563" s="226">
        <v>1389</v>
      </c>
      <c r="E563" s="224">
        <v>44184</v>
      </c>
      <c r="F563" s="207" t="s">
        <v>1530</v>
      </c>
      <c r="G563" s="207" t="s">
        <v>1502</v>
      </c>
      <c r="H563" s="207" t="s">
        <v>530</v>
      </c>
      <c r="I563" s="207">
        <v>1</v>
      </c>
      <c r="J563" s="334">
        <v>39</v>
      </c>
      <c r="K563" s="334">
        <v>39</v>
      </c>
      <c r="L563" s="334">
        <v>19.5</v>
      </c>
      <c r="M563" s="336">
        <v>19.5</v>
      </c>
    </row>
    <row r="564" spans="4:13">
      <c r="D564" s="226">
        <v>1390</v>
      </c>
      <c r="E564" s="224">
        <v>44184</v>
      </c>
      <c r="F564" s="207" t="s">
        <v>1534</v>
      </c>
      <c r="G564" s="207" t="s">
        <v>1502</v>
      </c>
      <c r="H564" s="207" t="s">
        <v>520</v>
      </c>
      <c r="I564" s="207">
        <v>1</v>
      </c>
      <c r="J564" s="334">
        <v>157.33000000000001</v>
      </c>
      <c r="K564" s="334">
        <v>157.33000000000001</v>
      </c>
      <c r="L564" s="334">
        <v>78.67</v>
      </c>
      <c r="M564" s="336">
        <v>78.67</v>
      </c>
    </row>
    <row r="565" spans="4:13">
      <c r="D565" s="226">
        <v>1391</v>
      </c>
      <c r="E565" s="224">
        <v>44184</v>
      </c>
      <c r="F565" s="207" t="s">
        <v>1531</v>
      </c>
      <c r="G565" s="207" t="s">
        <v>1499</v>
      </c>
      <c r="H565" s="207" t="s">
        <v>518</v>
      </c>
      <c r="I565" s="207">
        <v>8</v>
      </c>
      <c r="J565" s="334">
        <v>81</v>
      </c>
      <c r="K565" s="334">
        <v>648</v>
      </c>
      <c r="L565" s="334">
        <v>40.5</v>
      </c>
      <c r="M565" s="336">
        <v>324</v>
      </c>
    </row>
    <row r="566" spans="4:13">
      <c r="D566" s="226">
        <v>1392</v>
      </c>
      <c r="E566" s="224">
        <v>44185</v>
      </c>
      <c r="F566" s="207" t="s">
        <v>1531</v>
      </c>
      <c r="G566" s="207" t="s">
        <v>1497</v>
      </c>
      <c r="H566" s="207" t="s">
        <v>520</v>
      </c>
      <c r="I566" s="207">
        <v>2</v>
      </c>
      <c r="J566" s="334">
        <v>202.67</v>
      </c>
      <c r="K566" s="334">
        <v>405.33</v>
      </c>
      <c r="L566" s="334">
        <v>101.33</v>
      </c>
      <c r="M566" s="336">
        <v>202.67</v>
      </c>
    </row>
    <row r="567" spans="4:13">
      <c r="D567" s="226">
        <v>1393</v>
      </c>
      <c r="E567" s="224">
        <v>44185</v>
      </c>
      <c r="F567" s="207" t="s">
        <v>1532</v>
      </c>
      <c r="G567" s="207" t="s">
        <v>1502</v>
      </c>
      <c r="H567" s="207" t="s">
        <v>525</v>
      </c>
      <c r="I567" s="207">
        <v>15</v>
      </c>
      <c r="J567" s="334">
        <v>9</v>
      </c>
      <c r="K567" s="334">
        <v>135</v>
      </c>
      <c r="L567" s="334">
        <v>4.5</v>
      </c>
      <c r="M567" s="336">
        <v>67.5</v>
      </c>
    </row>
    <row r="568" spans="4:13">
      <c r="D568" s="226">
        <v>1394</v>
      </c>
      <c r="E568" s="224">
        <v>44185</v>
      </c>
      <c r="F568" s="207" t="s">
        <v>1534</v>
      </c>
      <c r="G568" s="207" t="s">
        <v>1499</v>
      </c>
      <c r="H568" s="207" t="s">
        <v>525</v>
      </c>
      <c r="I568" s="207">
        <v>18</v>
      </c>
      <c r="J568" s="334">
        <v>8</v>
      </c>
      <c r="K568" s="334">
        <v>144</v>
      </c>
      <c r="L568" s="334">
        <v>4</v>
      </c>
      <c r="M568" s="336">
        <v>72</v>
      </c>
    </row>
    <row r="569" spans="4:13">
      <c r="D569" s="226">
        <v>1395</v>
      </c>
      <c r="E569" s="224">
        <v>44187</v>
      </c>
      <c r="F569" s="207" t="s">
        <v>1533</v>
      </c>
      <c r="G569" s="207" t="s">
        <v>1497</v>
      </c>
      <c r="H569" s="207" t="s">
        <v>518</v>
      </c>
      <c r="I569" s="207">
        <v>9</v>
      </c>
      <c r="J569" s="334">
        <v>31</v>
      </c>
      <c r="K569" s="334">
        <v>279</v>
      </c>
      <c r="L569" s="334">
        <v>15.5</v>
      </c>
      <c r="M569" s="336">
        <v>139.5</v>
      </c>
    </row>
    <row r="570" spans="4:13">
      <c r="D570" s="226">
        <v>1396</v>
      </c>
      <c r="E570" s="224">
        <v>44187</v>
      </c>
      <c r="F570" s="207" t="s">
        <v>1533</v>
      </c>
      <c r="G570" s="207" t="s">
        <v>1503</v>
      </c>
      <c r="H570" s="207" t="s">
        <v>525</v>
      </c>
      <c r="I570" s="207">
        <v>10</v>
      </c>
      <c r="J570" s="334">
        <v>25</v>
      </c>
      <c r="K570" s="334">
        <v>250</v>
      </c>
      <c r="L570" s="334">
        <v>12.5</v>
      </c>
      <c r="M570" s="336">
        <v>125</v>
      </c>
    </row>
    <row r="571" spans="4:13">
      <c r="D571" s="226">
        <v>1397</v>
      </c>
      <c r="E571" s="224">
        <v>44192</v>
      </c>
      <c r="F571" s="207" t="s">
        <v>1530</v>
      </c>
      <c r="G571" s="207" t="s">
        <v>1503</v>
      </c>
      <c r="H571" s="207" t="s">
        <v>520</v>
      </c>
      <c r="I571" s="207">
        <v>1</v>
      </c>
      <c r="J571" s="334">
        <v>480</v>
      </c>
      <c r="K571" s="334">
        <v>480</v>
      </c>
      <c r="L571" s="334">
        <v>240</v>
      </c>
      <c r="M571" s="336">
        <v>240</v>
      </c>
    </row>
    <row r="572" spans="4:13">
      <c r="D572" s="226">
        <v>1398</v>
      </c>
      <c r="E572" s="224">
        <v>44193</v>
      </c>
      <c r="F572" s="207" t="s">
        <v>1530</v>
      </c>
      <c r="G572" s="207" t="s">
        <v>1497</v>
      </c>
      <c r="H572" s="207" t="s">
        <v>518</v>
      </c>
      <c r="I572" s="207">
        <v>10</v>
      </c>
      <c r="J572" s="334">
        <v>50</v>
      </c>
      <c r="K572" s="334">
        <v>500</v>
      </c>
      <c r="L572" s="334">
        <v>25</v>
      </c>
      <c r="M572" s="336">
        <v>250</v>
      </c>
    </row>
    <row r="573" spans="4:13">
      <c r="D573" s="226">
        <v>1399</v>
      </c>
      <c r="E573" s="224">
        <v>44194</v>
      </c>
      <c r="F573" s="207" t="s">
        <v>1530</v>
      </c>
      <c r="G573" s="207" t="s">
        <v>1502</v>
      </c>
      <c r="H573" s="207" t="s">
        <v>525</v>
      </c>
      <c r="I573" s="207">
        <v>19</v>
      </c>
      <c r="J573" s="334">
        <v>7</v>
      </c>
      <c r="K573" s="334">
        <v>133</v>
      </c>
      <c r="L573" s="334">
        <v>3.5</v>
      </c>
      <c r="M573" s="336">
        <v>66.5</v>
      </c>
    </row>
    <row r="574" spans="4:13">
      <c r="D574" s="226">
        <v>1400</v>
      </c>
      <c r="E574" s="224">
        <v>44194</v>
      </c>
      <c r="F574" s="207" t="s">
        <v>1533</v>
      </c>
      <c r="G574" s="207" t="s">
        <v>1499</v>
      </c>
      <c r="H574" s="207" t="s">
        <v>534</v>
      </c>
      <c r="I574" s="207">
        <v>8</v>
      </c>
      <c r="J574" s="334">
        <v>8</v>
      </c>
      <c r="K574" s="334">
        <v>64</v>
      </c>
      <c r="L574" s="334">
        <v>4</v>
      </c>
      <c r="M574" s="336">
        <v>32</v>
      </c>
    </row>
    <row r="575" spans="4:13">
      <c r="D575" s="226">
        <v>1401</v>
      </c>
      <c r="E575" s="224">
        <v>44195</v>
      </c>
      <c r="F575" s="207" t="s">
        <v>1532</v>
      </c>
      <c r="G575" s="207" t="s">
        <v>1494</v>
      </c>
      <c r="H575" s="207" t="s">
        <v>520</v>
      </c>
      <c r="I575" s="207">
        <v>2</v>
      </c>
      <c r="J575" s="334">
        <v>596</v>
      </c>
      <c r="K575" s="334">
        <v>1192</v>
      </c>
      <c r="L575" s="334">
        <v>298</v>
      </c>
      <c r="M575" s="336">
        <v>596</v>
      </c>
    </row>
    <row r="576" spans="4:13">
      <c r="D576" s="226">
        <v>1402</v>
      </c>
      <c r="E576" s="224">
        <v>44196</v>
      </c>
      <c r="F576" s="207" t="s">
        <v>1534</v>
      </c>
      <c r="G576" s="207" t="s">
        <v>1502</v>
      </c>
      <c r="H576" s="207" t="s">
        <v>530</v>
      </c>
      <c r="I576" s="207">
        <v>6</v>
      </c>
      <c r="J576" s="334">
        <v>47</v>
      </c>
      <c r="K576" s="334">
        <v>282</v>
      </c>
      <c r="L576" s="334">
        <v>23.5</v>
      </c>
      <c r="M576" s="336">
        <v>141</v>
      </c>
    </row>
    <row r="577" spans="4:13">
      <c r="D577" s="226">
        <v>1403</v>
      </c>
      <c r="E577" s="224">
        <v>44197</v>
      </c>
      <c r="F577" s="207" t="s">
        <v>1532</v>
      </c>
      <c r="G577" s="207" t="s">
        <v>1497</v>
      </c>
      <c r="H577" s="207" t="s">
        <v>520</v>
      </c>
      <c r="I577" s="207">
        <v>1</v>
      </c>
      <c r="J577" s="334">
        <v>310</v>
      </c>
      <c r="K577" s="334">
        <v>310</v>
      </c>
      <c r="L577" s="334">
        <v>155</v>
      </c>
      <c r="M577" s="336">
        <v>155</v>
      </c>
    </row>
    <row r="578" spans="4:13">
      <c r="D578" s="226">
        <v>1404</v>
      </c>
      <c r="E578" s="224">
        <v>44198</v>
      </c>
      <c r="F578" s="207" t="s">
        <v>1532</v>
      </c>
      <c r="G578" s="207" t="s">
        <v>1503</v>
      </c>
      <c r="H578" s="207" t="s">
        <v>525</v>
      </c>
      <c r="I578" s="207">
        <v>19</v>
      </c>
      <c r="J578" s="334">
        <v>49</v>
      </c>
      <c r="K578" s="334">
        <v>931</v>
      </c>
      <c r="L578" s="334">
        <v>24.5</v>
      </c>
      <c r="M578" s="336">
        <v>465.5</v>
      </c>
    </row>
    <row r="579" spans="4:13">
      <c r="D579" s="226">
        <v>1405</v>
      </c>
      <c r="E579" s="224">
        <v>44199</v>
      </c>
      <c r="F579" s="207" t="s">
        <v>1532</v>
      </c>
      <c r="G579" s="207" t="s">
        <v>1497</v>
      </c>
      <c r="H579" s="207" t="s">
        <v>530</v>
      </c>
      <c r="I579" s="207">
        <v>2</v>
      </c>
      <c r="J579" s="334">
        <v>50</v>
      </c>
      <c r="K579" s="334">
        <v>100</v>
      </c>
      <c r="L579" s="334">
        <v>25</v>
      </c>
      <c r="M579" s="336">
        <v>50</v>
      </c>
    </row>
    <row r="580" spans="4:13">
      <c r="D580" s="226">
        <v>1406</v>
      </c>
      <c r="E580" s="224">
        <v>44199</v>
      </c>
      <c r="F580" s="207" t="s">
        <v>1532</v>
      </c>
      <c r="G580" s="207" t="s">
        <v>1499</v>
      </c>
      <c r="H580" s="207" t="s">
        <v>534</v>
      </c>
      <c r="I580" s="207">
        <v>4</v>
      </c>
      <c r="J580" s="334">
        <v>8</v>
      </c>
      <c r="K580" s="334">
        <v>32</v>
      </c>
      <c r="L580" s="334">
        <v>4</v>
      </c>
      <c r="M580" s="336">
        <v>16</v>
      </c>
    </row>
    <row r="581" spans="4:13">
      <c r="D581" s="226">
        <v>1407</v>
      </c>
      <c r="E581" s="224">
        <v>44199</v>
      </c>
      <c r="F581" s="207" t="s">
        <v>1531</v>
      </c>
      <c r="G581" s="207" t="s">
        <v>1499</v>
      </c>
      <c r="H581" s="207" t="s">
        <v>520</v>
      </c>
      <c r="I581" s="207">
        <v>2</v>
      </c>
      <c r="J581" s="334">
        <v>219.33</v>
      </c>
      <c r="K581" s="334">
        <v>438.67</v>
      </c>
      <c r="L581" s="334">
        <v>109.67</v>
      </c>
      <c r="M581" s="336">
        <v>219.33</v>
      </c>
    </row>
    <row r="582" spans="4:13">
      <c r="D582" s="226">
        <v>1408</v>
      </c>
      <c r="E582" s="224">
        <v>44200</v>
      </c>
      <c r="F582" s="207" t="s">
        <v>1530</v>
      </c>
      <c r="G582" s="207" t="s">
        <v>1497</v>
      </c>
      <c r="H582" s="207" t="s">
        <v>534</v>
      </c>
      <c r="I582" s="207">
        <v>10</v>
      </c>
      <c r="J582" s="334">
        <v>9</v>
      </c>
      <c r="K582" s="334">
        <v>90</v>
      </c>
      <c r="L582" s="334">
        <v>4.5</v>
      </c>
      <c r="M582" s="336">
        <v>45</v>
      </c>
    </row>
    <row r="583" spans="4:13">
      <c r="D583" s="226">
        <v>1409</v>
      </c>
      <c r="E583" s="224">
        <v>44201</v>
      </c>
      <c r="F583" s="207" t="s">
        <v>1533</v>
      </c>
      <c r="G583" s="207" t="s">
        <v>1502</v>
      </c>
      <c r="H583" s="207" t="s">
        <v>520</v>
      </c>
      <c r="I583" s="207">
        <v>1</v>
      </c>
      <c r="J583" s="334">
        <v>200</v>
      </c>
      <c r="K583" s="334">
        <v>200</v>
      </c>
      <c r="L583" s="334">
        <v>100</v>
      </c>
      <c r="M583" s="336">
        <v>100</v>
      </c>
    </row>
    <row r="584" spans="4:13">
      <c r="D584" s="226">
        <v>1410</v>
      </c>
      <c r="E584" s="224">
        <v>44204</v>
      </c>
      <c r="F584" s="207" t="s">
        <v>1532</v>
      </c>
      <c r="G584" s="207" t="s">
        <v>1494</v>
      </c>
      <c r="H584" s="207" t="s">
        <v>530</v>
      </c>
      <c r="I584" s="207">
        <v>6</v>
      </c>
      <c r="J584" s="334">
        <v>38</v>
      </c>
      <c r="K584" s="334">
        <v>228</v>
      </c>
      <c r="L584" s="334">
        <v>19</v>
      </c>
      <c r="M584" s="336">
        <v>114</v>
      </c>
    </row>
    <row r="585" spans="4:13">
      <c r="D585" s="226">
        <v>1411</v>
      </c>
      <c r="E585" s="224">
        <v>44204</v>
      </c>
      <c r="F585" s="207" t="s">
        <v>1534</v>
      </c>
      <c r="G585" s="207" t="s">
        <v>1497</v>
      </c>
      <c r="H585" s="207" t="s">
        <v>534</v>
      </c>
      <c r="I585" s="207">
        <v>8</v>
      </c>
      <c r="J585" s="334">
        <v>9</v>
      </c>
      <c r="K585" s="334">
        <v>72</v>
      </c>
      <c r="L585" s="334">
        <v>4.5</v>
      </c>
      <c r="M585" s="336">
        <v>36</v>
      </c>
    </row>
    <row r="586" spans="4:13">
      <c r="D586" s="226">
        <v>1412</v>
      </c>
      <c r="E586" s="224">
        <v>44206</v>
      </c>
      <c r="F586" s="207" t="s">
        <v>1533</v>
      </c>
      <c r="G586" s="207" t="s">
        <v>1494</v>
      </c>
      <c r="H586" s="207" t="s">
        <v>534</v>
      </c>
      <c r="I586" s="207">
        <v>4</v>
      </c>
      <c r="J586" s="334">
        <v>7</v>
      </c>
      <c r="K586" s="334">
        <v>28</v>
      </c>
      <c r="L586" s="334">
        <v>3.5</v>
      </c>
      <c r="M586" s="336">
        <v>14</v>
      </c>
    </row>
    <row r="587" spans="4:13">
      <c r="D587" s="226">
        <v>1413</v>
      </c>
      <c r="E587" s="224">
        <v>44207</v>
      </c>
      <c r="F587" s="207" t="s">
        <v>1533</v>
      </c>
      <c r="G587" s="207" t="s">
        <v>1503</v>
      </c>
      <c r="H587" s="207" t="s">
        <v>520</v>
      </c>
      <c r="I587" s="207">
        <v>2</v>
      </c>
      <c r="J587" s="334">
        <v>315.89999999999998</v>
      </c>
      <c r="K587" s="334">
        <v>631.79</v>
      </c>
      <c r="L587" s="334">
        <v>157.94999999999999</v>
      </c>
      <c r="M587" s="336">
        <v>315.89999999999998</v>
      </c>
    </row>
    <row r="588" spans="4:13">
      <c r="D588" s="226">
        <v>1414</v>
      </c>
      <c r="E588" s="224">
        <v>44207</v>
      </c>
      <c r="F588" s="207" t="s">
        <v>1531</v>
      </c>
      <c r="G588" s="207" t="s">
        <v>1494</v>
      </c>
      <c r="H588" s="207" t="s">
        <v>534</v>
      </c>
      <c r="I588" s="207">
        <v>1</v>
      </c>
      <c r="J588" s="334">
        <v>7</v>
      </c>
      <c r="K588" s="334">
        <v>7</v>
      </c>
      <c r="L588" s="334">
        <v>3.5</v>
      </c>
      <c r="M588" s="336">
        <v>3.5</v>
      </c>
    </row>
    <row r="589" spans="4:13">
      <c r="D589" s="226">
        <v>1415</v>
      </c>
      <c r="E589" s="224">
        <v>44208</v>
      </c>
      <c r="F589" s="207" t="s">
        <v>1534</v>
      </c>
      <c r="G589" s="207" t="s">
        <v>1502</v>
      </c>
      <c r="H589" s="207" t="s">
        <v>530</v>
      </c>
      <c r="I589" s="207">
        <v>2</v>
      </c>
      <c r="J589" s="334">
        <v>23</v>
      </c>
      <c r="K589" s="334">
        <v>46</v>
      </c>
      <c r="L589" s="334">
        <v>11.5</v>
      </c>
      <c r="M589" s="336">
        <v>23</v>
      </c>
    </row>
    <row r="590" spans="4:13">
      <c r="D590" s="226">
        <v>1416</v>
      </c>
      <c r="E590" s="224">
        <v>44208</v>
      </c>
      <c r="F590" s="207" t="s">
        <v>1534</v>
      </c>
      <c r="G590" s="207" t="s">
        <v>1503</v>
      </c>
      <c r="H590" s="207" t="s">
        <v>525</v>
      </c>
      <c r="I590" s="207">
        <v>14</v>
      </c>
      <c r="J590" s="334">
        <v>23</v>
      </c>
      <c r="K590" s="334">
        <v>322</v>
      </c>
      <c r="L590" s="334">
        <v>11.5</v>
      </c>
      <c r="M590" s="336">
        <v>161</v>
      </c>
    </row>
    <row r="591" spans="4:13">
      <c r="D591" s="226">
        <v>1417</v>
      </c>
      <c r="E591" s="224">
        <v>44209</v>
      </c>
      <c r="F591" s="207" t="s">
        <v>1532</v>
      </c>
      <c r="G591" s="207" t="s">
        <v>1494</v>
      </c>
      <c r="H591" s="207" t="s">
        <v>525</v>
      </c>
      <c r="I591" s="207">
        <v>9</v>
      </c>
      <c r="J591" s="334">
        <v>28</v>
      </c>
      <c r="K591" s="334">
        <v>252</v>
      </c>
      <c r="L591" s="334">
        <v>14</v>
      </c>
      <c r="M591" s="336">
        <v>126</v>
      </c>
    </row>
    <row r="592" spans="4:13">
      <c r="D592" s="226">
        <v>1418</v>
      </c>
      <c r="E592" s="224">
        <v>44209</v>
      </c>
      <c r="F592" s="207" t="s">
        <v>1532</v>
      </c>
      <c r="G592" s="207" t="s">
        <v>1503</v>
      </c>
      <c r="H592" s="207" t="s">
        <v>534</v>
      </c>
      <c r="I592" s="207">
        <v>9</v>
      </c>
      <c r="J592" s="334">
        <v>7</v>
      </c>
      <c r="K592" s="334">
        <v>63</v>
      </c>
      <c r="L592" s="334">
        <v>3.5</v>
      </c>
      <c r="M592" s="336">
        <v>31.5</v>
      </c>
    </row>
    <row r="593" spans="4:13">
      <c r="D593" s="226">
        <v>1419</v>
      </c>
      <c r="E593" s="224">
        <v>44211</v>
      </c>
      <c r="F593" s="207" t="s">
        <v>1534</v>
      </c>
      <c r="G593" s="207" t="s">
        <v>1503</v>
      </c>
      <c r="H593" s="207" t="s">
        <v>530</v>
      </c>
      <c r="I593" s="207">
        <v>1</v>
      </c>
      <c r="J593" s="334">
        <v>29</v>
      </c>
      <c r="K593" s="334">
        <v>29</v>
      </c>
      <c r="L593" s="334">
        <v>14.5</v>
      </c>
      <c r="M593" s="336">
        <v>14.5</v>
      </c>
    </row>
    <row r="594" spans="4:13">
      <c r="D594" s="226">
        <v>1420</v>
      </c>
      <c r="E594" s="224">
        <v>44213</v>
      </c>
      <c r="F594" s="207" t="s">
        <v>1533</v>
      </c>
      <c r="G594" s="207" t="s">
        <v>1497</v>
      </c>
      <c r="H594" s="207" t="s">
        <v>518</v>
      </c>
      <c r="I594" s="207">
        <v>2</v>
      </c>
      <c r="J594" s="334">
        <v>19</v>
      </c>
      <c r="K594" s="334">
        <v>38</v>
      </c>
      <c r="L594" s="334">
        <v>9.5</v>
      </c>
      <c r="M594" s="336">
        <v>19</v>
      </c>
    </row>
    <row r="595" spans="4:13">
      <c r="D595" s="226">
        <v>1421</v>
      </c>
      <c r="E595" s="224">
        <v>44213</v>
      </c>
      <c r="F595" s="207" t="s">
        <v>1532</v>
      </c>
      <c r="G595" s="207" t="s">
        <v>1503</v>
      </c>
      <c r="H595" s="207" t="s">
        <v>518</v>
      </c>
      <c r="I595" s="207">
        <v>10</v>
      </c>
      <c r="J595" s="334">
        <v>211</v>
      </c>
      <c r="K595" s="334">
        <v>2110</v>
      </c>
      <c r="L595" s="334">
        <v>105.5</v>
      </c>
      <c r="M595" s="336">
        <v>1055</v>
      </c>
    </row>
    <row r="596" spans="4:13">
      <c r="D596" s="226">
        <v>1422</v>
      </c>
      <c r="E596" s="224">
        <v>44213</v>
      </c>
      <c r="F596" s="207" t="s">
        <v>1530</v>
      </c>
      <c r="G596" s="207" t="s">
        <v>1502</v>
      </c>
      <c r="H596" s="207" t="s">
        <v>520</v>
      </c>
      <c r="I596" s="207">
        <v>2</v>
      </c>
      <c r="J596" s="334">
        <v>324.67</v>
      </c>
      <c r="K596" s="334">
        <v>649.33000000000004</v>
      </c>
      <c r="L596" s="334">
        <v>162.33000000000001</v>
      </c>
      <c r="M596" s="336">
        <v>324.67</v>
      </c>
    </row>
    <row r="597" spans="4:13">
      <c r="D597" s="226">
        <v>1423</v>
      </c>
      <c r="E597" s="224">
        <v>44214</v>
      </c>
      <c r="F597" s="207" t="s">
        <v>1533</v>
      </c>
      <c r="G597" s="207" t="s">
        <v>1494</v>
      </c>
      <c r="H597" s="207" t="s">
        <v>530</v>
      </c>
      <c r="I597" s="207">
        <v>9</v>
      </c>
      <c r="J597" s="334">
        <v>42</v>
      </c>
      <c r="K597" s="334">
        <v>378</v>
      </c>
      <c r="L597" s="334">
        <v>21</v>
      </c>
      <c r="M597" s="336">
        <v>189</v>
      </c>
    </row>
    <row r="598" spans="4:13">
      <c r="D598" s="226">
        <v>1424</v>
      </c>
      <c r="E598" s="224">
        <v>44215</v>
      </c>
      <c r="F598" s="207" t="s">
        <v>1530</v>
      </c>
      <c r="G598" s="207" t="s">
        <v>1503</v>
      </c>
      <c r="H598" s="207" t="s">
        <v>530</v>
      </c>
      <c r="I598" s="207">
        <v>1</v>
      </c>
      <c r="J598" s="334">
        <v>29</v>
      </c>
      <c r="K598" s="334">
        <v>29</v>
      </c>
      <c r="L598" s="334">
        <v>14.5</v>
      </c>
      <c r="M598" s="336">
        <v>14.5</v>
      </c>
    </row>
    <row r="599" spans="4:13">
      <c r="D599" s="226">
        <v>1425</v>
      </c>
      <c r="E599" s="224">
        <v>44215</v>
      </c>
      <c r="F599" s="207" t="s">
        <v>1530</v>
      </c>
      <c r="G599" s="207" t="s">
        <v>1497</v>
      </c>
      <c r="H599" s="207" t="s">
        <v>518</v>
      </c>
      <c r="I599" s="207">
        <v>1</v>
      </c>
      <c r="J599" s="334">
        <v>22</v>
      </c>
      <c r="K599" s="334">
        <v>22</v>
      </c>
      <c r="L599" s="334">
        <v>11</v>
      </c>
      <c r="M599" s="336">
        <v>11</v>
      </c>
    </row>
    <row r="600" spans="4:13">
      <c r="D600" s="226">
        <v>1426</v>
      </c>
      <c r="E600" s="224">
        <v>44216</v>
      </c>
      <c r="F600" s="207" t="s">
        <v>1530</v>
      </c>
      <c r="G600" s="207" t="s">
        <v>1494</v>
      </c>
      <c r="H600" s="207" t="s">
        <v>525</v>
      </c>
      <c r="I600" s="207">
        <v>16</v>
      </c>
      <c r="J600" s="334">
        <v>24</v>
      </c>
      <c r="K600" s="334">
        <v>384</v>
      </c>
      <c r="L600" s="334">
        <v>12</v>
      </c>
      <c r="M600" s="336">
        <v>192</v>
      </c>
    </row>
    <row r="601" spans="4:13">
      <c r="D601" s="226">
        <v>1427</v>
      </c>
      <c r="E601" s="224">
        <v>44217</v>
      </c>
      <c r="F601" s="207" t="s">
        <v>1533</v>
      </c>
      <c r="G601" s="207" t="s">
        <v>1497</v>
      </c>
      <c r="H601" s="207" t="s">
        <v>525</v>
      </c>
      <c r="I601" s="207">
        <v>6</v>
      </c>
      <c r="J601" s="334">
        <v>18</v>
      </c>
      <c r="K601" s="334">
        <v>108</v>
      </c>
      <c r="L601" s="334">
        <v>9</v>
      </c>
      <c r="M601" s="336">
        <v>54</v>
      </c>
    </row>
    <row r="602" spans="4:13">
      <c r="D602" s="226">
        <v>1428</v>
      </c>
      <c r="E602" s="224">
        <v>44217</v>
      </c>
      <c r="F602" s="207" t="s">
        <v>1530</v>
      </c>
      <c r="G602" s="207" t="s">
        <v>1497</v>
      </c>
      <c r="H602" s="207" t="s">
        <v>534</v>
      </c>
      <c r="I602" s="207">
        <v>6</v>
      </c>
      <c r="J602" s="334">
        <v>5</v>
      </c>
      <c r="K602" s="334">
        <v>30</v>
      </c>
      <c r="L602" s="334">
        <v>2.5</v>
      </c>
      <c r="M602" s="336">
        <v>15</v>
      </c>
    </row>
    <row r="603" spans="4:13">
      <c r="D603" s="226">
        <v>1429</v>
      </c>
      <c r="E603" s="224">
        <v>44219</v>
      </c>
      <c r="F603" s="207" t="s">
        <v>1530</v>
      </c>
      <c r="G603" s="207" t="s">
        <v>1502</v>
      </c>
      <c r="H603" s="207" t="s">
        <v>534</v>
      </c>
      <c r="I603" s="207">
        <v>9</v>
      </c>
      <c r="J603" s="334">
        <v>5</v>
      </c>
      <c r="K603" s="334">
        <v>45</v>
      </c>
      <c r="L603" s="334">
        <v>2.5</v>
      </c>
      <c r="M603" s="336">
        <v>22.5</v>
      </c>
    </row>
    <row r="604" spans="4:13">
      <c r="D604" s="226">
        <v>1430</v>
      </c>
      <c r="E604" s="224">
        <v>44220</v>
      </c>
      <c r="F604" s="207" t="s">
        <v>1533</v>
      </c>
      <c r="G604" s="207" t="s">
        <v>1499</v>
      </c>
      <c r="H604" s="207" t="s">
        <v>520</v>
      </c>
      <c r="I604" s="207">
        <v>2</v>
      </c>
      <c r="J604" s="334">
        <v>186</v>
      </c>
      <c r="K604" s="334">
        <v>372</v>
      </c>
      <c r="L604" s="334">
        <v>93</v>
      </c>
      <c r="M604" s="336">
        <v>186</v>
      </c>
    </row>
    <row r="605" spans="4:13">
      <c r="D605" s="226">
        <v>1431</v>
      </c>
      <c r="E605" s="224">
        <v>44221</v>
      </c>
      <c r="F605" s="207" t="s">
        <v>1534</v>
      </c>
      <c r="G605" s="207" t="s">
        <v>1502</v>
      </c>
      <c r="H605" s="207" t="s">
        <v>518</v>
      </c>
      <c r="I605" s="207">
        <v>4</v>
      </c>
      <c r="J605" s="334">
        <v>14</v>
      </c>
      <c r="K605" s="334">
        <v>56</v>
      </c>
      <c r="L605" s="334">
        <v>7</v>
      </c>
      <c r="M605" s="336">
        <v>28</v>
      </c>
    </row>
    <row r="606" spans="4:13">
      <c r="D606" s="226">
        <v>1432</v>
      </c>
      <c r="E606" s="224">
        <v>44221</v>
      </c>
      <c r="F606" s="207" t="s">
        <v>1532</v>
      </c>
      <c r="G606" s="207" t="s">
        <v>1497</v>
      </c>
      <c r="H606" s="207" t="s">
        <v>520</v>
      </c>
      <c r="I606" s="207">
        <v>2</v>
      </c>
      <c r="J606" s="334">
        <v>270</v>
      </c>
      <c r="K606" s="334">
        <v>540</v>
      </c>
      <c r="L606" s="334">
        <v>135</v>
      </c>
      <c r="M606" s="336">
        <v>270</v>
      </c>
    </row>
    <row r="607" spans="4:13">
      <c r="D607" s="226">
        <v>1433</v>
      </c>
      <c r="E607" s="224">
        <v>44221</v>
      </c>
      <c r="F607" s="207" t="s">
        <v>1531</v>
      </c>
      <c r="G607" s="207" t="s">
        <v>1499</v>
      </c>
      <c r="H607" s="207" t="s">
        <v>520</v>
      </c>
      <c r="I607" s="207">
        <v>2</v>
      </c>
      <c r="J607" s="334">
        <v>154</v>
      </c>
      <c r="K607" s="334">
        <v>308</v>
      </c>
      <c r="L607" s="334">
        <v>77</v>
      </c>
      <c r="M607" s="336">
        <v>154</v>
      </c>
    </row>
    <row r="608" spans="4:13">
      <c r="D608" s="226">
        <v>1434</v>
      </c>
      <c r="E608" s="224">
        <v>44221</v>
      </c>
      <c r="F608" s="207" t="s">
        <v>1534</v>
      </c>
      <c r="G608" s="207" t="s">
        <v>1502</v>
      </c>
      <c r="H608" s="207" t="s">
        <v>520</v>
      </c>
      <c r="I608" s="207">
        <v>2</v>
      </c>
      <c r="J608" s="334">
        <v>100</v>
      </c>
      <c r="K608" s="334">
        <v>200</v>
      </c>
      <c r="L608" s="334">
        <v>50</v>
      </c>
      <c r="M608" s="336">
        <v>100</v>
      </c>
    </row>
    <row r="609" spans="4:13">
      <c r="D609" s="226">
        <v>1435</v>
      </c>
      <c r="E609" s="224">
        <v>44223</v>
      </c>
      <c r="F609" s="207" t="s">
        <v>1532</v>
      </c>
      <c r="G609" s="207" t="s">
        <v>1494</v>
      </c>
      <c r="H609" s="207" t="s">
        <v>534</v>
      </c>
      <c r="I609" s="207">
        <v>4</v>
      </c>
      <c r="J609" s="334">
        <v>8</v>
      </c>
      <c r="K609" s="334">
        <v>32</v>
      </c>
      <c r="L609" s="334">
        <v>4</v>
      </c>
      <c r="M609" s="336">
        <v>16</v>
      </c>
    </row>
    <row r="610" spans="4:13">
      <c r="D610" s="226">
        <v>1436</v>
      </c>
      <c r="E610" s="224">
        <v>44223</v>
      </c>
      <c r="F610" s="207" t="s">
        <v>1532</v>
      </c>
      <c r="G610" s="207" t="s">
        <v>1502</v>
      </c>
      <c r="H610" s="207" t="s">
        <v>534</v>
      </c>
      <c r="I610" s="207">
        <v>4</v>
      </c>
      <c r="J610" s="334">
        <v>9</v>
      </c>
      <c r="K610" s="334">
        <v>36</v>
      </c>
      <c r="L610" s="334">
        <v>4.5</v>
      </c>
      <c r="M610" s="336">
        <v>18</v>
      </c>
    </row>
    <row r="611" spans="4:13">
      <c r="D611" s="226">
        <v>1437</v>
      </c>
      <c r="E611" s="224">
        <v>44223</v>
      </c>
      <c r="F611" s="207" t="s">
        <v>1532</v>
      </c>
      <c r="G611" s="207" t="s">
        <v>1499</v>
      </c>
      <c r="H611" s="207" t="s">
        <v>518</v>
      </c>
      <c r="I611" s="207">
        <v>8</v>
      </c>
      <c r="J611" s="334">
        <v>58</v>
      </c>
      <c r="K611" s="334">
        <v>464</v>
      </c>
      <c r="L611" s="334">
        <v>29</v>
      </c>
      <c r="M611" s="336">
        <v>232</v>
      </c>
    </row>
    <row r="612" spans="4:13">
      <c r="D612" s="226">
        <v>1438</v>
      </c>
      <c r="E612" s="224">
        <v>44225</v>
      </c>
      <c r="F612" s="207" t="s">
        <v>1532</v>
      </c>
      <c r="G612" s="207" t="s">
        <v>1503</v>
      </c>
      <c r="H612" s="207" t="s">
        <v>525</v>
      </c>
      <c r="I612" s="207">
        <v>3</v>
      </c>
      <c r="J612" s="334">
        <v>48</v>
      </c>
      <c r="K612" s="334">
        <v>144</v>
      </c>
      <c r="L612" s="334">
        <v>24</v>
      </c>
      <c r="M612" s="336">
        <v>72</v>
      </c>
    </row>
    <row r="613" spans="4:13">
      <c r="D613" s="226">
        <v>1439</v>
      </c>
      <c r="E613" s="224">
        <v>44226</v>
      </c>
      <c r="F613" s="207" t="s">
        <v>1534</v>
      </c>
      <c r="G613" s="207" t="s">
        <v>1499</v>
      </c>
      <c r="H613" s="207" t="s">
        <v>530</v>
      </c>
      <c r="I613" s="207">
        <v>5</v>
      </c>
      <c r="J613" s="334">
        <v>49</v>
      </c>
      <c r="K613" s="334">
        <v>245</v>
      </c>
      <c r="L613" s="334">
        <v>24.5</v>
      </c>
      <c r="M613" s="336">
        <v>122.5</v>
      </c>
    </row>
    <row r="614" spans="4:13">
      <c r="D614" s="226">
        <v>1440</v>
      </c>
      <c r="E614" s="224">
        <v>44226</v>
      </c>
      <c r="F614" s="207" t="s">
        <v>1530</v>
      </c>
      <c r="G614" s="207" t="s">
        <v>1497</v>
      </c>
      <c r="H614" s="207" t="s">
        <v>525</v>
      </c>
      <c r="I614" s="207">
        <v>13</v>
      </c>
      <c r="J614" s="334">
        <v>6</v>
      </c>
      <c r="K614" s="334">
        <v>78</v>
      </c>
      <c r="L614" s="334">
        <v>3</v>
      </c>
      <c r="M614" s="336">
        <v>39</v>
      </c>
    </row>
    <row r="615" spans="4:13">
      <c r="D615" s="226">
        <v>1441</v>
      </c>
      <c r="E615" s="224">
        <v>44228</v>
      </c>
      <c r="F615" s="207" t="s">
        <v>1534</v>
      </c>
      <c r="G615" s="207" t="s">
        <v>1499</v>
      </c>
      <c r="H615" s="207" t="s">
        <v>518</v>
      </c>
      <c r="I615" s="207">
        <v>10</v>
      </c>
      <c r="J615" s="334">
        <v>63</v>
      </c>
      <c r="K615" s="334">
        <v>630</v>
      </c>
      <c r="L615" s="334">
        <v>31.5</v>
      </c>
      <c r="M615" s="336">
        <v>315</v>
      </c>
    </row>
    <row r="616" spans="4:13">
      <c r="D616" s="226">
        <v>1442</v>
      </c>
      <c r="E616" s="224">
        <v>44235</v>
      </c>
      <c r="F616" s="207" t="s">
        <v>1530</v>
      </c>
      <c r="G616" s="207" t="s">
        <v>1497</v>
      </c>
      <c r="H616" s="207" t="s">
        <v>530</v>
      </c>
      <c r="I616" s="207">
        <v>5</v>
      </c>
      <c r="J616" s="334">
        <v>36</v>
      </c>
      <c r="K616" s="334">
        <v>180</v>
      </c>
      <c r="L616" s="334">
        <v>18</v>
      </c>
      <c r="M616" s="336">
        <v>90</v>
      </c>
    </row>
    <row r="617" spans="4:13">
      <c r="D617" s="226">
        <v>1443</v>
      </c>
      <c r="E617" s="224">
        <v>44235</v>
      </c>
      <c r="F617" s="207" t="s">
        <v>1534</v>
      </c>
      <c r="G617" s="207" t="s">
        <v>1499</v>
      </c>
      <c r="H617" s="207" t="s">
        <v>520</v>
      </c>
      <c r="I617" s="207">
        <v>1</v>
      </c>
      <c r="J617" s="334">
        <v>314</v>
      </c>
      <c r="K617" s="334">
        <v>314</v>
      </c>
      <c r="L617" s="334">
        <v>157</v>
      </c>
      <c r="M617" s="336">
        <v>157</v>
      </c>
    </row>
    <row r="618" spans="4:13">
      <c r="D618" s="226">
        <v>1444</v>
      </c>
      <c r="E618" s="224">
        <v>44235</v>
      </c>
      <c r="F618" s="207" t="s">
        <v>1532</v>
      </c>
      <c r="G618" s="207" t="s">
        <v>1494</v>
      </c>
      <c r="H618" s="207" t="s">
        <v>534</v>
      </c>
      <c r="I618" s="207">
        <v>6</v>
      </c>
      <c r="J618" s="334">
        <v>8</v>
      </c>
      <c r="K618" s="334">
        <v>48</v>
      </c>
      <c r="L618" s="334">
        <v>4</v>
      </c>
      <c r="M618" s="336">
        <v>24</v>
      </c>
    </row>
    <row r="619" spans="4:13">
      <c r="D619" s="226">
        <v>1445</v>
      </c>
      <c r="E619" s="224">
        <v>44236</v>
      </c>
      <c r="F619" s="207" t="s">
        <v>1531</v>
      </c>
      <c r="G619" s="207" t="s">
        <v>1499</v>
      </c>
      <c r="H619" s="207" t="s">
        <v>518</v>
      </c>
      <c r="I619" s="207">
        <v>3</v>
      </c>
      <c r="J619" s="334">
        <v>63</v>
      </c>
      <c r="K619" s="334">
        <v>189</v>
      </c>
      <c r="L619" s="334">
        <v>31.5</v>
      </c>
      <c r="M619" s="336">
        <v>94.5</v>
      </c>
    </row>
    <row r="620" spans="4:13">
      <c r="D620" s="226">
        <v>1446</v>
      </c>
      <c r="E620" s="224">
        <v>44239</v>
      </c>
      <c r="F620" s="207" t="s">
        <v>1531</v>
      </c>
      <c r="G620" s="207" t="s">
        <v>1499</v>
      </c>
      <c r="H620" s="207" t="s">
        <v>518</v>
      </c>
      <c r="I620" s="207">
        <v>3</v>
      </c>
      <c r="J620" s="334">
        <v>81</v>
      </c>
      <c r="K620" s="334">
        <v>243</v>
      </c>
      <c r="L620" s="334">
        <v>40.5</v>
      </c>
      <c r="M620" s="336">
        <v>121.5</v>
      </c>
    </row>
    <row r="621" spans="4:13">
      <c r="D621" s="226">
        <v>1447</v>
      </c>
      <c r="E621" s="224">
        <v>44242</v>
      </c>
      <c r="F621" s="207" t="s">
        <v>1534</v>
      </c>
      <c r="G621" s="207" t="s">
        <v>1497</v>
      </c>
      <c r="H621" s="207" t="s">
        <v>520</v>
      </c>
      <c r="I621" s="207">
        <v>1</v>
      </c>
      <c r="J621" s="334">
        <v>268</v>
      </c>
      <c r="K621" s="334">
        <v>268</v>
      </c>
      <c r="L621" s="334">
        <v>134</v>
      </c>
      <c r="M621" s="336">
        <v>134</v>
      </c>
    </row>
    <row r="622" spans="4:13">
      <c r="D622" s="226">
        <v>1448</v>
      </c>
      <c r="E622" s="224">
        <v>44243</v>
      </c>
      <c r="F622" s="207" t="s">
        <v>1534</v>
      </c>
      <c r="G622" s="207" t="s">
        <v>1494</v>
      </c>
      <c r="H622" s="207" t="s">
        <v>518</v>
      </c>
      <c r="I622" s="207">
        <v>10</v>
      </c>
      <c r="J622" s="334">
        <v>174</v>
      </c>
      <c r="K622" s="334">
        <v>1740</v>
      </c>
      <c r="L622" s="334">
        <v>87</v>
      </c>
      <c r="M622" s="336">
        <v>870</v>
      </c>
    </row>
    <row r="623" spans="4:13">
      <c r="D623" s="226">
        <v>1449</v>
      </c>
      <c r="E623" s="224">
        <v>44243</v>
      </c>
      <c r="F623" s="207" t="s">
        <v>1534</v>
      </c>
      <c r="G623" s="207" t="s">
        <v>1497</v>
      </c>
      <c r="H623" s="207" t="s">
        <v>520</v>
      </c>
      <c r="I623" s="207">
        <v>2</v>
      </c>
      <c r="J623" s="334">
        <v>144.66999999999999</v>
      </c>
      <c r="K623" s="334">
        <v>289.33</v>
      </c>
      <c r="L623" s="334">
        <v>72.33</v>
      </c>
      <c r="M623" s="336">
        <v>144.66999999999999</v>
      </c>
    </row>
    <row r="624" spans="4:13">
      <c r="D624" s="226">
        <v>1450</v>
      </c>
      <c r="E624" s="224">
        <v>44245</v>
      </c>
      <c r="F624" s="207" t="s">
        <v>1530</v>
      </c>
      <c r="G624" s="207" t="s">
        <v>1499</v>
      </c>
      <c r="H624" s="207" t="s">
        <v>520</v>
      </c>
      <c r="I624" s="207">
        <v>2</v>
      </c>
      <c r="J624" s="334">
        <v>256.67</v>
      </c>
      <c r="K624" s="334">
        <v>513.33000000000004</v>
      </c>
      <c r="L624" s="334">
        <v>128.33000000000001</v>
      </c>
      <c r="M624" s="336">
        <v>256.67</v>
      </c>
    </row>
    <row r="625" spans="4:13">
      <c r="D625" s="226">
        <v>1451</v>
      </c>
      <c r="E625" s="224">
        <v>44246</v>
      </c>
      <c r="F625" s="207" t="s">
        <v>1531</v>
      </c>
      <c r="G625" s="207" t="s">
        <v>1499</v>
      </c>
      <c r="H625" s="207" t="s">
        <v>534</v>
      </c>
      <c r="I625" s="207">
        <v>7</v>
      </c>
      <c r="J625" s="334">
        <v>8</v>
      </c>
      <c r="K625" s="334">
        <v>56</v>
      </c>
      <c r="L625" s="334">
        <v>4</v>
      </c>
      <c r="M625" s="336">
        <v>28</v>
      </c>
    </row>
    <row r="626" spans="4:13">
      <c r="D626" s="226">
        <v>1452</v>
      </c>
      <c r="E626" s="224">
        <v>44246</v>
      </c>
      <c r="F626" s="207" t="s">
        <v>1531</v>
      </c>
      <c r="G626" s="207" t="s">
        <v>1502</v>
      </c>
      <c r="H626" s="207" t="s">
        <v>525</v>
      </c>
      <c r="I626" s="207">
        <v>17</v>
      </c>
      <c r="J626" s="334">
        <v>9</v>
      </c>
      <c r="K626" s="334">
        <v>153</v>
      </c>
      <c r="L626" s="334">
        <v>4.5</v>
      </c>
      <c r="M626" s="336">
        <v>76.5</v>
      </c>
    </row>
    <row r="627" spans="4:13">
      <c r="D627" s="226">
        <v>1453</v>
      </c>
      <c r="E627" s="224">
        <v>44247</v>
      </c>
      <c r="F627" s="207" t="s">
        <v>1532</v>
      </c>
      <c r="G627" s="207" t="s">
        <v>1502</v>
      </c>
      <c r="H627" s="207" t="s">
        <v>534</v>
      </c>
      <c r="I627" s="207">
        <v>1</v>
      </c>
      <c r="J627" s="334">
        <v>9</v>
      </c>
      <c r="K627" s="334">
        <v>9</v>
      </c>
      <c r="L627" s="334">
        <v>4.5</v>
      </c>
      <c r="M627" s="336">
        <v>4.5</v>
      </c>
    </row>
    <row r="628" spans="4:13">
      <c r="D628" s="226">
        <v>1454</v>
      </c>
      <c r="E628" s="224">
        <v>44248</v>
      </c>
      <c r="F628" s="207" t="s">
        <v>1532</v>
      </c>
      <c r="G628" s="207" t="s">
        <v>1497</v>
      </c>
      <c r="H628" s="207" t="s">
        <v>520</v>
      </c>
      <c r="I628" s="207">
        <v>1</v>
      </c>
      <c r="J628" s="334">
        <v>536</v>
      </c>
      <c r="K628" s="334">
        <v>536</v>
      </c>
      <c r="L628" s="334">
        <v>268</v>
      </c>
      <c r="M628" s="336">
        <v>268</v>
      </c>
    </row>
    <row r="629" spans="4:13">
      <c r="D629" s="226">
        <v>1455</v>
      </c>
      <c r="E629" s="224">
        <v>44248</v>
      </c>
      <c r="F629" s="207" t="s">
        <v>1534</v>
      </c>
      <c r="G629" s="207" t="s">
        <v>1499</v>
      </c>
      <c r="H629" s="207" t="s">
        <v>525</v>
      </c>
      <c r="I629" s="207">
        <v>10</v>
      </c>
      <c r="J629" s="334">
        <v>12</v>
      </c>
      <c r="K629" s="334">
        <v>120</v>
      </c>
      <c r="L629" s="334">
        <v>6</v>
      </c>
      <c r="M629" s="336">
        <v>60</v>
      </c>
    </row>
    <row r="630" spans="4:13">
      <c r="D630" s="226">
        <v>1456</v>
      </c>
      <c r="E630" s="224">
        <v>44248</v>
      </c>
      <c r="F630" s="207" t="s">
        <v>1530</v>
      </c>
      <c r="G630" s="207" t="s">
        <v>1499</v>
      </c>
      <c r="H630" s="207" t="s">
        <v>520</v>
      </c>
      <c r="I630" s="207">
        <v>1</v>
      </c>
      <c r="J630" s="334">
        <v>283.33</v>
      </c>
      <c r="K630" s="334">
        <v>283.33</v>
      </c>
      <c r="L630" s="334">
        <v>141.66999999999999</v>
      </c>
      <c r="M630" s="336">
        <v>141.66999999999999</v>
      </c>
    </row>
    <row r="631" spans="4:13">
      <c r="D631" s="226">
        <v>1457</v>
      </c>
      <c r="E631" s="224">
        <v>44248</v>
      </c>
      <c r="F631" s="207" t="s">
        <v>1533</v>
      </c>
      <c r="G631" s="207" t="s">
        <v>1503</v>
      </c>
      <c r="H631" s="207" t="s">
        <v>518</v>
      </c>
      <c r="I631" s="207">
        <v>5</v>
      </c>
      <c r="J631" s="334">
        <v>113</v>
      </c>
      <c r="K631" s="334">
        <v>565</v>
      </c>
      <c r="L631" s="334">
        <v>56.5</v>
      </c>
      <c r="M631" s="336">
        <v>282.5</v>
      </c>
    </row>
    <row r="632" spans="4:13">
      <c r="D632" s="226">
        <v>1458</v>
      </c>
      <c r="E632" s="224">
        <v>44249</v>
      </c>
      <c r="F632" s="207" t="s">
        <v>1533</v>
      </c>
      <c r="G632" s="207" t="s">
        <v>1499</v>
      </c>
      <c r="H632" s="207" t="s">
        <v>525</v>
      </c>
      <c r="I632" s="207">
        <v>19</v>
      </c>
      <c r="J632" s="334">
        <v>5</v>
      </c>
      <c r="K632" s="334">
        <v>95</v>
      </c>
      <c r="L632" s="334">
        <v>2.5</v>
      </c>
      <c r="M632" s="336">
        <v>47.5</v>
      </c>
    </row>
    <row r="633" spans="4:13">
      <c r="D633" s="226">
        <v>1459</v>
      </c>
      <c r="E633" s="224">
        <v>44249</v>
      </c>
      <c r="F633" s="207" t="s">
        <v>1530</v>
      </c>
      <c r="G633" s="207" t="s">
        <v>1503</v>
      </c>
      <c r="H633" s="207" t="s">
        <v>525</v>
      </c>
      <c r="I633" s="207">
        <v>5</v>
      </c>
      <c r="J633" s="334">
        <v>34</v>
      </c>
      <c r="K633" s="334">
        <v>170</v>
      </c>
      <c r="L633" s="334">
        <v>17</v>
      </c>
      <c r="M633" s="336">
        <v>85</v>
      </c>
    </row>
    <row r="634" spans="4:13">
      <c r="D634" s="226">
        <v>1460</v>
      </c>
      <c r="E634" s="224">
        <v>44249</v>
      </c>
      <c r="F634" s="207" t="s">
        <v>1532</v>
      </c>
      <c r="G634" s="207" t="s">
        <v>1503</v>
      </c>
      <c r="H634" s="207" t="s">
        <v>530</v>
      </c>
      <c r="I634" s="207">
        <v>1</v>
      </c>
      <c r="J634" s="334">
        <v>47</v>
      </c>
      <c r="K634" s="334">
        <v>47</v>
      </c>
      <c r="L634" s="334">
        <v>23.5</v>
      </c>
      <c r="M634" s="336">
        <v>23.5</v>
      </c>
    </row>
    <row r="635" spans="4:13">
      <c r="D635" s="226">
        <v>1461</v>
      </c>
      <c r="E635" s="224">
        <v>44250</v>
      </c>
      <c r="F635" s="207" t="s">
        <v>1534</v>
      </c>
      <c r="G635" s="207" t="s">
        <v>1503</v>
      </c>
      <c r="H635" s="207" t="s">
        <v>534</v>
      </c>
      <c r="I635" s="207">
        <v>2</v>
      </c>
      <c r="J635" s="334">
        <v>7</v>
      </c>
      <c r="K635" s="334">
        <v>14</v>
      </c>
      <c r="L635" s="334">
        <v>3.5</v>
      </c>
      <c r="M635" s="336">
        <v>7</v>
      </c>
    </row>
    <row r="636" spans="4:13">
      <c r="D636" s="226">
        <v>1462</v>
      </c>
      <c r="E636" s="224">
        <v>44251</v>
      </c>
      <c r="F636" s="207" t="s">
        <v>1534</v>
      </c>
      <c r="G636" s="207" t="s">
        <v>1494</v>
      </c>
      <c r="H636" s="207" t="s">
        <v>520</v>
      </c>
      <c r="I636" s="207">
        <v>2</v>
      </c>
      <c r="J636" s="334">
        <v>557.33000000000004</v>
      </c>
      <c r="K636" s="334">
        <v>1114.67</v>
      </c>
      <c r="L636" s="334">
        <v>278.67</v>
      </c>
      <c r="M636" s="336">
        <v>557.33000000000004</v>
      </c>
    </row>
    <row r="637" spans="4:13">
      <c r="D637" s="226">
        <v>1463</v>
      </c>
      <c r="E637" s="224">
        <v>44251</v>
      </c>
      <c r="F637" s="207" t="s">
        <v>1532</v>
      </c>
      <c r="G637" s="207" t="s">
        <v>1494</v>
      </c>
      <c r="H637" s="207" t="s">
        <v>534</v>
      </c>
      <c r="I637" s="207">
        <v>3</v>
      </c>
      <c r="J637" s="334">
        <v>7</v>
      </c>
      <c r="K637" s="334">
        <v>21</v>
      </c>
      <c r="L637" s="334">
        <v>3.5</v>
      </c>
      <c r="M637" s="336">
        <v>10.5</v>
      </c>
    </row>
    <row r="638" spans="4:13">
      <c r="D638" s="226">
        <v>1464</v>
      </c>
      <c r="E638" s="224">
        <v>44252</v>
      </c>
      <c r="F638" s="207" t="s">
        <v>1531</v>
      </c>
      <c r="G638" s="207" t="s">
        <v>1497</v>
      </c>
      <c r="H638" s="207" t="s">
        <v>525</v>
      </c>
      <c r="I638" s="207">
        <v>19</v>
      </c>
      <c r="J638" s="334">
        <v>17</v>
      </c>
      <c r="K638" s="334">
        <v>323</v>
      </c>
      <c r="L638" s="334">
        <v>8.5</v>
      </c>
      <c r="M638" s="336">
        <v>161.5</v>
      </c>
    </row>
    <row r="639" spans="4:13">
      <c r="D639" s="226">
        <v>1465</v>
      </c>
      <c r="E639" s="224">
        <v>44254</v>
      </c>
      <c r="F639" s="207" t="s">
        <v>1532</v>
      </c>
      <c r="G639" s="207" t="s">
        <v>1499</v>
      </c>
      <c r="H639" s="207" t="s">
        <v>525</v>
      </c>
      <c r="I639" s="207">
        <v>10</v>
      </c>
      <c r="J639" s="334">
        <v>9</v>
      </c>
      <c r="K639" s="334">
        <v>90</v>
      </c>
      <c r="L639" s="334">
        <v>4.5</v>
      </c>
      <c r="M639" s="336">
        <v>45</v>
      </c>
    </row>
    <row r="640" spans="4:13">
      <c r="D640" s="226">
        <v>1466</v>
      </c>
      <c r="E640" s="224">
        <v>44254</v>
      </c>
      <c r="F640" s="207" t="s">
        <v>1530</v>
      </c>
      <c r="G640" s="207" t="s">
        <v>1497</v>
      </c>
      <c r="H640" s="207" t="s">
        <v>525</v>
      </c>
      <c r="I640" s="207">
        <v>8</v>
      </c>
      <c r="J640" s="334">
        <v>20</v>
      </c>
      <c r="K640" s="334">
        <v>160</v>
      </c>
      <c r="L640" s="334">
        <v>10</v>
      </c>
      <c r="M640" s="336">
        <v>80</v>
      </c>
    </row>
    <row r="641" spans="4:13">
      <c r="D641" s="226">
        <v>1467</v>
      </c>
      <c r="E641" s="224">
        <v>44256</v>
      </c>
      <c r="F641" s="207" t="s">
        <v>1530</v>
      </c>
      <c r="G641" s="207" t="s">
        <v>1502</v>
      </c>
      <c r="H641" s="207" t="s">
        <v>518</v>
      </c>
      <c r="I641" s="207">
        <v>5</v>
      </c>
      <c r="J641" s="334">
        <v>11</v>
      </c>
      <c r="K641" s="334">
        <v>55</v>
      </c>
      <c r="L641" s="334">
        <v>5.5</v>
      </c>
      <c r="M641" s="336">
        <v>27.5</v>
      </c>
    </row>
    <row r="642" spans="4:13">
      <c r="D642" s="226">
        <v>1468</v>
      </c>
      <c r="E642" s="224">
        <v>44256</v>
      </c>
      <c r="F642" s="207" t="s">
        <v>1534</v>
      </c>
      <c r="G642" s="207" t="s">
        <v>1502</v>
      </c>
      <c r="H642" s="207" t="s">
        <v>534</v>
      </c>
      <c r="I642" s="207">
        <v>1</v>
      </c>
      <c r="J642" s="334">
        <v>9</v>
      </c>
      <c r="K642" s="334">
        <v>9</v>
      </c>
      <c r="L642" s="334">
        <v>4.5</v>
      </c>
      <c r="M642" s="336">
        <v>4.5</v>
      </c>
    </row>
    <row r="643" spans="4:13">
      <c r="D643" s="226">
        <v>1469</v>
      </c>
      <c r="E643" s="224">
        <v>44257</v>
      </c>
      <c r="F643" s="207" t="s">
        <v>1532</v>
      </c>
      <c r="G643" s="207" t="s">
        <v>1502</v>
      </c>
      <c r="H643" s="207" t="s">
        <v>520</v>
      </c>
      <c r="I643" s="207">
        <v>1</v>
      </c>
      <c r="J643" s="334">
        <v>240.67</v>
      </c>
      <c r="K643" s="334">
        <v>240.67</v>
      </c>
      <c r="L643" s="334">
        <v>120.33</v>
      </c>
      <c r="M643" s="336">
        <v>120.33</v>
      </c>
    </row>
    <row r="644" spans="4:13">
      <c r="D644" s="226">
        <v>1470</v>
      </c>
      <c r="E644" s="224">
        <v>44258</v>
      </c>
      <c r="F644" s="207" t="s">
        <v>1533</v>
      </c>
      <c r="G644" s="207" t="s">
        <v>1499</v>
      </c>
      <c r="H644" s="207" t="s">
        <v>534</v>
      </c>
      <c r="I644" s="207">
        <v>8</v>
      </c>
      <c r="J644" s="334">
        <v>7</v>
      </c>
      <c r="K644" s="334">
        <v>56</v>
      </c>
      <c r="L644" s="334">
        <v>3.5</v>
      </c>
      <c r="M644" s="336">
        <v>28</v>
      </c>
    </row>
    <row r="645" spans="4:13">
      <c r="D645" s="226">
        <v>1471</v>
      </c>
      <c r="E645" s="224">
        <v>44260</v>
      </c>
      <c r="F645" s="207" t="s">
        <v>1534</v>
      </c>
      <c r="G645" s="207" t="s">
        <v>1497</v>
      </c>
      <c r="H645" s="207" t="s">
        <v>534</v>
      </c>
      <c r="I645" s="207">
        <v>9</v>
      </c>
      <c r="J645" s="334">
        <v>6</v>
      </c>
      <c r="K645" s="334">
        <v>54</v>
      </c>
      <c r="L645" s="334">
        <v>3</v>
      </c>
      <c r="M645" s="336">
        <v>27</v>
      </c>
    </row>
    <row r="646" spans="4:13">
      <c r="D646" s="226">
        <v>1472</v>
      </c>
      <c r="E646" s="224">
        <v>44260</v>
      </c>
      <c r="F646" s="207" t="s">
        <v>1533</v>
      </c>
      <c r="G646" s="207" t="s">
        <v>1494</v>
      </c>
      <c r="H646" s="207" t="s">
        <v>518</v>
      </c>
      <c r="I646" s="207">
        <v>4</v>
      </c>
      <c r="J646" s="334">
        <v>146</v>
      </c>
      <c r="K646" s="334">
        <v>584</v>
      </c>
      <c r="L646" s="334">
        <v>73</v>
      </c>
      <c r="M646" s="336">
        <v>292</v>
      </c>
    </row>
    <row r="647" spans="4:13">
      <c r="D647" s="226">
        <v>1473</v>
      </c>
      <c r="E647" s="224">
        <v>44263</v>
      </c>
      <c r="F647" s="207" t="s">
        <v>1533</v>
      </c>
      <c r="G647" s="207" t="s">
        <v>1494</v>
      </c>
      <c r="H647" s="207" t="s">
        <v>518</v>
      </c>
      <c r="I647" s="207">
        <v>4</v>
      </c>
      <c r="J647" s="334">
        <v>116</v>
      </c>
      <c r="K647" s="334">
        <v>464</v>
      </c>
      <c r="L647" s="334">
        <v>58</v>
      </c>
      <c r="M647" s="336">
        <v>232</v>
      </c>
    </row>
    <row r="648" spans="4:13">
      <c r="D648" s="226">
        <v>1474</v>
      </c>
      <c r="E648" s="224">
        <v>44263</v>
      </c>
      <c r="F648" s="207" t="s">
        <v>1530</v>
      </c>
      <c r="G648" s="207" t="s">
        <v>1502</v>
      </c>
      <c r="H648" s="207" t="s">
        <v>520</v>
      </c>
      <c r="I648" s="207">
        <v>2</v>
      </c>
      <c r="J648" s="334">
        <v>304.67</v>
      </c>
      <c r="K648" s="334">
        <v>609.33000000000004</v>
      </c>
      <c r="L648" s="334">
        <v>152.33000000000001</v>
      </c>
      <c r="M648" s="336">
        <v>304.67</v>
      </c>
    </row>
    <row r="649" spans="4:13">
      <c r="D649" s="226">
        <v>1475</v>
      </c>
      <c r="E649" s="224">
        <v>44263</v>
      </c>
      <c r="F649" s="207" t="s">
        <v>1534</v>
      </c>
      <c r="G649" s="207" t="s">
        <v>1499</v>
      </c>
      <c r="H649" s="207" t="s">
        <v>525</v>
      </c>
      <c r="I649" s="207">
        <v>19</v>
      </c>
      <c r="J649" s="334">
        <v>8</v>
      </c>
      <c r="K649" s="334">
        <v>152</v>
      </c>
      <c r="L649" s="334">
        <v>4</v>
      </c>
      <c r="M649" s="336">
        <v>76</v>
      </c>
    </row>
    <row r="650" spans="4:13">
      <c r="D650" s="226">
        <v>1476</v>
      </c>
      <c r="E650" s="224">
        <v>44264</v>
      </c>
      <c r="F650" s="207" t="s">
        <v>1531</v>
      </c>
      <c r="G650" s="207" t="s">
        <v>1497</v>
      </c>
      <c r="H650" s="207" t="s">
        <v>534</v>
      </c>
      <c r="I650" s="207">
        <v>8</v>
      </c>
      <c r="J650" s="334">
        <v>5</v>
      </c>
      <c r="K650" s="334">
        <v>40</v>
      </c>
      <c r="L650" s="334">
        <v>2.5</v>
      </c>
      <c r="M650" s="336">
        <v>20</v>
      </c>
    </row>
    <row r="651" spans="4:13">
      <c r="D651" s="226">
        <v>1477</v>
      </c>
      <c r="E651" s="224">
        <v>44265</v>
      </c>
      <c r="F651" s="207" t="s">
        <v>1531</v>
      </c>
      <c r="G651" s="207" t="s">
        <v>1494</v>
      </c>
      <c r="H651" s="207" t="s">
        <v>534</v>
      </c>
      <c r="I651" s="207">
        <v>10</v>
      </c>
      <c r="J651" s="334">
        <v>7</v>
      </c>
      <c r="K651" s="334">
        <v>70</v>
      </c>
      <c r="L651" s="334">
        <v>3.5</v>
      </c>
      <c r="M651" s="336">
        <v>35</v>
      </c>
    </row>
    <row r="652" spans="4:13">
      <c r="D652" s="226">
        <v>1478</v>
      </c>
      <c r="E652" s="224">
        <v>44266</v>
      </c>
      <c r="F652" s="207" t="s">
        <v>1534</v>
      </c>
      <c r="G652" s="207" t="s">
        <v>1502</v>
      </c>
      <c r="H652" s="207" t="s">
        <v>530</v>
      </c>
      <c r="I652" s="207">
        <v>9</v>
      </c>
      <c r="J652" s="334">
        <v>42</v>
      </c>
      <c r="K652" s="334">
        <v>378</v>
      </c>
      <c r="L652" s="334">
        <v>21</v>
      </c>
      <c r="M652" s="336">
        <v>189</v>
      </c>
    </row>
    <row r="653" spans="4:13">
      <c r="D653" s="226">
        <v>1479</v>
      </c>
      <c r="E653" s="224">
        <v>44267</v>
      </c>
      <c r="F653" s="207" t="s">
        <v>1530</v>
      </c>
      <c r="G653" s="207" t="s">
        <v>1499</v>
      </c>
      <c r="H653" s="207" t="s">
        <v>534</v>
      </c>
      <c r="I653" s="207">
        <v>4</v>
      </c>
      <c r="J653" s="334">
        <v>9</v>
      </c>
      <c r="K653" s="334">
        <v>36</v>
      </c>
      <c r="L653" s="334">
        <v>4.5</v>
      </c>
      <c r="M653" s="336">
        <v>18</v>
      </c>
    </row>
    <row r="654" spans="4:13">
      <c r="D654" s="226">
        <v>1480</v>
      </c>
      <c r="E654" s="224">
        <v>44268</v>
      </c>
      <c r="F654" s="207" t="s">
        <v>1534</v>
      </c>
      <c r="G654" s="207" t="s">
        <v>1499</v>
      </c>
      <c r="H654" s="207" t="s">
        <v>525</v>
      </c>
      <c r="I654" s="207">
        <v>15</v>
      </c>
      <c r="J654" s="334">
        <v>7</v>
      </c>
      <c r="K654" s="334">
        <v>105</v>
      </c>
      <c r="L654" s="334">
        <v>3.5</v>
      </c>
      <c r="M654" s="336">
        <v>52.5</v>
      </c>
    </row>
    <row r="655" spans="4:13">
      <c r="D655" s="226">
        <v>1481</v>
      </c>
      <c r="E655" s="224">
        <v>44271</v>
      </c>
      <c r="F655" s="207" t="s">
        <v>1530</v>
      </c>
      <c r="G655" s="207" t="s">
        <v>1494</v>
      </c>
      <c r="H655" s="207" t="s">
        <v>518</v>
      </c>
      <c r="I655" s="207">
        <v>6</v>
      </c>
      <c r="J655" s="334">
        <v>170</v>
      </c>
      <c r="K655" s="334">
        <v>1020</v>
      </c>
      <c r="L655" s="334">
        <v>85</v>
      </c>
      <c r="M655" s="336">
        <v>510</v>
      </c>
    </row>
    <row r="656" spans="4:13">
      <c r="D656" s="226">
        <v>1482</v>
      </c>
      <c r="E656" s="224">
        <v>44273</v>
      </c>
      <c r="F656" s="207" t="s">
        <v>1533</v>
      </c>
      <c r="G656" s="207" t="s">
        <v>1499</v>
      </c>
      <c r="H656" s="207" t="s">
        <v>520</v>
      </c>
      <c r="I656" s="207">
        <v>2</v>
      </c>
      <c r="J656" s="334">
        <v>304</v>
      </c>
      <c r="K656" s="334">
        <v>608</v>
      </c>
      <c r="L656" s="334">
        <v>152</v>
      </c>
      <c r="M656" s="336">
        <v>304</v>
      </c>
    </row>
    <row r="657" spans="4:13">
      <c r="D657" s="226">
        <v>1483</v>
      </c>
      <c r="E657" s="224">
        <v>44273</v>
      </c>
      <c r="F657" s="207" t="s">
        <v>1534</v>
      </c>
      <c r="G657" s="207" t="s">
        <v>1503</v>
      </c>
      <c r="H657" s="207" t="s">
        <v>520</v>
      </c>
      <c r="I657" s="207">
        <v>2</v>
      </c>
      <c r="J657" s="334">
        <v>366.67</v>
      </c>
      <c r="K657" s="334">
        <v>733.33</v>
      </c>
      <c r="L657" s="334">
        <v>183.33</v>
      </c>
      <c r="M657" s="336">
        <v>366.67</v>
      </c>
    </row>
    <row r="658" spans="4:13">
      <c r="D658" s="226">
        <v>1484</v>
      </c>
      <c r="E658" s="224">
        <v>44274</v>
      </c>
      <c r="F658" s="207" t="s">
        <v>1531</v>
      </c>
      <c r="G658" s="207" t="s">
        <v>1503</v>
      </c>
      <c r="H658" s="207" t="s">
        <v>525</v>
      </c>
      <c r="I658" s="207">
        <v>14</v>
      </c>
      <c r="J658" s="334">
        <v>32</v>
      </c>
      <c r="K658" s="334">
        <v>448</v>
      </c>
      <c r="L658" s="334">
        <v>16</v>
      </c>
      <c r="M658" s="336">
        <v>224</v>
      </c>
    </row>
    <row r="659" spans="4:13">
      <c r="D659" s="226">
        <v>1485</v>
      </c>
      <c r="E659" s="224">
        <v>44275</v>
      </c>
      <c r="F659" s="207" t="s">
        <v>1532</v>
      </c>
      <c r="G659" s="207" t="s">
        <v>1494</v>
      </c>
      <c r="H659" s="207" t="s">
        <v>520</v>
      </c>
      <c r="I659" s="207">
        <v>2</v>
      </c>
      <c r="J659" s="334">
        <v>314.67</v>
      </c>
      <c r="K659" s="334">
        <v>629.33000000000004</v>
      </c>
      <c r="L659" s="334">
        <v>157.33000000000001</v>
      </c>
      <c r="M659" s="336">
        <v>314.67</v>
      </c>
    </row>
    <row r="660" spans="4:13">
      <c r="D660" s="226">
        <v>1486</v>
      </c>
      <c r="E660" s="224">
        <v>44276</v>
      </c>
      <c r="F660" s="207" t="s">
        <v>1531</v>
      </c>
      <c r="G660" s="207" t="s">
        <v>1497</v>
      </c>
      <c r="H660" s="207" t="s">
        <v>518</v>
      </c>
      <c r="I660" s="207">
        <v>3</v>
      </c>
      <c r="J660" s="334">
        <v>31</v>
      </c>
      <c r="K660" s="334">
        <v>93</v>
      </c>
      <c r="L660" s="334">
        <v>15.5</v>
      </c>
      <c r="M660" s="336">
        <v>46.5</v>
      </c>
    </row>
    <row r="661" spans="4:13">
      <c r="D661" s="226">
        <v>1487</v>
      </c>
      <c r="E661" s="224">
        <v>44277</v>
      </c>
      <c r="F661" s="207" t="s">
        <v>1531</v>
      </c>
      <c r="G661" s="207" t="s">
        <v>1499</v>
      </c>
      <c r="H661" s="207" t="s">
        <v>534</v>
      </c>
      <c r="I661" s="207">
        <v>8</v>
      </c>
      <c r="J661" s="334">
        <v>9</v>
      </c>
      <c r="K661" s="334">
        <v>72</v>
      </c>
      <c r="L661" s="334">
        <v>4.5</v>
      </c>
      <c r="M661" s="336">
        <v>36</v>
      </c>
    </row>
    <row r="662" spans="4:13">
      <c r="D662" s="226">
        <v>1488</v>
      </c>
      <c r="E662" s="224">
        <v>44278</v>
      </c>
      <c r="F662" s="207" t="s">
        <v>1531</v>
      </c>
      <c r="G662" s="207" t="s">
        <v>1503</v>
      </c>
      <c r="H662" s="207" t="s">
        <v>518</v>
      </c>
      <c r="I662" s="207">
        <v>9</v>
      </c>
      <c r="J662" s="334">
        <v>192</v>
      </c>
      <c r="K662" s="334">
        <v>1728</v>
      </c>
      <c r="L662" s="334">
        <v>96</v>
      </c>
      <c r="M662" s="336">
        <v>864</v>
      </c>
    </row>
    <row r="663" spans="4:13">
      <c r="D663" s="226">
        <v>1489</v>
      </c>
      <c r="E663" s="224">
        <v>44278</v>
      </c>
      <c r="F663" s="207" t="s">
        <v>1530</v>
      </c>
      <c r="G663" s="207" t="s">
        <v>1499</v>
      </c>
      <c r="H663" s="207" t="s">
        <v>534</v>
      </c>
      <c r="I663" s="207">
        <v>4</v>
      </c>
      <c r="J663" s="334">
        <v>10</v>
      </c>
      <c r="K663" s="334">
        <v>40</v>
      </c>
      <c r="L663" s="334">
        <v>5</v>
      </c>
      <c r="M663" s="336">
        <v>20</v>
      </c>
    </row>
    <row r="664" spans="4:13">
      <c r="D664" s="226">
        <v>1490</v>
      </c>
      <c r="E664" s="224">
        <v>44279</v>
      </c>
      <c r="F664" s="207" t="s">
        <v>1530</v>
      </c>
      <c r="G664" s="207" t="s">
        <v>1503</v>
      </c>
      <c r="H664" s="207" t="s">
        <v>525</v>
      </c>
      <c r="I664" s="207">
        <v>7</v>
      </c>
      <c r="J664" s="334">
        <v>19</v>
      </c>
      <c r="K664" s="334">
        <v>133</v>
      </c>
      <c r="L664" s="334">
        <v>9.5</v>
      </c>
      <c r="M664" s="336">
        <v>66.5</v>
      </c>
    </row>
    <row r="665" spans="4:13">
      <c r="D665" s="226">
        <v>1491</v>
      </c>
      <c r="E665" s="224">
        <v>44280</v>
      </c>
      <c r="F665" s="207" t="s">
        <v>1531</v>
      </c>
      <c r="G665" s="207" t="s">
        <v>1497</v>
      </c>
      <c r="H665" s="207" t="s">
        <v>525</v>
      </c>
      <c r="I665" s="207">
        <v>5</v>
      </c>
      <c r="J665" s="334">
        <v>23</v>
      </c>
      <c r="K665" s="334">
        <v>115</v>
      </c>
      <c r="L665" s="334">
        <v>11.5</v>
      </c>
      <c r="M665" s="336">
        <v>57.5</v>
      </c>
    </row>
    <row r="666" spans="4:13">
      <c r="D666" s="226">
        <v>1492</v>
      </c>
      <c r="E666" s="224">
        <v>44281</v>
      </c>
      <c r="F666" s="207" t="s">
        <v>1534</v>
      </c>
      <c r="G666" s="207" t="s">
        <v>1499</v>
      </c>
      <c r="H666" s="207" t="s">
        <v>525</v>
      </c>
      <c r="I666" s="207">
        <v>7</v>
      </c>
      <c r="J666" s="334">
        <v>10</v>
      </c>
      <c r="K666" s="334">
        <v>70</v>
      </c>
      <c r="L666" s="334">
        <v>5</v>
      </c>
      <c r="M666" s="336">
        <v>35</v>
      </c>
    </row>
    <row r="667" spans="4:13">
      <c r="D667" s="226">
        <v>1493</v>
      </c>
      <c r="E667" s="224">
        <v>44282</v>
      </c>
      <c r="F667" s="207" t="s">
        <v>1534</v>
      </c>
      <c r="G667" s="207" t="s">
        <v>1494</v>
      </c>
      <c r="H667" s="207" t="s">
        <v>518</v>
      </c>
      <c r="I667" s="207">
        <v>4</v>
      </c>
      <c r="J667" s="334">
        <v>180</v>
      </c>
      <c r="K667" s="334">
        <v>720</v>
      </c>
      <c r="L667" s="334">
        <v>90</v>
      </c>
      <c r="M667" s="336">
        <v>360</v>
      </c>
    </row>
    <row r="668" spans="4:13">
      <c r="D668" s="226">
        <v>1494</v>
      </c>
      <c r="E668" s="224">
        <v>44282</v>
      </c>
      <c r="F668" s="207" t="s">
        <v>1531</v>
      </c>
      <c r="G668" s="207" t="s">
        <v>1503</v>
      </c>
      <c r="H668" s="207" t="s">
        <v>518</v>
      </c>
      <c r="I668" s="207">
        <v>9</v>
      </c>
      <c r="J668" s="334">
        <v>250</v>
      </c>
      <c r="K668" s="334">
        <v>2250</v>
      </c>
      <c r="L668" s="334">
        <v>125</v>
      </c>
      <c r="M668" s="336">
        <v>1125</v>
      </c>
    </row>
    <row r="669" spans="4:13">
      <c r="D669" s="226">
        <v>1495</v>
      </c>
      <c r="E669" s="224">
        <v>44282</v>
      </c>
      <c r="F669" s="207" t="s">
        <v>1530</v>
      </c>
      <c r="G669" s="207" t="s">
        <v>1494</v>
      </c>
      <c r="H669" s="207" t="s">
        <v>520</v>
      </c>
      <c r="I669" s="207">
        <v>2</v>
      </c>
      <c r="J669" s="334">
        <v>376.67</v>
      </c>
      <c r="K669" s="334">
        <v>753.33</v>
      </c>
      <c r="L669" s="334">
        <v>188.33</v>
      </c>
      <c r="M669" s="336">
        <v>376.67</v>
      </c>
    </row>
    <row r="670" spans="4:13">
      <c r="D670" s="226">
        <v>1496</v>
      </c>
      <c r="E670" s="224">
        <v>44283</v>
      </c>
      <c r="F670" s="207" t="s">
        <v>1533</v>
      </c>
      <c r="G670" s="207" t="s">
        <v>1494</v>
      </c>
      <c r="H670" s="207" t="s">
        <v>525</v>
      </c>
      <c r="I670" s="207">
        <v>16</v>
      </c>
      <c r="J670" s="334">
        <v>36</v>
      </c>
      <c r="K670" s="334">
        <v>576</v>
      </c>
      <c r="L670" s="334">
        <v>18</v>
      </c>
      <c r="M670" s="336">
        <v>288</v>
      </c>
    </row>
    <row r="671" spans="4:13">
      <c r="D671" s="226">
        <v>1497</v>
      </c>
      <c r="E671" s="224">
        <v>44284</v>
      </c>
      <c r="F671" s="207" t="s">
        <v>1534</v>
      </c>
      <c r="G671" s="207" t="s">
        <v>1494</v>
      </c>
      <c r="H671" s="207" t="s">
        <v>518</v>
      </c>
      <c r="I671" s="207">
        <v>6</v>
      </c>
      <c r="J671" s="334">
        <v>134</v>
      </c>
      <c r="K671" s="334">
        <v>804</v>
      </c>
      <c r="L671" s="334">
        <v>67</v>
      </c>
      <c r="M671" s="336">
        <v>402</v>
      </c>
    </row>
    <row r="672" spans="4:13">
      <c r="D672" s="226">
        <v>1498</v>
      </c>
      <c r="E672" s="224">
        <v>44285</v>
      </c>
      <c r="F672" s="207" t="s">
        <v>1532</v>
      </c>
      <c r="G672" s="207" t="s">
        <v>1499</v>
      </c>
      <c r="H672" s="207" t="s">
        <v>530</v>
      </c>
      <c r="I672" s="207">
        <v>9</v>
      </c>
      <c r="J672" s="334">
        <v>27</v>
      </c>
      <c r="K672" s="334">
        <v>243</v>
      </c>
      <c r="L672" s="334">
        <v>13.5</v>
      </c>
      <c r="M672" s="336">
        <v>121.5</v>
      </c>
    </row>
    <row r="673" spans="4:13">
      <c r="D673" s="226">
        <v>1499</v>
      </c>
      <c r="E673" s="224">
        <v>44287</v>
      </c>
      <c r="F673" s="207" t="s">
        <v>1530</v>
      </c>
      <c r="G673" s="207" t="s">
        <v>1499</v>
      </c>
      <c r="H673" s="207" t="s">
        <v>520</v>
      </c>
      <c r="I673" s="207">
        <v>2</v>
      </c>
      <c r="J673" s="334">
        <v>278</v>
      </c>
      <c r="K673" s="334">
        <v>556</v>
      </c>
      <c r="L673" s="334">
        <v>139</v>
      </c>
      <c r="M673" s="336">
        <v>278</v>
      </c>
    </row>
    <row r="674" spans="4:13">
      <c r="D674" s="226">
        <v>1500</v>
      </c>
      <c r="E674" s="224">
        <v>44290</v>
      </c>
      <c r="F674" s="207" t="s">
        <v>1531</v>
      </c>
      <c r="G674" s="207" t="s">
        <v>1502</v>
      </c>
      <c r="H674" s="207" t="s">
        <v>534</v>
      </c>
      <c r="I674" s="207">
        <v>10</v>
      </c>
      <c r="J674" s="334">
        <v>6</v>
      </c>
      <c r="K674" s="334">
        <v>60</v>
      </c>
      <c r="L674" s="334">
        <v>3</v>
      </c>
      <c r="M674" s="336">
        <v>30</v>
      </c>
    </row>
    <row r="675" spans="4:13">
      <c r="D675" s="226">
        <v>1501</v>
      </c>
      <c r="E675" s="224">
        <v>44290</v>
      </c>
      <c r="F675" s="207" t="s">
        <v>1534</v>
      </c>
      <c r="G675" s="207" t="s">
        <v>1494</v>
      </c>
      <c r="H675" s="207" t="s">
        <v>534</v>
      </c>
      <c r="I675" s="207">
        <v>7</v>
      </c>
      <c r="J675" s="334">
        <v>8</v>
      </c>
      <c r="K675" s="334">
        <v>56</v>
      </c>
      <c r="L675" s="334">
        <v>4</v>
      </c>
      <c r="M675" s="336">
        <v>28</v>
      </c>
    </row>
    <row r="676" spans="4:13">
      <c r="D676" s="226">
        <v>1502</v>
      </c>
      <c r="E676" s="224">
        <v>44291</v>
      </c>
      <c r="F676" s="207" t="s">
        <v>1534</v>
      </c>
      <c r="G676" s="207" t="s">
        <v>1497</v>
      </c>
      <c r="H676" s="207" t="s">
        <v>534</v>
      </c>
      <c r="I676" s="207">
        <v>8</v>
      </c>
      <c r="J676" s="334">
        <v>9</v>
      </c>
      <c r="K676" s="334">
        <v>72</v>
      </c>
      <c r="L676" s="334">
        <v>4.5</v>
      </c>
      <c r="M676" s="336">
        <v>36</v>
      </c>
    </row>
    <row r="677" spans="4:13">
      <c r="D677" s="226">
        <v>1503</v>
      </c>
      <c r="E677" s="224">
        <v>44293</v>
      </c>
      <c r="F677" s="207" t="s">
        <v>1532</v>
      </c>
      <c r="G677" s="207" t="s">
        <v>1494</v>
      </c>
      <c r="H677" s="207" t="s">
        <v>530</v>
      </c>
      <c r="I677" s="207">
        <v>2</v>
      </c>
      <c r="J677" s="334">
        <v>30</v>
      </c>
      <c r="K677" s="334">
        <v>60</v>
      </c>
      <c r="L677" s="334">
        <v>15</v>
      </c>
      <c r="M677" s="336">
        <v>30</v>
      </c>
    </row>
    <row r="678" spans="4:13">
      <c r="D678" s="226">
        <v>1504</v>
      </c>
      <c r="E678" s="224">
        <v>44295</v>
      </c>
      <c r="F678" s="207" t="s">
        <v>1531</v>
      </c>
      <c r="G678" s="207" t="s">
        <v>1503</v>
      </c>
      <c r="H678" s="207" t="s">
        <v>520</v>
      </c>
      <c r="I678" s="207">
        <v>2</v>
      </c>
      <c r="J678" s="334">
        <v>391.28</v>
      </c>
      <c r="K678" s="334">
        <v>782.56</v>
      </c>
      <c r="L678" s="334">
        <v>195.64</v>
      </c>
      <c r="M678" s="336">
        <v>391.28</v>
      </c>
    </row>
    <row r="679" spans="4:13">
      <c r="D679" s="226">
        <v>1505</v>
      </c>
      <c r="E679" s="224">
        <v>44295</v>
      </c>
      <c r="F679" s="207" t="s">
        <v>1532</v>
      </c>
      <c r="G679" s="207" t="s">
        <v>1502</v>
      </c>
      <c r="H679" s="207" t="s">
        <v>518</v>
      </c>
      <c r="I679" s="207">
        <v>2</v>
      </c>
      <c r="J679" s="334">
        <v>25</v>
      </c>
      <c r="K679" s="334">
        <v>50</v>
      </c>
      <c r="L679" s="334">
        <v>12.5</v>
      </c>
      <c r="M679" s="336">
        <v>25</v>
      </c>
    </row>
    <row r="680" spans="4:13">
      <c r="D680" s="226">
        <v>1506</v>
      </c>
      <c r="E680" s="224">
        <v>44296</v>
      </c>
      <c r="F680" s="207" t="s">
        <v>1530</v>
      </c>
      <c r="G680" s="207" t="s">
        <v>1499</v>
      </c>
      <c r="H680" s="207" t="s">
        <v>530</v>
      </c>
      <c r="I680" s="207">
        <v>4</v>
      </c>
      <c r="J680" s="334">
        <v>45</v>
      </c>
      <c r="K680" s="334">
        <v>180</v>
      </c>
      <c r="L680" s="334">
        <v>22.5</v>
      </c>
      <c r="M680" s="336">
        <v>90</v>
      </c>
    </row>
    <row r="681" spans="4:13">
      <c r="D681" s="226">
        <v>1507</v>
      </c>
      <c r="E681" s="224">
        <v>44296</v>
      </c>
      <c r="F681" s="207" t="s">
        <v>1532</v>
      </c>
      <c r="G681" s="207" t="s">
        <v>1503</v>
      </c>
      <c r="H681" s="207" t="s">
        <v>518</v>
      </c>
      <c r="I681" s="207">
        <v>3</v>
      </c>
      <c r="J681" s="334">
        <v>268</v>
      </c>
      <c r="K681" s="334">
        <v>804</v>
      </c>
      <c r="L681" s="334">
        <v>134</v>
      </c>
      <c r="M681" s="336">
        <v>402</v>
      </c>
    </row>
    <row r="682" spans="4:13">
      <c r="D682" s="226">
        <v>1508</v>
      </c>
      <c r="E682" s="224">
        <v>44297</v>
      </c>
      <c r="F682" s="207" t="s">
        <v>1530</v>
      </c>
      <c r="G682" s="207" t="s">
        <v>1497</v>
      </c>
      <c r="H682" s="207" t="s">
        <v>525</v>
      </c>
      <c r="I682" s="207">
        <v>18</v>
      </c>
      <c r="J682" s="334">
        <v>18</v>
      </c>
      <c r="K682" s="334">
        <v>324</v>
      </c>
      <c r="L682" s="334">
        <v>9</v>
      </c>
      <c r="M682" s="336">
        <v>162</v>
      </c>
    </row>
    <row r="683" spans="4:13">
      <c r="D683" s="226">
        <v>1509</v>
      </c>
      <c r="E683" s="224">
        <v>44298</v>
      </c>
      <c r="F683" s="207" t="s">
        <v>1532</v>
      </c>
      <c r="G683" s="207" t="s">
        <v>1499</v>
      </c>
      <c r="H683" s="207" t="s">
        <v>520</v>
      </c>
      <c r="I683" s="207">
        <v>2</v>
      </c>
      <c r="J683" s="334">
        <v>330.67</v>
      </c>
      <c r="K683" s="334">
        <v>661.33</v>
      </c>
      <c r="L683" s="334">
        <v>165.33</v>
      </c>
      <c r="M683" s="336">
        <v>330.67</v>
      </c>
    </row>
    <row r="684" spans="4:13">
      <c r="D684" s="226">
        <v>1510</v>
      </c>
      <c r="E684" s="224">
        <v>44299</v>
      </c>
      <c r="F684" s="207" t="s">
        <v>1530</v>
      </c>
      <c r="G684" s="207" t="s">
        <v>1497</v>
      </c>
      <c r="H684" s="207" t="s">
        <v>530</v>
      </c>
      <c r="I684" s="207">
        <v>4</v>
      </c>
      <c r="J684" s="334">
        <v>39</v>
      </c>
      <c r="K684" s="334">
        <v>156</v>
      </c>
      <c r="L684" s="334">
        <v>19.5</v>
      </c>
      <c r="M684" s="336">
        <v>78</v>
      </c>
    </row>
    <row r="685" spans="4:13">
      <c r="D685" s="226">
        <v>1511</v>
      </c>
      <c r="E685" s="224">
        <v>44300</v>
      </c>
      <c r="F685" s="207" t="s">
        <v>1533</v>
      </c>
      <c r="G685" s="207" t="s">
        <v>1502</v>
      </c>
      <c r="H685" s="207" t="s">
        <v>525</v>
      </c>
      <c r="I685" s="207">
        <v>20</v>
      </c>
      <c r="J685" s="334">
        <v>10</v>
      </c>
      <c r="K685" s="334">
        <v>200</v>
      </c>
      <c r="L685" s="334">
        <v>5</v>
      </c>
      <c r="M685" s="336">
        <v>100</v>
      </c>
    </row>
    <row r="686" spans="4:13">
      <c r="D686" s="226">
        <v>1512</v>
      </c>
      <c r="E686" s="224">
        <v>44301</v>
      </c>
      <c r="F686" s="207" t="s">
        <v>1534</v>
      </c>
      <c r="G686" s="207" t="s">
        <v>1497</v>
      </c>
      <c r="H686" s="207" t="s">
        <v>518</v>
      </c>
      <c r="I686" s="207">
        <v>5</v>
      </c>
      <c r="J686" s="334">
        <v>10</v>
      </c>
      <c r="K686" s="334">
        <v>50</v>
      </c>
      <c r="L686" s="334">
        <v>5</v>
      </c>
      <c r="M686" s="336">
        <v>25</v>
      </c>
    </row>
    <row r="687" spans="4:13">
      <c r="D687" s="226">
        <v>1513</v>
      </c>
      <c r="E687" s="224">
        <v>44301</v>
      </c>
      <c r="F687" s="207" t="s">
        <v>1534</v>
      </c>
      <c r="G687" s="207" t="s">
        <v>1502</v>
      </c>
      <c r="H687" s="207" t="s">
        <v>530</v>
      </c>
      <c r="I687" s="207">
        <v>2</v>
      </c>
      <c r="J687" s="334">
        <v>21</v>
      </c>
      <c r="K687" s="334">
        <v>42</v>
      </c>
      <c r="L687" s="334">
        <v>10.5</v>
      </c>
      <c r="M687" s="336">
        <v>21</v>
      </c>
    </row>
    <row r="688" spans="4:13">
      <c r="D688" s="226">
        <v>1514</v>
      </c>
      <c r="E688" s="224">
        <v>44301</v>
      </c>
      <c r="F688" s="207" t="s">
        <v>1532</v>
      </c>
      <c r="G688" s="207" t="s">
        <v>1502</v>
      </c>
      <c r="H688" s="207" t="s">
        <v>520</v>
      </c>
      <c r="I688" s="207">
        <v>1</v>
      </c>
      <c r="J688" s="334">
        <v>110.67</v>
      </c>
      <c r="K688" s="334">
        <v>110.67</v>
      </c>
      <c r="L688" s="334">
        <v>55.33</v>
      </c>
      <c r="M688" s="336">
        <v>55.33</v>
      </c>
    </row>
    <row r="689" spans="4:13">
      <c r="D689" s="226">
        <v>1515</v>
      </c>
      <c r="E689" s="224">
        <v>44303</v>
      </c>
      <c r="F689" s="207" t="s">
        <v>1531</v>
      </c>
      <c r="G689" s="207" t="s">
        <v>1499</v>
      </c>
      <c r="H689" s="207" t="s">
        <v>534</v>
      </c>
      <c r="I689" s="207">
        <v>9</v>
      </c>
      <c r="J689" s="334">
        <v>5</v>
      </c>
      <c r="K689" s="334">
        <v>45</v>
      </c>
      <c r="L689" s="334">
        <v>2.5</v>
      </c>
      <c r="M689" s="336">
        <v>22.5</v>
      </c>
    </row>
    <row r="690" spans="4:13">
      <c r="D690" s="226">
        <v>1516</v>
      </c>
      <c r="E690" s="224">
        <v>44303</v>
      </c>
      <c r="F690" s="207" t="s">
        <v>1530</v>
      </c>
      <c r="G690" s="207" t="s">
        <v>1499</v>
      </c>
      <c r="H690" s="207" t="s">
        <v>534</v>
      </c>
      <c r="I690" s="207">
        <v>2</v>
      </c>
      <c r="J690" s="334">
        <v>9</v>
      </c>
      <c r="K690" s="334">
        <v>18</v>
      </c>
      <c r="L690" s="334">
        <v>4.5</v>
      </c>
      <c r="M690" s="336">
        <v>9</v>
      </c>
    </row>
    <row r="691" spans="4:13">
      <c r="D691" s="226">
        <v>1517</v>
      </c>
      <c r="E691" s="224">
        <v>44304</v>
      </c>
      <c r="F691" s="207" t="s">
        <v>1534</v>
      </c>
      <c r="G691" s="207" t="s">
        <v>1497</v>
      </c>
      <c r="H691" s="207" t="s">
        <v>518</v>
      </c>
      <c r="I691" s="207">
        <v>8</v>
      </c>
      <c r="J691" s="334">
        <v>45</v>
      </c>
      <c r="K691" s="334">
        <v>360</v>
      </c>
      <c r="L691" s="334">
        <v>22.5</v>
      </c>
      <c r="M691" s="336">
        <v>180</v>
      </c>
    </row>
    <row r="692" spans="4:13">
      <c r="D692" s="226">
        <v>1518</v>
      </c>
      <c r="E692" s="224">
        <v>44304</v>
      </c>
      <c r="F692" s="207" t="s">
        <v>1530</v>
      </c>
      <c r="G692" s="207" t="s">
        <v>1494</v>
      </c>
      <c r="H692" s="207" t="s">
        <v>534</v>
      </c>
      <c r="I692" s="207">
        <v>4</v>
      </c>
      <c r="J692" s="334">
        <v>9</v>
      </c>
      <c r="K692" s="334">
        <v>36</v>
      </c>
      <c r="L692" s="334">
        <v>4.5</v>
      </c>
      <c r="M692" s="336">
        <v>18</v>
      </c>
    </row>
    <row r="693" spans="4:13">
      <c r="D693" s="226">
        <v>1519</v>
      </c>
      <c r="E693" s="224">
        <v>44307</v>
      </c>
      <c r="F693" s="207" t="s">
        <v>1530</v>
      </c>
      <c r="G693" s="207" t="s">
        <v>1499</v>
      </c>
      <c r="H693" s="207" t="s">
        <v>530</v>
      </c>
      <c r="I693" s="207">
        <v>3</v>
      </c>
      <c r="J693" s="334">
        <v>34</v>
      </c>
      <c r="K693" s="334">
        <v>102</v>
      </c>
      <c r="L693" s="334">
        <v>17</v>
      </c>
      <c r="M693" s="336">
        <v>51</v>
      </c>
    </row>
    <row r="694" spans="4:13">
      <c r="D694" s="226">
        <v>1520</v>
      </c>
      <c r="E694" s="224">
        <v>44307</v>
      </c>
      <c r="F694" s="207" t="s">
        <v>1530</v>
      </c>
      <c r="G694" s="207" t="s">
        <v>1503</v>
      </c>
      <c r="H694" s="207" t="s">
        <v>520</v>
      </c>
      <c r="I694" s="207">
        <v>1</v>
      </c>
      <c r="J694" s="334">
        <v>457.44</v>
      </c>
      <c r="K694" s="334">
        <v>457.44</v>
      </c>
      <c r="L694" s="334">
        <v>228.72</v>
      </c>
      <c r="M694" s="336">
        <v>228.72</v>
      </c>
    </row>
    <row r="695" spans="4:13">
      <c r="D695" s="226">
        <v>1521</v>
      </c>
      <c r="E695" s="224">
        <v>44307</v>
      </c>
      <c r="F695" s="207" t="s">
        <v>1534</v>
      </c>
      <c r="G695" s="207" t="s">
        <v>1494</v>
      </c>
      <c r="H695" s="207" t="s">
        <v>520</v>
      </c>
      <c r="I695" s="207">
        <v>2</v>
      </c>
      <c r="J695" s="334">
        <v>278.67</v>
      </c>
      <c r="K695" s="334">
        <v>557.33000000000004</v>
      </c>
      <c r="L695" s="334">
        <v>139.33000000000001</v>
      </c>
      <c r="M695" s="336">
        <v>278.67</v>
      </c>
    </row>
    <row r="696" spans="4:13">
      <c r="D696" s="226">
        <v>1522</v>
      </c>
      <c r="E696" s="224">
        <v>44307</v>
      </c>
      <c r="F696" s="207" t="s">
        <v>1532</v>
      </c>
      <c r="G696" s="207" t="s">
        <v>1502</v>
      </c>
      <c r="H696" s="207" t="s">
        <v>530</v>
      </c>
      <c r="I696" s="207">
        <v>4</v>
      </c>
      <c r="J696" s="334">
        <v>34</v>
      </c>
      <c r="K696" s="334">
        <v>136</v>
      </c>
      <c r="L696" s="334">
        <v>17</v>
      </c>
      <c r="M696" s="336">
        <v>68</v>
      </c>
    </row>
    <row r="697" spans="4:13">
      <c r="D697" s="226">
        <v>1523</v>
      </c>
      <c r="E697" s="224">
        <v>44308</v>
      </c>
      <c r="F697" s="207" t="s">
        <v>1532</v>
      </c>
      <c r="G697" s="207" t="s">
        <v>1494</v>
      </c>
      <c r="H697" s="207" t="s">
        <v>530</v>
      </c>
      <c r="I697" s="207">
        <v>5</v>
      </c>
      <c r="J697" s="334">
        <v>29</v>
      </c>
      <c r="K697" s="334">
        <v>145</v>
      </c>
      <c r="L697" s="334">
        <v>14.5</v>
      </c>
      <c r="M697" s="336">
        <v>72.5</v>
      </c>
    </row>
    <row r="698" spans="4:13">
      <c r="D698" s="226">
        <v>1524</v>
      </c>
      <c r="E698" s="224">
        <v>44308</v>
      </c>
      <c r="F698" s="207" t="s">
        <v>1534</v>
      </c>
      <c r="G698" s="207" t="s">
        <v>1502</v>
      </c>
      <c r="H698" s="207" t="s">
        <v>518</v>
      </c>
      <c r="I698" s="207">
        <v>3</v>
      </c>
      <c r="J698" s="334">
        <v>24</v>
      </c>
      <c r="K698" s="334">
        <v>72</v>
      </c>
      <c r="L698" s="334">
        <v>12</v>
      </c>
      <c r="M698" s="336">
        <v>36</v>
      </c>
    </row>
    <row r="699" spans="4:13">
      <c r="D699" s="226">
        <v>1525</v>
      </c>
      <c r="E699" s="224">
        <v>44309</v>
      </c>
      <c r="F699" s="207" t="s">
        <v>1531</v>
      </c>
      <c r="G699" s="207" t="s">
        <v>1494</v>
      </c>
      <c r="H699" s="207" t="s">
        <v>530</v>
      </c>
      <c r="I699" s="207">
        <v>5</v>
      </c>
      <c r="J699" s="334">
        <v>47</v>
      </c>
      <c r="K699" s="334">
        <v>235</v>
      </c>
      <c r="L699" s="334">
        <v>23.5</v>
      </c>
      <c r="M699" s="336">
        <v>117.5</v>
      </c>
    </row>
    <row r="700" spans="4:13">
      <c r="D700" s="226">
        <v>1526</v>
      </c>
      <c r="E700" s="224">
        <v>44310</v>
      </c>
      <c r="F700" s="207" t="s">
        <v>1531</v>
      </c>
      <c r="G700" s="207" t="s">
        <v>1503</v>
      </c>
      <c r="H700" s="207" t="s">
        <v>520</v>
      </c>
      <c r="I700" s="207">
        <v>1</v>
      </c>
      <c r="J700" s="334">
        <v>360</v>
      </c>
      <c r="K700" s="334">
        <v>360</v>
      </c>
      <c r="L700" s="334">
        <v>180</v>
      </c>
      <c r="M700" s="336">
        <v>180</v>
      </c>
    </row>
    <row r="701" spans="4:13">
      <c r="D701" s="226">
        <v>1527</v>
      </c>
      <c r="E701" s="224">
        <v>44311</v>
      </c>
      <c r="F701" s="207" t="s">
        <v>1533</v>
      </c>
      <c r="G701" s="207" t="s">
        <v>1502</v>
      </c>
      <c r="H701" s="207" t="s">
        <v>520</v>
      </c>
      <c r="I701" s="207">
        <v>1</v>
      </c>
      <c r="J701" s="334">
        <v>124.67</v>
      </c>
      <c r="K701" s="334">
        <v>124.67</v>
      </c>
      <c r="L701" s="334">
        <v>62.33</v>
      </c>
      <c r="M701" s="336">
        <v>62.33</v>
      </c>
    </row>
    <row r="702" spans="4:13">
      <c r="D702" s="226">
        <v>1528</v>
      </c>
      <c r="E702" s="224">
        <v>44311</v>
      </c>
      <c r="F702" s="207" t="s">
        <v>1534</v>
      </c>
      <c r="G702" s="207" t="s">
        <v>1499</v>
      </c>
      <c r="H702" s="207" t="s">
        <v>518</v>
      </c>
      <c r="I702" s="207">
        <v>2</v>
      </c>
      <c r="J702" s="334">
        <v>72</v>
      </c>
      <c r="K702" s="334">
        <v>144</v>
      </c>
      <c r="L702" s="334">
        <v>36</v>
      </c>
      <c r="M702" s="336">
        <v>72</v>
      </c>
    </row>
    <row r="703" spans="4:13">
      <c r="D703" s="226">
        <v>1529</v>
      </c>
      <c r="E703" s="224">
        <v>44311</v>
      </c>
      <c r="F703" s="207" t="s">
        <v>1531</v>
      </c>
      <c r="G703" s="207" t="s">
        <v>1503</v>
      </c>
      <c r="H703" s="207" t="s">
        <v>530</v>
      </c>
      <c r="I703" s="207">
        <v>5</v>
      </c>
      <c r="J703" s="334">
        <v>42</v>
      </c>
      <c r="K703" s="334">
        <v>210</v>
      </c>
      <c r="L703" s="334">
        <v>21</v>
      </c>
      <c r="M703" s="336">
        <v>105</v>
      </c>
    </row>
    <row r="704" spans="4:13">
      <c r="D704" s="226">
        <v>1530</v>
      </c>
      <c r="E704" s="224">
        <v>44311</v>
      </c>
      <c r="F704" s="207" t="s">
        <v>1533</v>
      </c>
      <c r="G704" s="207" t="s">
        <v>1503</v>
      </c>
      <c r="H704" s="207" t="s">
        <v>525</v>
      </c>
      <c r="I704" s="207">
        <v>1</v>
      </c>
      <c r="J704" s="334">
        <v>30</v>
      </c>
      <c r="K704" s="334">
        <v>30</v>
      </c>
      <c r="L704" s="334">
        <v>15</v>
      </c>
      <c r="M704" s="336">
        <v>15</v>
      </c>
    </row>
    <row r="705" spans="4:13">
      <c r="D705" s="226">
        <v>1531</v>
      </c>
      <c r="E705" s="224">
        <v>44312</v>
      </c>
      <c r="F705" s="207" t="s">
        <v>1534</v>
      </c>
      <c r="G705" s="207" t="s">
        <v>1499</v>
      </c>
      <c r="H705" s="207" t="s">
        <v>518</v>
      </c>
      <c r="I705" s="207">
        <v>1</v>
      </c>
      <c r="J705" s="334">
        <v>62</v>
      </c>
      <c r="K705" s="334">
        <v>62</v>
      </c>
      <c r="L705" s="334">
        <v>31</v>
      </c>
      <c r="M705" s="336">
        <v>31</v>
      </c>
    </row>
    <row r="706" spans="4:13">
      <c r="D706" s="226">
        <v>1532</v>
      </c>
      <c r="E706" s="224">
        <v>44312</v>
      </c>
      <c r="F706" s="207" t="s">
        <v>1533</v>
      </c>
      <c r="G706" s="207" t="s">
        <v>1503</v>
      </c>
      <c r="H706" s="207" t="s">
        <v>534</v>
      </c>
      <c r="I706" s="207">
        <v>7</v>
      </c>
      <c r="J706" s="334">
        <v>9</v>
      </c>
      <c r="K706" s="334">
        <v>63</v>
      </c>
      <c r="L706" s="334">
        <v>4.5</v>
      </c>
      <c r="M706" s="336">
        <v>31.5</v>
      </c>
    </row>
    <row r="707" spans="4:13">
      <c r="D707" s="226">
        <v>1533</v>
      </c>
      <c r="E707" s="224">
        <v>44313</v>
      </c>
      <c r="F707" s="207" t="s">
        <v>1530</v>
      </c>
      <c r="G707" s="207" t="s">
        <v>1502</v>
      </c>
      <c r="H707" s="207" t="s">
        <v>520</v>
      </c>
      <c r="I707" s="207">
        <v>1</v>
      </c>
      <c r="J707" s="334">
        <v>328</v>
      </c>
      <c r="K707" s="334">
        <v>328</v>
      </c>
      <c r="L707" s="334">
        <v>164</v>
      </c>
      <c r="M707" s="336">
        <v>164</v>
      </c>
    </row>
    <row r="708" spans="4:13">
      <c r="D708" s="226">
        <v>1534</v>
      </c>
      <c r="E708" s="224">
        <v>44313</v>
      </c>
      <c r="F708" s="207" t="s">
        <v>1534</v>
      </c>
      <c r="G708" s="207" t="s">
        <v>1494</v>
      </c>
      <c r="H708" s="207" t="s">
        <v>518</v>
      </c>
      <c r="I708" s="207">
        <v>5</v>
      </c>
      <c r="J708" s="334">
        <v>132</v>
      </c>
      <c r="K708" s="334">
        <v>660</v>
      </c>
      <c r="L708" s="334">
        <v>66</v>
      </c>
      <c r="M708" s="336">
        <v>330</v>
      </c>
    </row>
    <row r="709" spans="4:13">
      <c r="D709" s="226">
        <v>1535</v>
      </c>
      <c r="E709" s="224">
        <v>44314</v>
      </c>
      <c r="F709" s="207" t="s">
        <v>1531</v>
      </c>
      <c r="G709" s="207" t="s">
        <v>1494</v>
      </c>
      <c r="H709" s="207" t="s">
        <v>520</v>
      </c>
      <c r="I709" s="207">
        <v>1</v>
      </c>
      <c r="J709" s="334">
        <v>564.66999999999996</v>
      </c>
      <c r="K709" s="334">
        <v>564.66999999999996</v>
      </c>
      <c r="L709" s="334">
        <v>282.33</v>
      </c>
      <c r="M709" s="336">
        <v>282.33</v>
      </c>
    </row>
    <row r="710" spans="4:13">
      <c r="D710" s="226">
        <v>1536</v>
      </c>
      <c r="E710" s="224">
        <v>44317</v>
      </c>
      <c r="F710" s="207" t="s">
        <v>1531</v>
      </c>
      <c r="G710" s="207" t="s">
        <v>1494</v>
      </c>
      <c r="H710" s="207" t="s">
        <v>525</v>
      </c>
      <c r="I710" s="207">
        <v>15</v>
      </c>
      <c r="J710" s="334">
        <v>34</v>
      </c>
      <c r="K710" s="334">
        <v>510</v>
      </c>
      <c r="L710" s="334">
        <v>17</v>
      </c>
      <c r="M710" s="336">
        <v>255</v>
      </c>
    </row>
    <row r="711" spans="4:13">
      <c r="D711" s="226">
        <v>1537</v>
      </c>
      <c r="E711" s="224">
        <v>44318</v>
      </c>
      <c r="F711" s="207" t="s">
        <v>1532</v>
      </c>
      <c r="G711" s="207" t="s">
        <v>1497</v>
      </c>
      <c r="H711" s="207" t="s">
        <v>534</v>
      </c>
      <c r="I711" s="207">
        <v>8</v>
      </c>
      <c r="J711" s="334">
        <v>5</v>
      </c>
      <c r="K711" s="334">
        <v>40</v>
      </c>
      <c r="L711" s="334">
        <v>2.5</v>
      </c>
      <c r="M711" s="336">
        <v>20</v>
      </c>
    </row>
    <row r="712" spans="4:13">
      <c r="D712" s="226">
        <v>1538</v>
      </c>
      <c r="E712" s="224">
        <v>44319</v>
      </c>
      <c r="F712" s="207" t="s">
        <v>1532</v>
      </c>
      <c r="G712" s="207" t="s">
        <v>1497</v>
      </c>
      <c r="H712" s="207" t="s">
        <v>518</v>
      </c>
      <c r="I712" s="207">
        <v>7</v>
      </c>
      <c r="J712" s="334">
        <v>28</v>
      </c>
      <c r="K712" s="334">
        <v>196</v>
      </c>
      <c r="L712" s="334">
        <v>14</v>
      </c>
      <c r="M712" s="336">
        <v>98</v>
      </c>
    </row>
    <row r="713" spans="4:13">
      <c r="D713" s="226">
        <v>1539</v>
      </c>
      <c r="E713" s="224">
        <v>44320</v>
      </c>
      <c r="F713" s="207" t="s">
        <v>1532</v>
      </c>
      <c r="G713" s="207" t="s">
        <v>1494</v>
      </c>
      <c r="H713" s="207" t="s">
        <v>518</v>
      </c>
      <c r="I713" s="207">
        <v>8</v>
      </c>
      <c r="J713" s="334">
        <v>156</v>
      </c>
      <c r="K713" s="334">
        <v>1248</v>
      </c>
      <c r="L713" s="334">
        <v>78</v>
      </c>
      <c r="M713" s="336">
        <v>624</v>
      </c>
    </row>
    <row r="714" spans="4:13">
      <c r="D714" s="226">
        <v>1540</v>
      </c>
      <c r="E714" s="224">
        <v>44320</v>
      </c>
      <c r="F714" s="207" t="s">
        <v>1530</v>
      </c>
      <c r="G714" s="207" t="s">
        <v>1497</v>
      </c>
      <c r="H714" s="207" t="s">
        <v>525</v>
      </c>
      <c r="I714" s="207">
        <v>1</v>
      </c>
      <c r="J714" s="334">
        <v>21</v>
      </c>
      <c r="K714" s="334">
        <v>21</v>
      </c>
      <c r="L714" s="334">
        <v>10.5</v>
      </c>
      <c r="M714" s="336">
        <v>10.5</v>
      </c>
    </row>
    <row r="715" spans="4:13">
      <c r="D715" s="226">
        <v>1541</v>
      </c>
      <c r="E715" s="224">
        <v>44320</v>
      </c>
      <c r="F715" s="207" t="s">
        <v>1533</v>
      </c>
      <c r="G715" s="207" t="s">
        <v>1499</v>
      </c>
      <c r="H715" s="207" t="s">
        <v>530</v>
      </c>
      <c r="I715" s="207">
        <v>4</v>
      </c>
      <c r="J715" s="334">
        <v>23</v>
      </c>
      <c r="K715" s="334">
        <v>92</v>
      </c>
      <c r="L715" s="334">
        <v>11.5</v>
      </c>
      <c r="M715" s="336">
        <v>46</v>
      </c>
    </row>
    <row r="716" spans="4:13">
      <c r="D716" s="226">
        <v>1542</v>
      </c>
      <c r="E716" s="224">
        <v>44321</v>
      </c>
      <c r="F716" s="207" t="s">
        <v>1531</v>
      </c>
      <c r="G716" s="207" t="s">
        <v>1503</v>
      </c>
      <c r="H716" s="207" t="s">
        <v>534</v>
      </c>
      <c r="I716" s="207">
        <v>1</v>
      </c>
      <c r="J716" s="334">
        <v>9</v>
      </c>
      <c r="K716" s="334">
        <v>9</v>
      </c>
      <c r="L716" s="334">
        <v>4.5</v>
      </c>
      <c r="M716" s="336">
        <v>4.5</v>
      </c>
    </row>
    <row r="717" spans="4:13">
      <c r="D717" s="226">
        <v>1543</v>
      </c>
      <c r="E717" s="224">
        <v>44321</v>
      </c>
      <c r="F717" s="207" t="s">
        <v>1534</v>
      </c>
      <c r="G717" s="207" t="s">
        <v>1494</v>
      </c>
      <c r="H717" s="207" t="s">
        <v>534</v>
      </c>
      <c r="I717" s="207">
        <v>9</v>
      </c>
      <c r="J717" s="334">
        <v>9</v>
      </c>
      <c r="K717" s="334">
        <v>81</v>
      </c>
      <c r="L717" s="334">
        <v>4.5</v>
      </c>
      <c r="M717" s="336">
        <v>40.5</v>
      </c>
    </row>
    <row r="718" spans="4:13">
      <c r="D718" s="226">
        <v>1544</v>
      </c>
      <c r="E718" s="224">
        <v>44321</v>
      </c>
      <c r="F718" s="207" t="s">
        <v>1533</v>
      </c>
      <c r="G718" s="207" t="s">
        <v>1499</v>
      </c>
      <c r="H718" s="207" t="s">
        <v>520</v>
      </c>
      <c r="I718" s="207">
        <v>2</v>
      </c>
      <c r="J718" s="334">
        <v>147.33000000000001</v>
      </c>
      <c r="K718" s="334">
        <v>294.67</v>
      </c>
      <c r="L718" s="334">
        <v>73.67</v>
      </c>
      <c r="M718" s="336">
        <v>147.33000000000001</v>
      </c>
    </row>
    <row r="719" spans="4:13">
      <c r="D719" s="226">
        <v>1545</v>
      </c>
      <c r="E719" s="224">
        <v>44322</v>
      </c>
      <c r="F719" s="207" t="s">
        <v>1531</v>
      </c>
      <c r="G719" s="207" t="s">
        <v>1494</v>
      </c>
      <c r="H719" s="207" t="s">
        <v>530</v>
      </c>
      <c r="I719" s="207">
        <v>6</v>
      </c>
      <c r="J719" s="334">
        <v>49</v>
      </c>
      <c r="K719" s="334">
        <v>294</v>
      </c>
      <c r="L719" s="334">
        <v>24.5</v>
      </c>
      <c r="M719" s="336">
        <v>147</v>
      </c>
    </row>
    <row r="720" spans="4:13">
      <c r="D720" s="226">
        <v>1546</v>
      </c>
      <c r="E720" s="224">
        <v>44323</v>
      </c>
      <c r="F720" s="207" t="s">
        <v>1530</v>
      </c>
      <c r="G720" s="207" t="s">
        <v>1502</v>
      </c>
      <c r="H720" s="207" t="s">
        <v>530</v>
      </c>
      <c r="I720" s="207">
        <v>9</v>
      </c>
      <c r="J720" s="334">
        <v>39</v>
      </c>
      <c r="K720" s="334">
        <v>351</v>
      </c>
      <c r="L720" s="334">
        <v>19.5</v>
      </c>
      <c r="M720" s="336">
        <v>175.5</v>
      </c>
    </row>
    <row r="721" spans="4:13">
      <c r="D721" s="226">
        <v>1547</v>
      </c>
      <c r="E721" s="224">
        <v>44324</v>
      </c>
      <c r="F721" s="207" t="s">
        <v>1530</v>
      </c>
      <c r="G721" s="207" t="s">
        <v>1499</v>
      </c>
      <c r="H721" s="207" t="s">
        <v>534</v>
      </c>
      <c r="I721" s="207">
        <v>7</v>
      </c>
      <c r="J721" s="334">
        <v>8</v>
      </c>
      <c r="K721" s="334">
        <v>56</v>
      </c>
      <c r="L721" s="334">
        <v>4</v>
      </c>
      <c r="M721" s="336">
        <v>28</v>
      </c>
    </row>
    <row r="722" spans="4:13">
      <c r="D722" s="226">
        <v>1548</v>
      </c>
      <c r="E722" s="224">
        <v>44324</v>
      </c>
      <c r="F722" s="207" t="s">
        <v>1530</v>
      </c>
      <c r="G722" s="207" t="s">
        <v>1503</v>
      </c>
      <c r="H722" s="207" t="s">
        <v>518</v>
      </c>
      <c r="I722" s="207">
        <v>5</v>
      </c>
      <c r="J722" s="334">
        <v>229</v>
      </c>
      <c r="K722" s="334">
        <v>1145</v>
      </c>
      <c r="L722" s="334">
        <v>114.5</v>
      </c>
      <c r="M722" s="336">
        <v>572.5</v>
      </c>
    </row>
    <row r="723" spans="4:13">
      <c r="D723" s="226">
        <v>1549</v>
      </c>
      <c r="E723" s="224">
        <v>44324</v>
      </c>
      <c r="F723" s="207" t="s">
        <v>1533</v>
      </c>
      <c r="G723" s="207" t="s">
        <v>1497</v>
      </c>
      <c r="H723" s="207" t="s">
        <v>530</v>
      </c>
      <c r="I723" s="207">
        <v>7</v>
      </c>
      <c r="J723" s="334">
        <v>29</v>
      </c>
      <c r="K723" s="334">
        <v>203</v>
      </c>
      <c r="L723" s="334">
        <v>14.5</v>
      </c>
      <c r="M723" s="336">
        <v>101.5</v>
      </c>
    </row>
    <row r="724" spans="4:13">
      <c r="D724" s="226">
        <v>1550</v>
      </c>
      <c r="E724" s="224">
        <v>44325</v>
      </c>
      <c r="F724" s="207" t="s">
        <v>1532</v>
      </c>
      <c r="G724" s="207" t="s">
        <v>1499</v>
      </c>
      <c r="H724" s="207" t="s">
        <v>518</v>
      </c>
      <c r="I724" s="207">
        <v>8</v>
      </c>
      <c r="J724" s="334">
        <v>72</v>
      </c>
      <c r="K724" s="334">
        <v>576</v>
      </c>
      <c r="L724" s="334">
        <v>36</v>
      </c>
      <c r="M724" s="336">
        <v>288</v>
      </c>
    </row>
    <row r="725" spans="4:13">
      <c r="D725" s="226">
        <v>1551</v>
      </c>
      <c r="E725" s="224">
        <v>44329</v>
      </c>
      <c r="F725" s="207" t="s">
        <v>1531</v>
      </c>
      <c r="G725" s="207" t="s">
        <v>1497</v>
      </c>
      <c r="H725" s="207" t="s">
        <v>520</v>
      </c>
      <c r="I725" s="207">
        <v>1</v>
      </c>
      <c r="J725" s="334">
        <v>134.66999999999999</v>
      </c>
      <c r="K725" s="334">
        <v>134.66999999999999</v>
      </c>
      <c r="L725" s="334">
        <v>67.33</v>
      </c>
      <c r="M725" s="336">
        <v>67.33</v>
      </c>
    </row>
    <row r="726" spans="4:13">
      <c r="D726" s="226">
        <v>1552</v>
      </c>
      <c r="E726" s="224">
        <v>44329</v>
      </c>
      <c r="F726" s="207" t="s">
        <v>1531</v>
      </c>
      <c r="G726" s="207" t="s">
        <v>1499</v>
      </c>
      <c r="H726" s="207" t="s">
        <v>525</v>
      </c>
      <c r="I726" s="207">
        <v>1</v>
      </c>
      <c r="J726" s="334">
        <v>15</v>
      </c>
      <c r="K726" s="334">
        <v>15</v>
      </c>
      <c r="L726" s="334">
        <v>7.5</v>
      </c>
      <c r="M726" s="336">
        <v>7.5</v>
      </c>
    </row>
    <row r="727" spans="4:13">
      <c r="D727" s="226">
        <v>1553</v>
      </c>
      <c r="E727" s="224">
        <v>44329</v>
      </c>
      <c r="F727" s="207" t="s">
        <v>1533</v>
      </c>
      <c r="G727" s="207" t="s">
        <v>1499</v>
      </c>
      <c r="H727" s="207" t="s">
        <v>525</v>
      </c>
      <c r="I727" s="207">
        <v>1</v>
      </c>
      <c r="J727" s="334">
        <v>14</v>
      </c>
      <c r="K727" s="334">
        <v>14</v>
      </c>
      <c r="L727" s="334">
        <v>7</v>
      </c>
      <c r="M727" s="336">
        <v>7</v>
      </c>
    </row>
    <row r="728" spans="4:13">
      <c r="D728" s="226">
        <v>1554</v>
      </c>
      <c r="E728" s="224">
        <v>44329</v>
      </c>
      <c r="F728" s="207" t="s">
        <v>1531</v>
      </c>
      <c r="G728" s="207" t="s">
        <v>1503</v>
      </c>
      <c r="H728" s="207" t="s">
        <v>525</v>
      </c>
      <c r="I728" s="207">
        <v>16</v>
      </c>
      <c r="J728" s="334">
        <v>44</v>
      </c>
      <c r="K728" s="334">
        <v>704</v>
      </c>
      <c r="L728" s="334">
        <v>22</v>
      </c>
      <c r="M728" s="336">
        <v>352</v>
      </c>
    </row>
    <row r="729" spans="4:13">
      <c r="D729" s="226">
        <v>1555</v>
      </c>
      <c r="E729" s="224">
        <v>44330</v>
      </c>
      <c r="F729" s="207" t="s">
        <v>1531</v>
      </c>
      <c r="G729" s="207" t="s">
        <v>1494</v>
      </c>
      <c r="H729" s="207" t="s">
        <v>530</v>
      </c>
      <c r="I729" s="207">
        <v>8</v>
      </c>
      <c r="J729" s="334">
        <v>25</v>
      </c>
      <c r="K729" s="334">
        <v>200</v>
      </c>
      <c r="L729" s="334">
        <v>12.5</v>
      </c>
      <c r="M729" s="336">
        <v>100</v>
      </c>
    </row>
    <row r="730" spans="4:13">
      <c r="D730" s="226">
        <v>1556</v>
      </c>
      <c r="E730" s="224">
        <v>44330</v>
      </c>
      <c r="F730" s="207" t="s">
        <v>1533</v>
      </c>
      <c r="G730" s="207" t="s">
        <v>1497</v>
      </c>
      <c r="H730" s="207" t="s">
        <v>534</v>
      </c>
      <c r="I730" s="207">
        <v>1</v>
      </c>
      <c r="J730" s="334">
        <v>7</v>
      </c>
      <c r="K730" s="334">
        <v>7</v>
      </c>
      <c r="L730" s="334">
        <v>3.5</v>
      </c>
      <c r="M730" s="336">
        <v>3.5</v>
      </c>
    </row>
    <row r="731" spans="4:13">
      <c r="D731" s="226">
        <v>1557</v>
      </c>
      <c r="E731" s="224">
        <v>44331</v>
      </c>
      <c r="F731" s="207" t="s">
        <v>1533</v>
      </c>
      <c r="G731" s="207" t="s">
        <v>1497</v>
      </c>
      <c r="H731" s="207" t="s">
        <v>525</v>
      </c>
      <c r="I731" s="207">
        <v>11</v>
      </c>
      <c r="J731" s="334">
        <v>15</v>
      </c>
      <c r="K731" s="334">
        <v>165</v>
      </c>
      <c r="L731" s="334">
        <v>7.5</v>
      </c>
      <c r="M731" s="336">
        <v>82.5</v>
      </c>
    </row>
    <row r="732" spans="4:13">
      <c r="D732" s="226">
        <v>1558</v>
      </c>
      <c r="E732" s="224">
        <v>44331</v>
      </c>
      <c r="F732" s="207" t="s">
        <v>1533</v>
      </c>
      <c r="G732" s="207" t="s">
        <v>1497</v>
      </c>
      <c r="H732" s="207" t="s">
        <v>534</v>
      </c>
      <c r="I732" s="207">
        <v>6</v>
      </c>
      <c r="J732" s="334">
        <v>6</v>
      </c>
      <c r="K732" s="334">
        <v>36</v>
      </c>
      <c r="L732" s="334">
        <v>3</v>
      </c>
      <c r="M732" s="336">
        <v>18</v>
      </c>
    </row>
    <row r="733" spans="4:13">
      <c r="D733" s="226">
        <v>1559</v>
      </c>
      <c r="E733" s="224">
        <v>44334</v>
      </c>
      <c r="F733" s="207" t="s">
        <v>1530</v>
      </c>
      <c r="G733" s="207" t="s">
        <v>1497</v>
      </c>
      <c r="H733" s="207" t="s">
        <v>525</v>
      </c>
      <c r="I733" s="207">
        <v>17</v>
      </c>
      <c r="J733" s="334">
        <v>9</v>
      </c>
      <c r="K733" s="334">
        <v>153</v>
      </c>
      <c r="L733" s="334">
        <v>4.5</v>
      </c>
      <c r="M733" s="336">
        <v>76.5</v>
      </c>
    </row>
    <row r="734" spans="4:13">
      <c r="D734" s="226">
        <v>1560</v>
      </c>
      <c r="E734" s="224">
        <v>44334</v>
      </c>
      <c r="F734" s="207" t="s">
        <v>1530</v>
      </c>
      <c r="G734" s="207" t="s">
        <v>1499</v>
      </c>
      <c r="H734" s="207" t="s">
        <v>520</v>
      </c>
      <c r="I734" s="207">
        <v>2</v>
      </c>
      <c r="J734" s="334">
        <v>174.67</v>
      </c>
      <c r="K734" s="334">
        <v>349.33</v>
      </c>
      <c r="L734" s="334">
        <v>87.33</v>
      </c>
      <c r="M734" s="336">
        <v>174.67</v>
      </c>
    </row>
    <row r="735" spans="4:13">
      <c r="D735" s="226">
        <v>1561</v>
      </c>
      <c r="E735" s="224">
        <v>44335</v>
      </c>
      <c r="F735" s="207" t="s">
        <v>1534</v>
      </c>
      <c r="G735" s="207" t="s">
        <v>1503</v>
      </c>
      <c r="H735" s="207" t="s">
        <v>518</v>
      </c>
      <c r="I735" s="207">
        <v>8</v>
      </c>
      <c r="J735" s="334">
        <v>272</v>
      </c>
      <c r="K735" s="334">
        <v>2176</v>
      </c>
      <c r="L735" s="334">
        <v>136</v>
      </c>
      <c r="M735" s="336">
        <v>1088</v>
      </c>
    </row>
    <row r="736" spans="4:13">
      <c r="D736" s="226">
        <v>1562</v>
      </c>
      <c r="E736" s="224">
        <v>44335</v>
      </c>
      <c r="F736" s="207" t="s">
        <v>1531</v>
      </c>
      <c r="G736" s="207" t="s">
        <v>1502</v>
      </c>
      <c r="H736" s="207" t="s">
        <v>520</v>
      </c>
      <c r="I736" s="207">
        <v>1</v>
      </c>
      <c r="J736" s="334">
        <v>80.67</v>
      </c>
      <c r="K736" s="334">
        <v>80.67</v>
      </c>
      <c r="L736" s="334">
        <v>40.33</v>
      </c>
      <c r="M736" s="336">
        <v>40.33</v>
      </c>
    </row>
    <row r="737" spans="4:13">
      <c r="D737" s="226">
        <v>1563</v>
      </c>
      <c r="E737" s="224">
        <v>44335</v>
      </c>
      <c r="F737" s="207" t="s">
        <v>1530</v>
      </c>
      <c r="G737" s="207" t="s">
        <v>1494</v>
      </c>
      <c r="H737" s="207" t="s">
        <v>530</v>
      </c>
      <c r="I737" s="207">
        <v>6</v>
      </c>
      <c r="J737" s="334">
        <v>20</v>
      </c>
      <c r="K737" s="334">
        <v>120</v>
      </c>
      <c r="L737" s="334">
        <v>10</v>
      </c>
      <c r="M737" s="336">
        <v>60</v>
      </c>
    </row>
    <row r="738" spans="4:13">
      <c r="D738" s="226">
        <v>1564</v>
      </c>
      <c r="E738" s="224">
        <v>44335</v>
      </c>
      <c r="F738" s="207" t="s">
        <v>1533</v>
      </c>
      <c r="G738" s="207" t="s">
        <v>1503</v>
      </c>
      <c r="H738" s="207" t="s">
        <v>520</v>
      </c>
      <c r="I738" s="207">
        <v>2</v>
      </c>
      <c r="J738" s="334">
        <v>548.21</v>
      </c>
      <c r="K738" s="334">
        <v>1096.4100000000001</v>
      </c>
      <c r="L738" s="334">
        <v>274.10000000000002</v>
      </c>
      <c r="M738" s="336">
        <v>548.21</v>
      </c>
    </row>
    <row r="739" spans="4:13">
      <c r="D739" s="226">
        <v>1565</v>
      </c>
      <c r="E739" s="224">
        <v>44337</v>
      </c>
      <c r="F739" s="207" t="s">
        <v>1530</v>
      </c>
      <c r="G739" s="207" t="s">
        <v>1497</v>
      </c>
      <c r="H739" s="207" t="s">
        <v>534</v>
      </c>
      <c r="I739" s="207">
        <v>6</v>
      </c>
      <c r="J739" s="334">
        <v>9</v>
      </c>
      <c r="K739" s="334">
        <v>54</v>
      </c>
      <c r="L739" s="334">
        <v>4.5</v>
      </c>
      <c r="M739" s="336">
        <v>27</v>
      </c>
    </row>
    <row r="740" spans="4:13">
      <c r="D740" s="226">
        <v>1566</v>
      </c>
      <c r="E740" s="224">
        <v>44337</v>
      </c>
      <c r="F740" s="207" t="s">
        <v>1532</v>
      </c>
      <c r="G740" s="207" t="s">
        <v>1494</v>
      </c>
      <c r="H740" s="207" t="s">
        <v>530</v>
      </c>
      <c r="I740" s="207">
        <v>1</v>
      </c>
      <c r="J740" s="334">
        <v>37</v>
      </c>
      <c r="K740" s="334">
        <v>37</v>
      </c>
      <c r="L740" s="334">
        <v>18.5</v>
      </c>
      <c r="M740" s="336">
        <v>18.5</v>
      </c>
    </row>
    <row r="741" spans="4:13">
      <c r="D741" s="226">
        <v>1567</v>
      </c>
      <c r="E741" s="224">
        <v>44338</v>
      </c>
      <c r="F741" s="207" t="s">
        <v>1532</v>
      </c>
      <c r="G741" s="207" t="s">
        <v>1494</v>
      </c>
      <c r="H741" s="207" t="s">
        <v>534</v>
      </c>
      <c r="I741" s="207">
        <v>5</v>
      </c>
      <c r="J741" s="334">
        <v>9</v>
      </c>
      <c r="K741" s="334">
        <v>45</v>
      </c>
      <c r="L741" s="334">
        <v>4.5</v>
      </c>
      <c r="M741" s="336">
        <v>22.5</v>
      </c>
    </row>
    <row r="742" spans="4:13">
      <c r="D742" s="226">
        <v>1568</v>
      </c>
      <c r="E742" s="224">
        <v>44338</v>
      </c>
      <c r="F742" s="207" t="s">
        <v>1533</v>
      </c>
      <c r="G742" s="207" t="s">
        <v>1499</v>
      </c>
      <c r="H742" s="207" t="s">
        <v>525</v>
      </c>
      <c r="I742" s="207">
        <v>11</v>
      </c>
      <c r="J742" s="334">
        <v>18</v>
      </c>
      <c r="K742" s="334">
        <v>198</v>
      </c>
      <c r="L742" s="334">
        <v>9</v>
      </c>
      <c r="M742" s="336">
        <v>99</v>
      </c>
    </row>
    <row r="743" spans="4:13">
      <c r="D743" s="226">
        <v>1569</v>
      </c>
      <c r="E743" s="224">
        <v>44339</v>
      </c>
      <c r="F743" s="207" t="s">
        <v>1533</v>
      </c>
      <c r="G743" s="207" t="s">
        <v>1497</v>
      </c>
      <c r="H743" s="207" t="s">
        <v>525</v>
      </c>
      <c r="I743" s="207">
        <v>2</v>
      </c>
      <c r="J743" s="334">
        <v>14</v>
      </c>
      <c r="K743" s="334">
        <v>28</v>
      </c>
      <c r="L743" s="334">
        <v>7</v>
      </c>
      <c r="M743" s="336">
        <v>14</v>
      </c>
    </row>
    <row r="744" spans="4:13">
      <c r="D744" s="226">
        <v>1570</v>
      </c>
      <c r="E744" s="224">
        <v>44339</v>
      </c>
      <c r="F744" s="207" t="s">
        <v>1531</v>
      </c>
      <c r="G744" s="207" t="s">
        <v>1499</v>
      </c>
      <c r="H744" s="207" t="s">
        <v>518</v>
      </c>
      <c r="I744" s="207">
        <v>9</v>
      </c>
      <c r="J744" s="334">
        <v>60</v>
      </c>
      <c r="K744" s="334">
        <v>540</v>
      </c>
      <c r="L744" s="334">
        <v>30</v>
      </c>
      <c r="M744" s="336">
        <v>270</v>
      </c>
    </row>
    <row r="745" spans="4:13">
      <c r="D745" s="226">
        <v>1571</v>
      </c>
      <c r="E745" s="224">
        <v>44340</v>
      </c>
      <c r="F745" s="207" t="s">
        <v>1530</v>
      </c>
      <c r="G745" s="207" t="s">
        <v>1497</v>
      </c>
      <c r="H745" s="207" t="s">
        <v>520</v>
      </c>
      <c r="I745" s="207">
        <v>1</v>
      </c>
      <c r="J745" s="334">
        <v>180.67</v>
      </c>
      <c r="K745" s="334">
        <v>180.67</v>
      </c>
      <c r="L745" s="334">
        <v>90.33</v>
      </c>
      <c r="M745" s="336">
        <v>90.33</v>
      </c>
    </row>
    <row r="746" spans="4:13">
      <c r="D746" s="226">
        <v>1572</v>
      </c>
      <c r="E746" s="224">
        <v>44340</v>
      </c>
      <c r="F746" s="207" t="s">
        <v>1532</v>
      </c>
      <c r="G746" s="207" t="s">
        <v>1499</v>
      </c>
      <c r="H746" s="207" t="s">
        <v>520</v>
      </c>
      <c r="I746" s="207">
        <v>2</v>
      </c>
      <c r="J746" s="334">
        <v>287.33</v>
      </c>
      <c r="K746" s="334">
        <v>574.66999999999996</v>
      </c>
      <c r="L746" s="334">
        <v>143.66999999999999</v>
      </c>
      <c r="M746" s="336">
        <v>287.33</v>
      </c>
    </row>
    <row r="747" spans="4:13">
      <c r="D747" s="226">
        <v>1573</v>
      </c>
      <c r="E747" s="224">
        <v>44341</v>
      </c>
      <c r="F747" s="207" t="s">
        <v>1532</v>
      </c>
      <c r="G747" s="207" t="s">
        <v>1499</v>
      </c>
      <c r="H747" s="207" t="s">
        <v>525</v>
      </c>
      <c r="I747" s="207">
        <v>5</v>
      </c>
      <c r="J747" s="334">
        <v>16</v>
      </c>
      <c r="K747" s="334">
        <v>80</v>
      </c>
      <c r="L747" s="334">
        <v>8</v>
      </c>
      <c r="M747" s="336">
        <v>40</v>
      </c>
    </row>
    <row r="748" spans="4:13">
      <c r="D748" s="226">
        <v>1574</v>
      </c>
      <c r="E748" s="224">
        <v>44342</v>
      </c>
      <c r="F748" s="207" t="s">
        <v>1530</v>
      </c>
      <c r="G748" s="207" t="s">
        <v>1497</v>
      </c>
      <c r="H748" s="207" t="s">
        <v>530</v>
      </c>
      <c r="I748" s="207">
        <v>5</v>
      </c>
      <c r="J748" s="334">
        <v>21</v>
      </c>
      <c r="K748" s="334">
        <v>105</v>
      </c>
      <c r="L748" s="334">
        <v>10.5</v>
      </c>
      <c r="M748" s="336">
        <v>52.5</v>
      </c>
    </row>
    <row r="749" spans="4:13">
      <c r="D749" s="226">
        <v>1575</v>
      </c>
      <c r="E749" s="224">
        <v>44343</v>
      </c>
      <c r="F749" s="207" t="s">
        <v>1534</v>
      </c>
      <c r="G749" s="207" t="s">
        <v>1494</v>
      </c>
      <c r="H749" s="207" t="s">
        <v>530</v>
      </c>
      <c r="I749" s="207">
        <v>1</v>
      </c>
      <c r="J749" s="334">
        <v>25</v>
      </c>
      <c r="K749" s="334">
        <v>25</v>
      </c>
      <c r="L749" s="334">
        <v>12.5</v>
      </c>
      <c r="M749" s="336">
        <v>12.5</v>
      </c>
    </row>
    <row r="750" spans="4:13">
      <c r="D750" s="226">
        <v>1576</v>
      </c>
      <c r="E750" s="224">
        <v>44343</v>
      </c>
      <c r="F750" s="207" t="s">
        <v>1531</v>
      </c>
      <c r="G750" s="207" t="s">
        <v>1503</v>
      </c>
      <c r="H750" s="207" t="s">
        <v>525</v>
      </c>
      <c r="I750" s="207">
        <v>2</v>
      </c>
      <c r="J750" s="334">
        <v>50</v>
      </c>
      <c r="K750" s="334">
        <v>100</v>
      </c>
      <c r="L750" s="334">
        <v>25</v>
      </c>
      <c r="M750" s="336">
        <v>50</v>
      </c>
    </row>
    <row r="751" spans="4:13">
      <c r="D751" s="226">
        <v>1577</v>
      </c>
      <c r="E751" s="224">
        <v>44345</v>
      </c>
      <c r="F751" s="207" t="s">
        <v>1533</v>
      </c>
      <c r="G751" s="207" t="s">
        <v>1494</v>
      </c>
      <c r="H751" s="207" t="s">
        <v>518</v>
      </c>
      <c r="I751" s="207">
        <v>1</v>
      </c>
      <c r="J751" s="334">
        <v>174</v>
      </c>
      <c r="K751" s="334">
        <v>174</v>
      </c>
      <c r="L751" s="334">
        <v>87</v>
      </c>
      <c r="M751" s="336">
        <v>87</v>
      </c>
    </row>
    <row r="752" spans="4:13">
      <c r="D752" s="226">
        <v>1578</v>
      </c>
      <c r="E752" s="224">
        <v>44345</v>
      </c>
      <c r="F752" s="207" t="s">
        <v>1534</v>
      </c>
      <c r="G752" s="207" t="s">
        <v>1494</v>
      </c>
      <c r="H752" s="207" t="s">
        <v>530</v>
      </c>
      <c r="I752" s="207">
        <v>1</v>
      </c>
      <c r="J752" s="334">
        <v>34</v>
      </c>
      <c r="K752" s="334">
        <v>34</v>
      </c>
      <c r="L752" s="334">
        <v>17</v>
      </c>
      <c r="M752" s="336">
        <v>17</v>
      </c>
    </row>
    <row r="753" spans="4:13">
      <c r="D753" s="226">
        <v>1579</v>
      </c>
      <c r="E753" s="224">
        <v>44345</v>
      </c>
      <c r="F753" s="207" t="s">
        <v>1530</v>
      </c>
      <c r="G753" s="207" t="s">
        <v>1503</v>
      </c>
      <c r="H753" s="207" t="s">
        <v>525</v>
      </c>
      <c r="I753" s="207">
        <v>8</v>
      </c>
      <c r="J753" s="334">
        <v>29</v>
      </c>
      <c r="K753" s="334">
        <v>232</v>
      </c>
      <c r="L753" s="334">
        <v>14.5</v>
      </c>
      <c r="M753" s="336">
        <v>116</v>
      </c>
    </row>
    <row r="754" spans="4:13">
      <c r="D754" s="226">
        <v>1580</v>
      </c>
      <c r="E754" s="224">
        <v>44346</v>
      </c>
      <c r="F754" s="207" t="s">
        <v>1533</v>
      </c>
      <c r="G754" s="207" t="s">
        <v>1494</v>
      </c>
      <c r="H754" s="207" t="s">
        <v>534</v>
      </c>
      <c r="I754" s="207">
        <v>5</v>
      </c>
      <c r="J754" s="334">
        <v>8</v>
      </c>
      <c r="K754" s="334">
        <v>40</v>
      </c>
      <c r="L754" s="334">
        <v>4</v>
      </c>
      <c r="M754" s="336">
        <v>20</v>
      </c>
    </row>
    <row r="755" spans="4:13">
      <c r="D755" s="226">
        <v>1581</v>
      </c>
      <c r="E755" s="224">
        <v>44347</v>
      </c>
      <c r="F755" s="207" t="s">
        <v>1534</v>
      </c>
      <c r="G755" s="207" t="s">
        <v>1497</v>
      </c>
      <c r="H755" s="207" t="s">
        <v>534</v>
      </c>
      <c r="I755" s="207">
        <v>5</v>
      </c>
      <c r="J755" s="334">
        <v>5</v>
      </c>
      <c r="K755" s="334">
        <v>25</v>
      </c>
      <c r="L755" s="334">
        <v>2.5</v>
      </c>
      <c r="M755" s="336">
        <v>12.5</v>
      </c>
    </row>
    <row r="756" spans="4:13">
      <c r="D756" s="226">
        <v>1582</v>
      </c>
      <c r="E756" s="224">
        <v>44348</v>
      </c>
      <c r="F756" s="207" t="s">
        <v>1533</v>
      </c>
      <c r="G756" s="207" t="s">
        <v>1494</v>
      </c>
      <c r="H756" s="207" t="s">
        <v>525</v>
      </c>
      <c r="I756" s="207">
        <v>12</v>
      </c>
      <c r="J756" s="334">
        <v>40</v>
      </c>
      <c r="K756" s="334">
        <v>480</v>
      </c>
      <c r="L756" s="334">
        <v>20</v>
      </c>
      <c r="M756" s="336">
        <v>240</v>
      </c>
    </row>
    <row r="757" spans="4:13">
      <c r="D757" s="226">
        <v>1583</v>
      </c>
      <c r="E757" s="224">
        <v>44348</v>
      </c>
      <c r="F757" s="207" t="s">
        <v>1532</v>
      </c>
      <c r="G757" s="207" t="s">
        <v>1502</v>
      </c>
      <c r="H757" s="207" t="s">
        <v>534</v>
      </c>
      <c r="I757" s="207">
        <v>7</v>
      </c>
      <c r="J757" s="334">
        <v>7</v>
      </c>
      <c r="K757" s="334">
        <v>49</v>
      </c>
      <c r="L757" s="334">
        <v>3.5</v>
      </c>
      <c r="M757" s="336">
        <v>24.5</v>
      </c>
    </row>
    <row r="758" spans="4:13">
      <c r="D758" s="226">
        <v>1584</v>
      </c>
      <c r="E758" s="224">
        <v>44349</v>
      </c>
      <c r="F758" s="207" t="s">
        <v>1534</v>
      </c>
      <c r="G758" s="207" t="s">
        <v>1499</v>
      </c>
      <c r="H758" s="207" t="s">
        <v>534</v>
      </c>
      <c r="I758" s="207">
        <v>10</v>
      </c>
      <c r="J758" s="334">
        <v>10</v>
      </c>
      <c r="K758" s="334">
        <v>100</v>
      </c>
      <c r="L758" s="334">
        <v>5</v>
      </c>
      <c r="M758" s="336">
        <v>50</v>
      </c>
    </row>
    <row r="759" spans="4:13">
      <c r="D759" s="226">
        <v>1585</v>
      </c>
      <c r="E759" s="224">
        <v>44349</v>
      </c>
      <c r="F759" s="207" t="s">
        <v>1533</v>
      </c>
      <c r="G759" s="207" t="s">
        <v>1494</v>
      </c>
      <c r="H759" s="207" t="s">
        <v>534</v>
      </c>
      <c r="I759" s="207">
        <v>6</v>
      </c>
      <c r="J759" s="334">
        <v>7</v>
      </c>
      <c r="K759" s="334">
        <v>42</v>
      </c>
      <c r="L759" s="334">
        <v>3.5</v>
      </c>
      <c r="M759" s="336">
        <v>21</v>
      </c>
    </row>
    <row r="760" spans="4:13">
      <c r="D760" s="226">
        <v>1586</v>
      </c>
      <c r="E760" s="224">
        <v>44351</v>
      </c>
      <c r="F760" s="207" t="s">
        <v>1534</v>
      </c>
      <c r="G760" s="207" t="s">
        <v>1497</v>
      </c>
      <c r="H760" s="207" t="s">
        <v>530</v>
      </c>
      <c r="I760" s="207">
        <v>5</v>
      </c>
      <c r="J760" s="334">
        <v>50</v>
      </c>
      <c r="K760" s="334">
        <v>250</v>
      </c>
      <c r="L760" s="334">
        <v>25</v>
      </c>
      <c r="M760" s="336">
        <v>125</v>
      </c>
    </row>
    <row r="761" spans="4:13">
      <c r="D761" s="226">
        <v>1587</v>
      </c>
      <c r="E761" s="224">
        <v>44353</v>
      </c>
      <c r="F761" s="207" t="s">
        <v>1533</v>
      </c>
      <c r="G761" s="207" t="s">
        <v>1494</v>
      </c>
      <c r="H761" s="207" t="s">
        <v>525</v>
      </c>
      <c r="I761" s="207">
        <v>4</v>
      </c>
      <c r="J761" s="334">
        <v>40</v>
      </c>
      <c r="K761" s="334">
        <v>160</v>
      </c>
      <c r="L761" s="334">
        <v>20</v>
      </c>
      <c r="M761" s="336">
        <v>80</v>
      </c>
    </row>
    <row r="762" spans="4:13">
      <c r="D762" s="226">
        <v>1588</v>
      </c>
      <c r="E762" s="224">
        <v>44353</v>
      </c>
      <c r="F762" s="207" t="s">
        <v>1534</v>
      </c>
      <c r="G762" s="207" t="s">
        <v>1503</v>
      </c>
      <c r="H762" s="207" t="s">
        <v>518</v>
      </c>
      <c r="I762" s="207">
        <v>9</v>
      </c>
      <c r="J762" s="334">
        <v>202</v>
      </c>
      <c r="K762" s="334">
        <v>1818</v>
      </c>
      <c r="L762" s="334">
        <v>101</v>
      </c>
      <c r="M762" s="336">
        <v>909</v>
      </c>
    </row>
    <row r="763" spans="4:13">
      <c r="D763" s="226">
        <v>1589</v>
      </c>
      <c r="E763" s="224">
        <v>44353</v>
      </c>
      <c r="F763" s="207" t="s">
        <v>1534</v>
      </c>
      <c r="G763" s="207" t="s">
        <v>1503</v>
      </c>
      <c r="H763" s="207" t="s">
        <v>525</v>
      </c>
      <c r="I763" s="207">
        <v>1</v>
      </c>
      <c r="J763" s="334">
        <v>45</v>
      </c>
      <c r="K763" s="334">
        <v>45</v>
      </c>
      <c r="L763" s="334">
        <v>22.5</v>
      </c>
      <c r="M763" s="336">
        <v>22.5</v>
      </c>
    </row>
    <row r="764" spans="4:13">
      <c r="D764" s="226">
        <v>1590</v>
      </c>
      <c r="E764" s="224">
        <v>44353</v>
      </c>
      <c r="F764" s="207" t="s">
        <v>1533</v>
      </c>
      <c r="G764" s="207" t="s">
        <v>1499</v>
      </c>
      <c r="H764" s="207" t="s">
        <v>534</v>
      </c>
      <c r="I764" s="207">
        <v>7</v>
      </c>
      <c r="J764" s="334">
        <v>8</v>
      </c>
      <c r="K764" s="334">
        <v>56</v>
      </c>
      <c r="L764" s="334">
        <v>4</v>
      </c>
      <c r="M764" s="336">
        <v>28</v>
      </c>
    </row>
    <row r="765" spans="4:13">
      <c r="D765" s="226">
        <v>1591</v>
      </c>
      <c r="E765" s="224">
        <v>44353</v>
      </c>
      <c r="F765" s="207" t="s">
        <v>1532</v>
      </c>
      <c r="G765" s="207" t="s">
        <v>1499</v>
      </c>
      <c r="H765" s="207" t="s">
        <v>518</v>
      </c>
      <c r="I765" s="207">
        <v>5</v>
      </c>
      <c r="J765" s="334">
        <v>89</v>
      </c>
      <c r="K765" s="334">
        <v>445</v>
      </c>
      <c r="L765" s="334">
        <v>44.5</v>
      </c>
      <c r="M765" s="336">
        <v>222.5</v>
      </c>
    </row>
    <row r="766" spans="4:13">
      <c r="D766" s="226">
        <v>1592</v>
      </c>
      <c r="E766" s="224">
        <v>44354</v>
      </c>
      <c r="F766" s="207" t="s">
        <v>1533</v>
      </c>
      <c r="G766" s="207" t="s">
        <v>1497</v>
      </c>
      <c r="H766" s="207" t="s">
        <v>520</v>
      </c>
      <c r="I766" s="207">
        <v>2</v>
      </c>
      <c r="J766" s="334">
        <v>414.67</v>
      </c>
      <c r="K766" s="334">
        <v>829.33</v>
      </c>
      <c r="L766" s="334">
        <v>207.33</v>
      </c>
      <c r="M766" s="336">
        <v>414.67</v>
      </c>
    </row>
    <row r="767" spans="4:13">
      <c r="D767" s="226">
        <v>1593</v>
      </c>
      <c r="E767" s="224">
        <v>44354</v>
      </c>
      <c r="F767" s="207" t="s">
        <v>1534</v>
      </c>
      <c r="G767" s="207" t="s">
        <v>1502</v>
      </c>
      <c r="H767" s="207" t="s">
        <v>534</v>
      </c>
      <c r="I767" s="207">
        <v>6</v>
      </c>
      <c r="J767" s="334">
        <v>6</v>
      </c>
      <c r="K767" s="334">
        <v>36</v>
      </c>
      <c r="L767" s="334">
        <v>3</v>
      </c>
      <c r="M767" s="336">
        <v>18</v>
      </c>
    </row>
    <row r="768" spans="4:13">
      <c r="D768" s="226">
        <v>1594</v>
      </c>
      <c r="E768" s="224">
        <v>44354</v>
      </c>
      <c r="F768" s="207" t="s">
        <v>1531</v>
      </c>
      <c r="G768" s="207" t="s">
        <v>1494</v>
      </c>
      <c r="H768" s="207" t="s">
        <v>525</v>
      </c>
      <c r="I768" s="207">
        <v>10</v>
      </c>
      <c r="J768" s="334">
        <v>35</v>
      </c>
      <c r="K768" s="334">
        <v>350</v>
      </c>
      <c r="L768" s="334">
        <v>17.5</v>
      </c>
      <c r="M768" s="336">
        <v>175</v>
      </c>
    </row>
    <row r="769" spans="4:13">
      <c r="D769" s="226">
        <v>1595</v>
      </c>
      <c r="E769" s="224">
        <v>44355</v>
      </c>
      <c r="F769" s="207" t="s">
        <v>1533</v>
      </c>
      <c r="G769" s="207" t="s">
        <v>1494</v>
      </c>
      <c r="H769" s="207" t="s">
        <v>525</v>
      </c>
      <c r="I769" s="207">
        <v>1</v>
      </c>
      <c r="J769" s="334">
        <v>28</v>
      </c>
      <c r="K769" s="334">
        <v>28</v>
      </c>
      <c r="L769" s="334">
        <v>14</v>
      </c>
      <c r="M769" s="336">
        <v>14</v>
      </c>
    </row>
    <row r="770" spans="4:13">
      <c r="D770" s="226">
        <v>1596</v>
      </c>
      <c r="E770" s="224">
        <v>44355</v>
      </c>
      <c r="F770" s="207" t="s">
        <v>1533</v>
      </c>
      <c r="G770" s="207" t="s">
        <v>1503</v>
      </c>
      <c r="H770" s="207" t="s">
        <v>525</v>
      </c>
      <c r="I770" s="207">
        <v>1</v>
      </c>
      <c r="J770" s="334">
        <v>26</v>
      </c>
      <c r="K770" s="334">
        <v>26</v>
      </c>
      <c r="L770" s="334">
        <v>13</v>
      </c>
      <c r="M770" s="336">
        <v>13</v>
      </c>
    </row>
    <row r="771" spans="4:13">
      <c r="D771" s="226">
        <v>1597</v>
      </c>
      <c r="E771" s="224">
        <v>44355</v>
      </c>
      <c r="F771" s="207" t="s">
        <v>1534</v>
      </c>
      <c r="G771" s="207" t="s">
        <v>1502</v>
      </c>
      <c r="H771" s="207" t="s">
        <v>520</v>
      </c>
      <c r="I771" s="207">
        <v>2</v>
      </c>
      <c r="J771" s="334">
        <v>324.67</v>
      </c>
      <c r="K771" s="334">
        <v>649.33000000000004</v>
      </c>
      <c r="L771" s="334">
        <v>162.33000000000001</v>
      </c>
      <c r="M771" s="336">
        <v>324.67</v>
      </c>
    </row>
    <row r="772" spans="4:13">
      <c r="D772" s="226">
        <v>1598</v>
      </c>
      <c r="E772" s="224">
        <v>44356</v>
      </c>
      <c r="F772" s="207" t="s">
        <v>1530</v>
      </c>
      <c r="G772" s="207" t="s">
        <v>1502</v>
      </c>
      <c r="H772" s="207" t="s">
        <v>520</v>
      </c>
      <c r="I772" s="207">
        <v>2</v>
      </c>
      <c r="J772" s="334">
        <v>92</v>
      </c>
      <c r="K772" s="334">
        <v>184</v>
      </c>
      <c r="L772" s="334">
        <v>46</v>
      </c>
      <c r="M772" s="336">
        <v>92</v>
      </c>
    </row>
    <row r="773" spans="4:13">
      <c r="D773" s="226">
        <v>1599</v>
      </c>
      <c r="E773" s="224">
        <v>44356</v>
      </c>
      <c r="F773" s="207" t="s">
        <v>1531</v>
      </c>
      <c r="G773" s="207" t="s">
        <v>1502</v>
      </c>
      <c r="H773" s="207" t="s">
        <v>518</v>
      </c>
      <c r="I773" s="207">
        <v>1</v>
      </c>
      <c r="J773" s="334">
        <v>14</v>
      </c>
      <c r="K773" s="334">
        <v>14</v>
      </c>
      <c r="L773" s="334">
        <v>7</v>
      </c>
      <c r="M773" s="336">
        <v>7</v>
      </c>
    </row>
    <row r="774" spans="4:13">
      <c r="D774" s="226">
        <v>1600</v>
      </c>
      <c r="E774" s="224">
        <v>44357</v>
      </c>
      <c r="F774" s="207" t="s">
        <v>1532</v>
      </c>
      <c r="G774" s="207" t="s">
        <v>1499</v>
      </c>
      <c r="H774" s="207" t="s">
        <v>534</v>
      </c>
      <c r="I774" s="207">
        <v>8</v>
      </c>
      <c r="J774" s="334">
        <v>10</v>
      </c>
      <c r="K774" s="334">
        <v>80</v>
      </c>
      <c r="L774" s="334">
        <v>5</v>
      </c>
      <c r="M774" s="336">
        <v>40</v>
      </c>
    </row>
    <row r="775" spans="4:13">
      <c r="D775" s="226">
        <v>1601</v>
      </c>
      <c r="E775" s="224">
        <v>44357</v>
      </c>
      <c r="F775" s="207" t="s">
        <v>1530</v>
      </c>
      <c r="G775" s="207" t="s">
        <v>1497</v>
      </c>
      <c r="H775" s="207" t="s">
        <v>520</v>
      </c>
      <c r="I775" s="207">
        <v>1</v>
      </c>
      <c r="J775" s="334">
        <v>334</v>
      </c>
      <c r="K775" s="334">
        <v>334</v>
      </c>
      <c r="L775" s="334">
        <v>167</v>
      </c>
      <c r="M775" s="336">
        <v>167</v>
      </c>
    </row>
    <row r="776" spans="4:13">
      <c r="D776" s="226">
        <v>1602</v>
      </c>
      <c r="E776" s="224">
        <v>44359</v>
      </c>
      <c r="F776" s="207" t="s">
        <v>1530</v>
      </c>
      <c r="G776" s="207" t="s">
        <v>1494</v>
      </c>
      <c r="H776" s="207" t="s">
        <v>525</v>
      </c>
      <c r="I776" s="207">
        <v>16</v>
      </c>
      <c r="J776" s="334">
        <v>29</v>
      </c>
      <c r="K776" s="334">
        <v>464</v>
      </c>
      <c r="L776" s="334">
        <v>14.5</v>
      </c>
      <c r="M776" s="336">
        <v>232</v>
      </c>
    </row>
    <row r="777" spans="4:13">
      <c r="D777" s="226">
        <v>1603</v>
      </c>
      <c r="E777" s="224">
        <v>44359</v>
      </c>
      <c r="F777" s="207" t="s">
        <v>1531</v>
      </c>
      <c r="G777" s="207" t="s">
        <v>1502</v>
      </c>
      <c r="H777" s="207" t="s">
        <v>525</v>
      </c>
      <c r="I777" s="207">
        <v>8</v>
      </c>
      <c r="J777" s="334">
        <v>5</v>
      </c>
      <c r="K777" s="334">
        <v>40</v>
      </c>
      <c r="L777" s="334">
        <v>2.5</v>
      </c>
      <c r="M777" s="336">
        <v>20</v>
      </c>
    </row>
    <row r="778" spans="4:13">
      <c r="D778" s="226">
        <v>1604</v>
      </c>
      <c r="E778" s="224">
        <v>44361</v>
      </c>
      <c r="F778" s="207" t="s">
        <v>1532</v>
      </c>
      <c r="G778" s="207" t="s">
        <v>1497</v>
      </c>
      <c r="H778" s="207" t="s">
        <v>520</v>
      </c>
      <c r="I778" s="207">
        <v>2</v>
      </c>
      <c r="J778" s="334">
        <v>562.66999999999996</v>
      </c>
      <c r="K778" s="334">
        <v>1125.33</v>
      </c>
      <c r="L778" s="334">
        <v>281.33</v>
      </c>
      <c r="M778" s="336">
        <v>562.66999999999996</v>
      </c>
    </row>
    <row r="779" spans="4:13">
      <c r="D779" s="226">
        <v>1605</v>
      </c>
      <c r="E779" s="224">
        <v>44361</v>
      </c>
      <c r="F779" s="207" t="s">
        <v>1533</v>
      </c>
      <c r="G779" s="207" t="s">
        <v>1494</v>
      </c>
      <c r="H779" s="207" t="s">
        <v>525</v>
      </c>
      <c r="I779" s="207">
        <v>19</v>
      </c>
      <c r="J779" s="334">
        <v>20</v>
      </c>
      <c r="K779" s="334">
        <v>380</v>
      </c>
      <c r="L779" s="334">
        <v>10</v>
      </c>
      <c r="M779" s="336">
        <v>190</v>
      </c>
    </row>
    <row r="780" spans="4:13">
      <c r="D780" s="226">
        <v>1606</v>
      </c>
      <c r="E780" s="224">
        <v>44361</v>
      </c>
      <c r="F780" s="207" t="s">
        <v>1531</v>
      </c>
      <c r="G780" s="207" t="s">
        <v>1494</v>
      </c>
      <c r="H780" s="207" t="s">
        <v>520</v>
      </c>
      <c r="I780" s="207">
        <v>2</v>
      </c>
      <c r="J780" s="334">
        <v>535.33000000000004</v>
      </c>
      <c r="K780" s="334">
        <v>1070.67</v>
      </c>
      <c r="L780" s="334">
        <v>267.67</v>
      </c>
      <c r="M780" s="336">
        <v>535.33000000000004</v>
      </c>
    </row>
    <row r="781" spans="4:13">
      <c r="D781" s="226">
        <v>1607</v>
      </c>
      <c r="E781" s="224">
        <v>44361</v>
      </c>
      <c r="F781" s="207" t="s">
        <v>1531</v>
      </c>
      <c r="G781" s="207" t="s">
        <v>1499</v>
      </c>
      <c r="H781" s="207" t="s">
        <v>525</v>
      </c>
      <c r="I781" s="207">
        <v>4</v>
      </c>
      <c r="J781" s="334">
        <v>9</v>
      </c>
      <c r="K781" s="334">
        <v>36</v>
      </c>
      <c r="L781" s="334">
        <v>4.5</v>
      </c>
      <c r="M781" s="336">
        <v>18</v>
      </c>
    </row>
    <row r="782" spans="4:13">
      <c r="D782" s="226">
        <v>1608</v>
      </c>
      <c r="E782" s="224">
        <v>44361</v>
      </c>
      <c r="F782" s="207" t="s">
        <v>1530</v>
      </c>
      <c r="G782" s="207" t="s">
        <v>1499</v>
      </c>
      <c r="H782" s="207" t="s">
        <v>520</v>
      </c>
      <c r="I782" s="207">
        <v>2</v>
      </c>
      <c r="J782" s="334">
        <v>136</v>
      </c>
      <c r="K782" s="334">
        <v>272</v>
      </c>
      <c r="L782" s="334">
        <v>68</v>
      </c>
      <c r="M782" s="336">
        <v>136</v>
      </c>
    </row>
    <row r="783" spans="4:13">
      <c r="D783" s="226">
        <v>1609</v>
      </c>
      <c r="E783" s="224">
        <v>44361</v>
      </c>
      <c r="F783" s="207" t="s">
        <v>1534</v>
      </c>
      <c r="G783" s="207" t="s">
        <v>1494</v>
      </c>
      <c r="H783" s="207" t="s">
        <v>518</v>
      </c>
      <c r="I783" s="207">
        <v>1</v>
      </c>
      <c r="J783" s="334">
        <v>149</v>
      </c>
      <c r="K783" s="334">
        <v>149</v>
      </c>
      <c r="L783" s="334">
        <v>74.5</v>
      </c>
      <c r="M783" s="336">
        <v>74.5</v>
      </c>
    </row>
    <row r="784" spans="4:13">
      <c r="D784" s="226">
        <v>1610</v>
      </c>
      <c r="E784" s="224">
        <v>44364</v>
      </c>
      <c r="F784" s="207" t="s">
        <v>1531</v>
      </c>
      <c r="G784" s="207" t="s">
        <v>1503</v>
      </c>
      <c r="H784" s="207" t="s">
        <v>525</v>
      </c>
      <c r="I784" s="207">
        <v>18</v>
      </c>
      <c r="J784" s="334">
        <v>44</v>
      </c>
      <c r="K784" s="334">
        <v>792</v>
      </c>
      <c r="L784" s="334">
        <v>22</v>
      </c>
      <c r="M784" s="336">
        <v>396</v>
      </c>
    </row>
    <row r="785" spans="4:13">
      <c r="D785" s="226">
        <v>1611</v>
      </c>
      <c r="E785" s="224">
        <v>44366</v>
      </c>
      <c r="F785" s="207" t="s">
        <v>1533</v>
      </c>
      <c r="G785" s="207" t="s">
        <v>1503</v>
      </c>
      <c r="H785" s="207" t="s">
        <v>520</v>
      </c>
      <c r="I785" s="207">
        <v>1</v>
      </c>
      <c r="J785" s="334">
        <v>486.15</v>
      </c>
      <c r="K785" s="334">
        <v>486.15</v>
      </c>
      <c r="L785" s="334">
        <v>243.08</v>
      </c>
      <c r="M785" s="336">
        <v>243.08</v>
      </c>
    </row>
    <row r="786" spans="4:13">
      <c r="D786" s="226">
        <v>1612</v>
      </c>
      <c r="E786" s="224">
        <v>44367</v>
      </c>
      <c r="F786" s="207" t="s">
        <v>1530</v>
      </c>
      <c r="G786" s="207" t="s">
        <v>1499</v>
      </c>
      <c r="H786" s="207" t="s">
        <v>525</v>
      </c>
      <c r="I786" s="207">
        <v>13</v>
      </c>
      <c r="J786" s="334">
        <v>19</v>
      </c>
      <c r="K786" s="334">
        <v>247</v>
      </c>
      <c r="L786" s="334">
        <v>9.5</v>
      </c>
      <c r="M786" s="336">
        <v>123.5</v>
      </c>
    </row>
    <row r="787" spans="4:13">
      <c r="D787" s="226">
        <v>1613</v>
      </c>
      <c r="E787" s="224">
        <v>44368</v>
      </c>
      <c r="F787" s="207" t="s">
        <v>1531</v>
      </c>
      <c r="G787" s="207" t="s">
        <v>1494</v>
      </c>
      <c r="H787" s="207" t="s">
        <v>520</v>
      </c>
      <c r="I787" s="207">
        <v>2</v>
      </c>
      <c r="J787" s="334">
        <v>244</v>
      </c>
      <c r="K787" s="334">
        <v>488</v>
      </c>
      <c r="L787" s="334">
        <v>122</v>
      </c>
      <c r="M787" s="336">
        <v>244</v>
      </c>
    </row>
    <row r="788" spans="4:13">
      <c r="D788" s="226">
        <v>1614</v>
      </c>
      <c r="E788" s="224">
        <v>44369</v>
      </c>
      <c r="F788" s="207" t="s">
        <v>1533</v>
      </c>
      <c r="G788" s="207" t="s">
        <v>1503</v>
      </c>
      <c r="H788" s="207" t="s">
        <v>525</v>
      </c>
      <c r="I788" s="207">
        <v>19</v>
      </c>
      <c r="J788" s="334">
        <v>32</v>
      </c>
      <c r="K788" s="334">
        <v>608</v>
      </c>
      <c r="L788" s="334">
        <v>16</v>
      </c>
      <c r="M788" s="336">
        <v>304</v>
      </c>
    </row>
    <row r="789" spans="4:13">
      <c r="D789" s="226">
        <v>1615</v>
      </c>
      <c r="E789" s="224">
        <v>44370</v>
      </c>
      <c r="F789" s="207" t="s">
        <v>1533</v>
      </c>
      <c r="G789" s="207" t="s">
        <v>1497</v>
      </c>
      <c r="H789" s="207" t="s">
        <v>534</v>
      </c>
      <c r="I789" s="207">
        <v>3</v>
      </c>
      <c r="J789" s="334">
        <v>10</v>
      </c>
      <c r="K789" s="334">
        <v>30</v>
      </c>
      <c r="L789" s="334">
        <v>5</v>
      </c>
      <c r="M789" s="336">
        <v>15</v>
      </c>
    </row>
    <row r="790" spans="4:13">
      <c r="D790" s="226">
        <v>1616</v>
      </c>
      <c r="E790" s="224">
        <v>44370</v>
      </c>
      <c r="F790" s="207" t="s">
        <v>1532</v>
      </c>
      <c r="G790" s="207" t="s">
        <v>1499</v>
      </c>
      <c r="H790" s="207" t="s">
        <v>518</v>
      </c>
      <c r="I790" s="207">
        <v>4</v>
      </c>
      <c r="J790" s="334">
        <v>71</v>
      </c>
      <c r="K790" s="334">
        <v>284</v>
      </c>
      <c r="L790" s="334">
        <v>35.5</v>
      </c>
      <c r="M790" s="336">
        <v>142</v>
      </c>
    </row>
    <row r="791" spans="4:13">
      <c r="D791" s="226">
        <v>1617</v>
      </c>
      <c r="E791" s="224">
        <v>44371</v>
      </c>
      <c r="F791" s="207" t="s">
        <v>1533</v>
      </c>
      <c r="G791" s="207" t="s">
        <v>1502</v>
      </c>
      <c r="H791" s="207" t="s">
        <v>530</v>
      </c>
      <c r="I791" s="207">
        <v>2</v>
      </c>
      <c r="J791" s="334">
        <v>49</v>
      </c>
      <c r="K791" s="334">
        <v>98</v>
      </c>
      <c r="L791" s="334">
        <v>24.5</v>
      </c>
      <c r="M791" s="336">
        <v>49</v>
      </c>
    </row>
    <row r="792" spans="4:13">
      <c r="D792" s="226">
        <v>1618</v>
      </c>
      <c r="E792" s="224">
        <v>44371</v>
      </c>
      <c r="F792" s="207" t="s">
        <v>1530</v>
      </c>
      <c r="G792" s="207" t="s">
        <v>1503</v>
      </c>
      <c r="H792" s="207" t="s">
        <v>530</v>
      </c>
      <c r="I792" s="207">
        <v>2</v>
      </c>
      <c r="J792" s="334">
        <v>41</v>
      </c>
      <c r="K792" s="334">
        <v>82</v>
      </c>
      <c r="L792" s="334">
        <v>20.5</v>
      </c>
      <c r="M792" s="336">
        <v>41</v>
      </c>
    </row>
    <row r="793" spans="4:13">
      <c r="D793" s="226">
        <v>1619</v>
      </c>
      <c r="E793" s="224">
        <v>44372</v>
      </c>
      <c r="F793" s="207" t="s">
        <v>1534</v>
      </c>
      <c r="G793" s="207" t="s">
        <v>1497</v>
      </c>
      <c r="H793" s="207" t="s">
        <v>520</v>
      </c>
      <c r="I793" s="207">
        <v>2</v>
      </c>
      <c r="J793" s="334">
        <v>371.33</v>
      </c>
      <c r="K793" s="334">
        <v>742.67</v>
      </c>
      <c r="L793" s="334">
        <v>185.67</v>
      </c>
      <c r="M793" s="336">
        <v>371.33</v>
      </c>
    </row>
    <row r="794" spans="4:13">
      <c r="D794" s="226">
        <v>1620</v>
      </c>
      <c r="E794" s="224">
        <v>44375</v>
      </c>
      <c r="F794" s="207" t="s">
        <v>1531</v>
      </c>
      <c r="G794" s="207" t="s">
        <v>1497</v>
      </c>
      <c r="H794" s="207" t="s">
        <v>530</v>
      </c>
      <c r="I794" s="207">
        <v>6</v>
      </c>
      <c r="J794" s="334">
        <v>31</v>
      </c>
      <c r="K794" s="334">
        <v>186</v>
      </c>
      <c r="L794" s="334">
        <v>15.5</v>
      </c>
      <c r="M794" s="336">
        <v>93</v>
      </c>
    </row>
    <row r="795" spans="4:13">
      <c r="D795" s="226">
        <v>1621</v>
      </c>
      <c r="E795" s="224">
        <v>44376</v>
      </c>
      <c r="F795" s="207" t="s">
        <v>1531</v>
      </c>
      <c r="G795" s="207" t="s">
        <v>1503</v>
      </c>
      <c r="H795" s="207" t="s">
        <v>534</v>
      </c>
      <c r="I795" s="207">
        <v>4</v>
      </c>
      <c r="J795" s="334">
        <v>5</v>
      </c>
      <c r="K795" s="334">
        <v>20</v>
      </c>
      <c r="L795" s="334">
        <v>2.5</v>
      </c>
      <c r="M795" s="336">
        <v>10</v>
      </c>
    </row>
    <row r="796" spans="4:13">
      <c r="D796" s="226">
        <v>1622</v>
      </c>
      <c r="E796" s="224">
        <v>44379</v>
      </c>
      <c r="F796" s="207" t="s">
        <v>1532</v>
      </c>
      <c r="G796" s="207" t="s">
        <v>1503</v>
      </c>
      <c r="H796" s="207" t="s">
        <v>520</v>
      </c>
      <c r="I796" s="207">
        <v>2</v>
      </c>
      <c r="J796" s="334">
        <v>511.28</v>
      </c>
      <c r="K796" s="334">
        <v>1022.56</v>
      </c>
      <c r="L796" s="334">
        <v>255.64</v>
      </c>
      <c r="M796" s="336">
        <v>511.28</v>
      </c>
    </row>
    <row r="797" spans="4:13">
      <c r="D797" s="226">
        <v>1623</v>
      </c>
      <c r="E797" s="224">
        <v>44380</v>
      </c>
      <c r="F797" s="207" t="s">
        <v>1530</v>
      </c>
      <c r="G797" s="207" t="s">
        <v>1502</v>
      </c>
      <c r="H797" s="207" t="s">
        <v>534</v>
      </c>
      <c r="I797" s="207">
        <v>2</v>
      </c>
      <c r="J797" s="334">
        <v>7</v>
      </c>
      <c r="K797" s="334">
        <v>14</v>
      </c>
      <c r="L797" s="334">
        <v>3.5</v>
      </c>
      <c r="M797" s="336">
        <v>7</v>
      </c>
    </row>
    <row r="798" spans="4:13">
      <c r="D798" s="226">
        <v>1624</v>
      </c>
      <c r="E798" s="224">
        <v>44383</v>
      </c>
      <c r="F798" s="207" t="s">
        <v>1534</v>
      </c>
      <c r="G798" s="207" t="s">
        <v>1497</v>
      </c>
      <c r="H798" s="207" t="s">
        <v>518</v>
      </c>
      <c r="I798" s="207">
        <v>10</v>
      </c>
      <c r="J798" s="334">
        <v>23</v>
      </c>
      <c r="K798" s="334">
        <v>230</v>
      </c>
      <c r="L798" s="334">
        <v>11.5</v>
      </c>
      <c r="M798" s="336">
        <v>115</v>
      </c>
    </row>
    <row r="799" spans="4:13">
      <c r="D799" s="226">
        <v>1625</v>
      </c>
      <c r="E799" s="224">
        <v>44383</v>
      </c>
      <c r="F799" s="207" t="s">
        <v>1533</v>
      </c>
      <c r="G799" s="207" t="s">
        <v>1502</v>
      </c>
      <c r="H799" s="207" t="s">
        <v>520</v>
      </c>
      <c r="I799" s="207">
        <v>1</v>
      </c>
      <c r="J799" s="334">
        <v>251.33</v>
      </c>
      <c r="K799" s="334">
        <v>251.33</v>
      </c>
      <c r="L799" s="334">
        <v>125.67</v>
      </c>
      <c r="M799" s="336">
        <v>125.67</v>
      </c>
    </row>
    <row r="800" spans="4:13">
      <c r="D800" s="226">
        <v>1626</v>
      </c>
      <c r="E800" s="224">
        <v>44384</v>
      </c>
      <c r="F800" s="207" t="s">
        <v>1531</v>
      </c>
      <c r="G800" s="207" t="s">
        <v>1499</v>
      </c>
      <c r="H800" s="207" t="s">
        <v>518</v>
      </c>
      <c r="I800" s="207">
        <v>8</v>
      </c>
      <c r="J800" s="334">
        <v>73</v>
      </c>
      <c r="K800" s="334">
        <v>584</v>
      </c>
      <c r="L800" s="334">
        <v>36.5</v>
      </c>
      <c r="M800" s="336">
        <v>292</v>
      </c>
    </row>
    <row r="801" spans="4:13">
      <c r="D801" s="226">
        <v>1627</v>
      </c>
      <c r="E801" s="224">
        <v>44385</v>
      </c>
      <c r="F801" s="207" t="s">
        <v>1534</v>
      </c>
      <c r="G801" s="207" t="s">
        <v>1502</v>
      </c>
      <c r="H801" s="207" t="s">
        <v>525</v>
      </c>
      <c r="I801" s="207">
        <v>11</v>
      </c>
      <c r="J801" s="334">
        <v>8</v>
      </c>
      <c r="K801" s="334">
        <v>88</v>
      </c>
      <c r="L801" s="334">
        <v>4</v>
      </c>
      <c r="M801" s="336">
        <v>44</v>
      </c>
    </row>
    <row r="802" spans="4:13">
      <c r="D802" s="226">
        <v>1628</v>
      </c>
      <c r="E802" s="224">
        <v>44386</v>
      </c>
      <c r="F802" s="207" t="s">
        <v>1533</v>
      </c>
      <c r="G802" s="207" t="s">
        <v>1499</v>
      </c>
      <c r="H802" s="207" t="s">
        <v>534</v>
      </c>
      <c r="I802" s="207">
        <v>9</v>
      </c>
      <c r="J802" s="334">
        <v>5</v>
      </c>
      <c r="K802" s="334">
        <v>45</v>
      </c>
      <c r="L802" s="334">
        <v>2.5</v>
      </c>
      <c r="M802" s="336">
        <v>22.5</v>
      </c>
    </row>
    <row r="803" spans="4:13">
      <c r="D803" s="226">
        <v>1629</v>
      </c>
      <c r="E803" s="224">
        <v>44386</v>
      </c>
      <c r="F803" s="207" t="s">
        <v>1532</v>
      </c>
      <c r="G803" s="207" t="s">
        <v>1502</v>
      </c>
      <c r="H803" s="207" t="s">
        <v>518</v>
      </c>
      <c r="I803" s="207">
        <v>8</v>
      </c>
      <c r="J803" s="334">
        <v>10</v>
      </c>
      <c r="K803" s="334">
        <v>80</v>
      </c>
      <c r="L803" s="334">
        <v>5</v>
      </c>
      <c r="M803" s="336">
        <v>40</v>
      </c>
    </row>
    <row r="804" spans="4:13">
      <c r="D804" s="226">
        <v>1630</v>
      </c>
      <c r="E804" s="224">
        <v>44386</v>
      </c>
      <c r="F804" s="207" t="s">
        <v>1534</v>
      </c>
      <c r="G804" s="207" t="s">
        <v>1503</v>
      </c>
      <c r="H804" s="207" t="s">
        <v>520</v>
      </c>
      <c r="I804" s="207">
        <v>2</v>
      </c>
      <c r="J804" s="334">
        <v>498.46</v>
      </c>
      <c r="K804" s="334">
        <v>996.92</v>
      </c>
      <c r="L804" s="334">
        <v>249.23</v>
      </c>
      <c r="M804" s="336">
        <v>498.46</v>
      </c>
    </row>
    <row r="805" spans="4:13">
      <c r="D805" s="226">
        <v>1631</v>
      </c>
      <c r="E805" s="224">
        <v>44387</v>
      </c>
      <c r="F805" s="207" t="s">
        <v>1534</v>
      </c>
      <c r="G805" s="207" t="s">
        <v>1494</v>
      </c>
      <c r="H805" s="207" t="s">
        <v>525</v>
      </c>
      <c r="I805" s="207">
        <v>20</v>
      </c>
      <c r="J805" s="334">
        <v>22</v>
      </c>
      <c r="K805" s="334">
        <v>440</v>
      </c>
      <c r="L805" s="334">
        <v>11</v>
      </c>
      <c r="M805" s="336">
        <v>220</v>
      </c>
    </row>
    <row r="806" spans="4:13">
      <c r="D806" s="226">
        <v>1632</v>
      </c>
      <c r="E806" s="224">
        <v>44388</v>
      </c>
      <c r="F806" s="207" t="s">
        <v>1534</v>
      </c>
      <c r="G806" s="207" t="s">
        <v>1503</v>
      </c>
      <c r="H806" s="207" t="s">
        <v>525</v>
      </c>
      <c r="I806" s="207">
        <v>9</v>
      </c>
      <c r="J806" s="334">
        <v>23</v>
      </c>
      <c r="K806" s="334">
        <v>207</v>
      </c>
      <c r="L806" s="334">
        <v>11.5</v>
      </c>
      <c r="M806" s="336">
        <v>103.5</v>
      </c>
    </row>
    <row r="807" spans="4:13">
      <c r="D807" s="226">
        <v>1633</v>
      </c>
      <c r="E807" s="224">
        <v>44388</v>
      </c>
      <c r="F807" s="207" t="s">
        <v>1534</v>
      </c>
      <c r="G807" s="207" t="s">
        <v>1503</v>
      </c>
      <c r="H807" s="207" t="s">
        <v>518</v>
      </c>
      <c r="I807" s="207">
        <v>5</v>
      </c>
      <c r="J807" s="334">
        <v>243</v>
      </c>
      <c r="K807" s="334">
        <v>1215</v>
      </c>
      <c r="L807" s="334">
        <v>121.5</v>
      </c>
      <c r="M807" s="336">
        <v>607.5</v>
      </c>
    </row>
    <row r="808" spans="4:13">
      <c r="D808" s="226">
        <v>1634</v>
      </c>
      <c r="E808" s="224">
        <v>44388</v>
      </c>
      <c r="F808" s="207" t="s">
        <v>1531</v>
      </c>
      <c r="G808" s="207" t="s">
        <v>1502</v>
      </c>
      <c r="H808" s="207" t="s">
        <v>534</v>
      </c>
      <c r="I808" s="207">
        <v>5</v>
      </c>
      <c r="J808" s="334">
        <v>5</v>
      </c>
      <c r="K808" s="334">
        <v>25</v>
      </c>
      <c r="L808" s="334">
        <v>2.5</v>
      </c>
      <c r="M808" s="336">
        <v>12.5</v>
      </c>
    </row>
    <row r="809" spans="4:13">
      <c r="D809" s="226">
        <v>1635</v>
      </c>
      <c r="E809" s="224">
        <v>44389</v>
      </c>
      <c r="F809" s="207" t="s">
        <v>1533</v>
      </c>
      <c r="G809" s="207" t="s">
        <v>1502</v>
      </c>
      <c r="H809" s="207" t="s">
        <v>520</v>
      </c>
      <c r="I809" s="207">
        <v>1</v>
      </c>
      <c r="J809" s="334">
        <v>210</v>
      </c>
      <c r="K809" s="334">
        <v>210</v>
      </c>
      <c r="L809" s="334">
        <v>105</v>
      </c>
      <c r="M809" s="336">
        <v>105</v>
      </c>
    </row>
    <row r="810" spans="4:13">
      <c r="D810" s="226">
        <v>1636</v>
      </c>
      <c r="E810" s="224">
        <v>44390</v>
      </c>
      <c r="F810" s="207" t="s">
        <v>1533</v>
      </c>
      <c r="G810" s="207" t="s">
        <v>1503</v>
      </c>
      <c r="H810" s="207" t="s">
        <v>520</v>
      </c>
      <c r="I810" s="207">
        <v>2</v>
      </c>
      <c r="J810" s="334">
        <v>554.87</v>
      </c>
      <c r="K810" s="334">
        <v>1109.74</v>
      </c>
      <c r="L810" s="334">
        <v>277.44</v>
      </c>
      <c r="M810" s="336">
        <v>554.87</v>
      </c>
    </row>
    <row r="811" spans="4:13">
      <c r="D811" s="226">
        <v>1637</v>
      </c>
      <c r="E811" s="224">
        <v>44390</v>
      </c>
      <c r="F811" s="207" t="s">
        <v>1530</v>
      </c>
      <c r="G811" s="207" t="s">
        <v>1499</v>
      </c>
      <c r="H811" s="207" t="s">
        <v>534</v>
      </c>
      <c r="I811" s="207">
        <v>4</v>
      </c>
      <c r="J811" s="334">
        <v>6</v>
      </c>
      <c r="K811" s="334">
        <v>24</v>
      </c>
      <c r="L811" s="334">
        <v>3</v>
      </c>
      <c r="M811" s="336">
        <v>12</v>
      </c>
    </row>
    <row r="812" spans="4:13">
      <c r="D812" s="226">
        <v>1638</v>
      </c>
      <c r="E812" s="224">
        <v>44391</v>
      </c>
      <c r="F812" s="207" t="s">
        <v>1533</v>
      </c>
      <c r="G812" s="207" t="s">
        <v>1502</v>
      </c>
      <c r="H812" s="207" t="s">
        <v>518</v>
      </c>
      <c r="I812" s="207">
        <v>7</v>
      </c>
      <c r="J812" s="334">
        <v>10</v>
      </c>
      <c r="K812" s="334">
        <v>70</v>
      </c>
      <c r="L812" s="334">
        <v>5</v>
      </c>
      <c r="M812" s="336">
        <v>35</v>
      </c>
    </row>
    <row r="813" spans="4:13">
      <c r="D813" s="226">
        <v>1639</v>
      </c>
      <c r="E813" s="224">
        <v>44391</v>
      </c>
      <c r="F813" s="207" t="s">
        <v>1534</v>
      </c>
      <c r="G813" s="207" t="s">
        <v>1503</v>
      </c>
      <c r="H813" s="207" t="s">
        <v>530</v>
      </c>
      <c r="I813" s="207">
        <v>9</v>
      </c>
      <c r="J813" s="334">
        <v>23</v>
      </c>
      <c r="K813" s="334">
        <v>207</v>
      </c>
      <c r="L813" s="334">
        <v>11.5</v>
      </c>
      <c r="M813" s="336">
        <v>103.5</v>
      </c>
    </row>
    <row r="814" spans="4:13">
      <c r="D814" s="226">
        <v>1640</v>
      </c>
      <c r="E814" s="224">
        <v>44391</v>
      </c>
      <c r="F814" s="207" t="s">
        <v>1532</v>
      </c>
      <c r="G814" s="207" t="s">
        <v>1499</v>
      </c>
      <c r="H814" s="207" t="s">
        <v>520</v>
      </c>
      <c r="I814" s="207">
        <v>2</v>
      </c>
      <c r="J814" s="334">
        <v>282</v>
      </c>
      <c r="K814" s="334">
        <v>564</v>
      </c>
      <c r="L814" s="334">
        <v>141</v>
      </c>
      <c r="M814" s="336">
        <v>282</v>
      </c>
    </row>
    <row r="815" spans="4:13">
      <c r="D815" s="226">
        <v>1641</v>
      </c>
      <c r="E815" s="224">
        <v>44392</v>
      </c>
      <c r="F815" s="207" t="s">
        <v>1534</v>
      </c>
      <c r="G815" s="207" t="s">
        <v>1503</v>
      </c>
      <c r="H815" s="207" t="s">
        <v>534</v>
      </c>
      <c r="I815" s="207">
        <v>2</v>
      </c>
      <c r="J815" s="334">
        <v>7</v>
      </c>
      <c r="K815" s="334">
        <v>14</v>
      </c>
      <c r="L815" s="334">
        <v>3.5</v>
      </c>
      <c r="M815" s="336">
        <v>7</v>
      </c>
    </row>
    <row r="816" spans="4:13">
      <c r="D816" s="226">
        <v>1642</v>
      </c>
      <c r="E816" s="224">
        <v>44392</v>
      </c>
      <c r="F816" s="207" t="s">
        <v>1534</v>
      </c>
      <c r="G816" s="207" t="s">
        <v>1503</v>
      </c>
      <c r="H816" s="207" t="s">
        <v>520</v>
      </c>
      <c r="I816" s="207">
        <v>1</v>
      </c>
      <c r="J816" s="334">
        <v>400</v>
      </c>
      <c r="K816" s="334">
        <v>400</v>
      </c>
      <c r="L816" s="334">
        <v>200</v>
      </c>
      <c r="M816" s="336">
        <v>200</v>
      </c>
    </row>
    <row r="817" spans="4:13">
      <c r="D817" s="226">
        <v>1643</v>
      </c>
      <c r="E817" s="224">
        <v>44392</v>
      </c>
      <c r="F817" s="207" t="s">
        <v>1532</v>
      </c>
      <c r="G817" s="207" t="s">
        <v>1499</v>
      </c>
      <c r="H817" s="207" t="s">
        <v>518</v>
      </c>
      <c r="I817" s="207">
        <v>10</v>
      </c>
      <c r="J817" s="334">
        <v>73</v>
      </c>
      <c r="K817" s="334">
        <v>730</v>
      </c>
      <c r="L817" s="334">
        <v>36.5</v>
      </c>
      <c r="M817" s="336">
        <v>365</v>
      </c>
    </row>
    <row r="818" spans="4:13">
      <c r="D818" s="226">
        <v>1644</v>
      </c>
      <c r="E818" s="224">
        <v>44393</v>
      </c>
      <c r="F818" s="207" t="s">
        <v>1533</v>
      </c>
      <c r="G818" s="207" t="s">
        <v>1502</v>
      </c>
      <c r="H818" s="207" t="s">
        <v>534</v>
      </c>
      <c r="I818" s="207">
        <v>9</v>
      </c>
      <c r="J818" s="334">
        <v>12</v>
      </c>
      <c r="K818" s="334">
        <v>108</v>
      </c>
      <c r="L818" s="334">
        <v>6</v>
      </c>
      <c r="M818" s="336">
        <v>54</v>
      </c>
    </row>
    <row r="819" spans="4:13">
      <c r="D819" s="226">
        <v>1645</v>
      </c>
      <c r="E819" s="224">
        <v>44393</v>
      </c>
      <c r="F819" s="207" t="s">
        <v>1533</v>
      </c>
      <c r="G819" s="207" t="s">
        <v>1502</v>
      </c>
      <c r="H819" s="207" t="s">
        <v>518</v>
      </c>
      <c r="I819" s="207">
        <v>9</v>
      </c>
      <c r="J819" s="334">
        <v>89</v>
      </c>
      <c r="K819" s="334">
        <v>801</v>
      </c>
      <c r="L819" s="334">
        <v>44.5</v>
      </c>
      <c r="M819" s="336">
        <v>400.5</v>
      </c>
    </row>
    <row r="820" spans="4:13">
      <c r="D820" s="226">
        <v>1646</v>
      </c>
      <c r="E820" s="224">
        <v>44393</v>
      </c>
      <c r="F820" s="207" t="s">
        <v>1530</v>
      </c>
      <c r="G820" s="207" t="s">
        <v>1494</v>
      </c>
      <c r="H820" s="207" t="s">
        <v>534</v>
      </c>
      <c r="I820" s="207">
        <v>4</v>
      </c>
      <c r="J820" s="334">
        <v>9</v>
      </c>
      <c r="K820" s="334">
        <v>36</v>
      </c>
      <c r="L820" s="334">
        <v>4.5</v>
      </c>
      <c r="M820" s="336">
        <v>18</v>
      </c>
    </row>
    <row r="821" spans="4:13">
      <c r="D821" s="226">
        <v>1647</v>
      </c>
      <c r="E821" s="224">
        <v>44394</v>
      </c>
      <c r="F821" s="207" t="s">
        <v>1532</v>
      </c>
      <c r="G821" s="207" t="s">
        <v>1499</v>
      </c>
      <c r="H821" s="207" t="s">
        <v>534</v>
      </c>
      <c r="I821" s="207">
        <v>2</v>
      </c>
      <c r="J821" s="334">
        <v>14</v>
      </c>
      <c r="K821" s="334">
        <v>28</v>
      </c>
      <c r="L821" s="334">
        <v>7</v>
      </c>
      <c r="M821" s="336">
        <v>14</v>
      </c>
    </row>
    <row r="822" spans="4:13">
      <c r="D822" s="226">
        <v>1648</v>
      </c>
      <c r="E822" s="224">
        <v>44394</v>
      </c>
      <c r="F822" s="207" t="s">
        <v>1532</v>
      </c>
      <c r="G822" s="207" t="s">
        <v>1499</v>
      </c>
      <c r="H822" s="207" t="s">
        <v>530</v>
      </c>
      <c r="I822" s="207">
        <v>4</v>
      </c>
      <c r="J822" s="334">
        <v>27</v>
      </c>
      <c r="K822" s="334">
        <v>108</v>
      </c>
      <c r="L822" s="334">
        <v>13.5</v>
      </c>
      <c r="M822" s="336">
        <v>54</v>
      </c>
    </row>
    <row r="823" spans="4:13">
      <c r="D823" s="226">
        <v>1649</v>
      </c>
      <c r="E823" s="224">
        <v>44394</v>
      </c>
      <c r="F823" s="207" t="s">
        <v>1533</v>
      </c>
      <c r="G823" s="207" t="s">
        <v>1502</v>
      </c>
      <c r="H823" s="207" t="s">
        <v>518</v>
      </c>
      <c r="I823" s="207">
        <v>6</v>
      </c>
      <c r="J823" s="334">
        <v>61</v>
      </c>
      <c r="K823" s="334">
        <v>366</v>
      </c>
      <c r="L823" s="334">
        <v>30.5</v>
      </c>
      <c r="M823" s="336">
        <v>183</v>
      </c>
    </row>
    <row r="824" spans="4:13">
      <c r="D824" s="226">
        <v>1650</v>
      </c>
      <c r="E824" s="224">
        <v>44395</v>
      </c>
      <c r="F824" s="207" t="s">
        <v>1534</v>
      </c>
      <c r="G824" s="207" t="s">
        <v>1503</v>
      </c>
      <c r="H824" s="207" t="s">
        <v>534</v>
      </c>
      <c r="I824" s="207">
        <v>5</v>
      </c>
      <c r="J824" s="334">
        <v>13</v>
      </c>
      <c r="K824" s="334">
        <v>65</v>
      </c>
      <c r="L824" s="334">
        <v>6.5</v>
      </c>
      <c r="M824" s="336">
        <v>32.5</v>
      </c>
    </row>
    <row r="825" spans="4:13">
      <c r="D825" s="226">
        <v>1651</v>
      </c>
      <c r="E825" s="224">
        <v>44395</v>
      </c>
      <c r="F825" s="207" t="s">
        <v>1533</v>
      </c>
      <c r="G825" s="207" t="s">
        <v>1502</v>
      </c>
      <c r="H825" s="207" t="s">
        <v>530</v>
      </c>
      <c r="I825" s="207">
        <v>2</v>
      </c>
      <c r="J825" s="334">
        <v>27</v>
      </c>
      <c r="K825" s="334">
        <v>54</v>
      </c>
      <c r="L825" s="334">
        <v>13.5</v>
      </c>
      <c r="M825" s="336">
        <v>27</v>
      </c>
    </row>
    <row r="826" spans="4:13">
      <c r="D826" s="226">
        <v>1652</v>
      </c>
      <c r="E826" s="224">
        <v>44395</v>
      </c>
      <c r="F826" s="207" t="s">
        <v>1532</v>
      </c>
      <c r="G826" s="207" t="s">
        <v>1499</v>
      </c>
      <c r="H826" s="207" t="s">
        <v>525</v>
      </c>
      <c r="I826" s="207">
        <v>11</v>
      </c>
      <c r="J826" s="334">
        <v>16</v>
      </c>
      <c r="K826" s="334">
        <v>176</v>
      </c>
      <c r="L826" s="334">
        <v>8</v>
      </c>
      <c r="M826" s="336">
        <v>88</v>
      </c>
    </row>
    <row r="827" spans="4:13">
      <c r="D827" s="226">
        <v>1653</v>
      </c>
      <c r="E827" s="224">
        <v>44396</v>
      </c>
      <c r="F827" s="207" t="s">
        <v>1530</v>
      </c>
      <c r="G827" s="207" t="s">
        <v>1494</v>
      </c>
      <c r="H827" s="207" t="s">
        <v>518</v>
      </c>
      <c r="I827" s="207">
        <v>8</v>
      </c>
      <c r="J827" s="334">
        <v>54</v>
      </c>
      <c r="K827" s="334">
        <v>432</v>
      </c>
      <c r="L827" s="334">
        <v>27</v>
      </c>
      <c r="M827" s="336">
        <v>216</v>
      </c>
    </row>
    <row r="828" spans="4:13">
      <c r="D828" s="226">
        <v>1654</v>
      </c>
      <c r="E828" s="224">
        <v>44396</v>
      </c>
      <c r="F828" s="207" t="s">
        <v>1530</v>
      </c>
      <c r="G828" s="207" t="s">
        <v>1494</v>
      </c>
      <c r="H828" s="207" t="s">
        <v>520</v>
      </c>
      <c r="I828" s="207">
        <v>1</v>
      </c>
      <c r="J828" s="334">
        <v>249</v>
      </c>
      <c r="K828" s="334">
        <v>249</v>
      </c>
      <c r="L828" s="334">
        <v>124.5</v>
      </c>
      <c r="M828" s="336">
        <v>124.5</v>
      </c>
    </row>
    <row r="829" spans="4:13">
      <c r="D829" s="226">
        <v>1655</v>
      </c>
      <c r="E829" s="224">
        <v>44396</v>
      </c>
      <c r="F829" s="207" t="s">
        <v>1534</v>
      </c>
      <c r="G829" s="207" t="s">
        <v>1503</v>
      </c>
      <c r="H829" s="207" t="s">
        <v>520</v>
      </c>
      <c r="I829" s="207">
        <v>1</v>
      </c>
      <c r="J829" s="334">
        <v>336</v>
      </c>
      <c r="K829" s="334">
        <v>336</v>
      </c>
      <c r="L829" s="334">
        <v>168</v>
      </c>
      <c r="M829" s="336">
        <v>168</v>
      </c>
    </row>
    <row r="830" spans="4:13">
      <c r="D830" s="226">
        <v>1656</v>
      </c>
      <c r="E830" s="224">
        <v>44396</v>
      </c>
      <c r="F830" s="207" t="s">
        <v>1534</v>
      </c>
      <c r="G830" s="207" t="s">
        <v>1503</v>
      </c>
      <c r="H830" s="207" t="s">
        <v>530</v>
      </c>
      <c r="I830" s="207">
        <v>9</v>
      </c>
      <c r="J830" s="334">
        <v>26</v>
      </c>
      <c r="K830" s="334">
        <v>234</v>
      </c>
      <c r="L830" s="334">
        <v>13</v>
      </c>
      <c r="M830" s="336">
        <v>117</v>
      </c>
    </row>
    <row r="831" spans="4:13">
      <c r="D831" s="226">
        <v>1657</v>
      </c>
      <c r="E831" s="224">
        <v>44397</v>
      </c>
      <c r="F831" s="207" t="s">
        <v>1531</v>
      </c>
      <c r="G831" s="207" t="s">
        <v>1497</v>
      </c>
      <c r="H831" s="207" t="s">
        <v>518</v>
      </c>
      <c r="I831" s="207">
        <v>4</v>
      </c>
      <c r="J831" s="334">
        <v>56</v>
      </c>
      <c r="K831" s="334">
        <v>224</v>
      </c>
      <c r="L831" s="334">
        <v>28</v>
      </c>
      <c r="M831" s="336">
        <v>112</v>
      </c>
    </row>
    <row r="832" spans="4:13">
      <c r="D832" s="226">
        <v>1658</v>
      </c>
      <c r="E832" s="224">
        <v>44397</v>
      </c>
      <c r="F832" s="207" t="s">
        <v>1534</v>
      </c>
      <c r="G832" s="207" t="s">
        <v>1503</v>
      </c>
      <c r="H832" s="207" t="s">
        <v>520</v>
      </c>
      <c r="I832" s="207">
        <v>2</v>
      </c>
      <c r="J832" s="334">
        <v>257</v>
      </c>
      <c r="K832" s="334">
        <v>514</v>
      </c>
      <c r="L832" s="334">
        <v>128.5</v>
      </c>
      <c r="M832" s="336">
        <v>257</v>
      </c>
    </row>
    <row r="833" spans="4:13">
      <c r="D833" s="226">
        <v>1659</v>
      </c>
      <c r="E833" s="224">
        <v>44397</v>
      </c>
      <c r="F833" s="207" t="s">
        <v>1531</v>
      </c>
      <c r="G833" s="207" t="s">
        <v>1497</v>
      </c>
      <c r="H833" s="207" t="s">
        <v>525</v>
      </c>
      <c r="I833" s="207">
        <v>16</v>
      </c>
      <c r="J833" s="334">
        <v>21</v>
      </c>
      <c r="K833" s="334">
        <v>336</v>
      </c>
      <c r="L833" s="334">
        <v>10.5</v>
      </c>
      <c r="M833" s="336">
        <v>168</v>
      </c>
    </row>
    <row r="834" spans="4:13">
      <c r="D834" s="226">
        <v>1660</v>
      </c>
      <c r="E834" s="224">
        <v>44397</v>
      </c>
      <c r="F834" s="207" t="s">
        <v>1530</v>
      </c>
      <c r="G834" s="207" t="s">
        <v>1494</v>
      </c>
      <c r="H834" s="207" t="s">
        <v>525</v>
      </c>
      <c r="I834" s="207">
        <v>4</v>
      </c>
      <c r="J834" s="334">
        <v>16</v>
      </c>
      <c r="K834" s="334">
        <v>64</v>
      </c>
      <c r="L834" s="334">
        <v>8</v>
      </c>
      <c r="M834" s="336">
        <v>32</v>
      </c>
    </row>
    <row r="835" spans="4:13">
      <c r="D835" s="226">
        <v>1661</v>
      </c>
      <c r="E835" s="224">
        <v>44397</v>
      </c>
      <c r="F835" s="207" t="s">
        <v>1530</v>
      </c>
      <c r="G835" s="207" t="s">
        <v>1494</v>
      </c>
      <c r="H835" s="207" t="s">
        <v>525</v>
      </c>
      <c r="I835" s="207">
        <v>12</v>
      </c>
      <c r="J835" s="334">
        <v>19</v>
      </c>
      <c r="K835" s="334">
        <v>228</v>
      </c>
      <c r="L835" s="334">
        <v>9.5</v>
      </c>
      <c r="M835" s="336">
        <v>114</v>
      </c>
    </row>
    <row r="836" spans="4:13">
      <c r="D836" s="226">
        <v>1662</v>
      </c>
      <c r="E836" s="224">
        <v>44398</v>
      </c>
      <c r="F836" s="207" t="s">
        <v>1534</v>
      </c>
      <c r="G836" s="207" t="s">
        <v>1503</v>
      </c>
      <c r="H836" s="207" t="s">
        <v>525</v>
      </c>
      <c r="I836" s="207">
        <v>11</v>
      </c>
      <c r="J836" s="334">
        <v>21</v>
      </c>
      <c r="K836" s="334">
        <v>231</v>
      </c>
      <c r="L836" s="334">
        <v>10.5</v>
      </c>
      <c r="M836" s="336">
        <v>115.5</v>
      </c>
    </row>
    <row r="837" spans="4:13">
      <c r="D837" s="226">
        <v>1663</v>
      </c>
      <c r="E837" s="224">
        <v>44398</v>
      </c>
      <c r="F837" s="207" t="s">
        <v>1531</v>
      </c>
      <c r="G837" s="207" t="s">
        <v>1497</v>
      </c>
      <c r="H837" s="207" t="s">
        <v>530</v>
      </c>
      <c r="I837" s="207">
        <v>1</v>
      </c>
      <c r="J837" s="334">
        <v>21</v>
      </c>
      <c r="K837" s="334">
        <v>21</v>
      </c>
      <c r="L837" s="334">
        <v>10.5</v>
      </c>
      <c r="M837" s="336">
        <v>10.5</v>
      </c>
    </row>
    <row r="838" spans="4:13">
      <c r="D838" s="226">
        <v>1664</v>
      </c>
      <c r="E838" s="224">
        <v>44398</v>
      </c>
      <c r="F838" s="207" t="s">
        <v>1532</v>
      </c>
      <c r="G838" s="207" t="s">
        <v>1499</v>
      </c>
      <c r="H838" s="207" t="s">
        <v>525</v>
      </c>
      <c r="I838" s="207">
        <v>4</v>
      </c>
      <c r="J838" s="334">
        <v>19</v>
      </c>
      <c r="K838" s="334">
        <v>76</v>
      </c>
      <c r="L838" s="334">
        <v>9.5</v>
      </c>
      <c r="M838" s="336">
        <v>38</v>
      </c>
    </row>
    <row r="839" spans="4:13">
      <c r="D839" s="226">
        <v>1665</v>
      </c>
      <c r="E839" s="224">
        <v>44399</v>
      </c>
      <c r="F839" s="207" t="s">
        <v>1534</v>
      </c>
      <c r="G839" s="207" t="s">
        <v>1503</v>
      </c>
      <c r="H839" s="207" t="s">
        <v>518</v>
      </c>
      <c r="I839" s="207">
        <v>7</v>
      </c>
      <c r="J839" s="334">
        <v>62</v>
      </c>
      <c r="K839" s="334">
        <v>434</v>
      </c>
      <c r="L839" s="334">
        <v>31</v>
      </c>
      <c r="M839" s="336">
        <v>217</v>
      </c>
    </row>
    <row r="840" spans="4:13">
      <c r="D840" s="226">
        <v>1666</v>
      </c>
      <c r="E840" s="224">
        <v>44399</v>
      </c>
      <c r="F840" s="207" t="s">
        <v>1533</v>
      </c>
      <c r="G840" s="207" t="s">
        <v>1502</v>
      </c>
      <c r="H840" s="207" t="s">
        <v>520</v>
      </c>
      <c r="I840" s="207">
        <v>1</v>
      </c>
      <c r="J840" s="334">
        <v>331</v>
      </c>
      <c r="K840" s="334">
        <v>331</v>
      </c>
      <c r="L840" s="334">
        <v>165.5</v>
      </c>
      <c r="M840" s="336">
        <v>165.5</v>
      </c>
    </row>
    <row r="841" spans="4:13">
      <c r="D841" s="226">
        <v>1667</v>
      </c>
      <c r="E841" s="224">
        <v>44399</v>
      </c>
      <c r="F841" s="207" t="s">
        <v>1530</v>
      </c>
      <c r="G841" s="207" t="s">
        <v>1494</v>
      </c>
      <c r="H841" s="207" t="s">
        <v>518</v>
      </c>
      <c r="I841" s="207">
        <v>3</v>
      </c>
      <c r="J841" s="334">
        <v>84</v>
      </c>
      <c r="K841" s="334">
        <v>252</v>
      </c>
      <c r="L841" s="334">
        <v>42</v>
      </c>
      <c r="M841" s="336">
        <v>126</v>
      </c>
    </row>
    <row r="842" spans="4:13">
      <c r="D842" s="226">
        <v>1668</v>
      </c>
      <c r="E842" s="224">
        <v>44400</v>
      </c>
      <c r="F842" s="207" t="s">
        <v>1533</v>
      </c>
      <c r="G842" s="207" t="s">
        <v>1502</v>
      </c>
      <c r="H842" s="207" t="s">
        <v>534</v>
      </c>
      <c r="I842" s="207">
        <v>9</v>
      </c>
      <c r="J842" s="334">
        <v>12</v>
      </c>
      <c r="K842" s="334">
        <v>108</v>
      </c>
      <c r="L842" s="334">
        <v>6</v>
      </c>
      <c r="M842" s="336">
        <v>54</v>
      </c>
    </row>
    <row r="843" spans="4:13">
      <c r="D843" s="226">
        <v>1669</v>
      </c>
      <c r="E843" s="224">
        <v>44400</v>
      </c>
      <c r="F843" s="207" t="s">
        <v>1532</v>
      </c>
      <c r="G843" s="207" t="s">
        <v>1499</v>
      </c>
      <c r="H843" s="207" t="s">
        <v>518</v>
      </c>
      <c r="I843" s="207">
        <v>10</v>
      </c>
      <c r="J843" s="334">
        <v>57</v>
      </c>
      <c r="K843" s="334">
        <v>570</v>
      </c>
      <c r="L843" s="334">
        <v>28.5</v>
      </c>
      <c r="M843" s="336">
        <v>285</v>
      </c>
    </row>
    <row r="844" spans="4:13">
      <c r="D844" s="226">
        <v>1670</v>
      </c>
      <c r="E844" s="224">
        <v>44400</v>
      </c>
      <c r="F844" s="207" t="s">
        <v>1532</v>
      </c>
      <c r="G844" s="207" t="s">
        <v>1499</v>
      </c>
      <c r="H844" s="207" t="s">
        <v>530</v>
      </c>
      <c r="I844" s="207">
        <v>3</v>
      </c>
      <c r="J844" s="334">
        <v>46</v>
      </c>
      <c r="K844" s="334">
        <v>138</v>
      </c>
      <c r="L844" s="334">
        <v>23</v>
      </c>
      <c r="M844" s="336">
        <v>69</v>
      </c>
    </row>
    <row r="845" spans="4:13">
      <c r="D845" s="226">
        <v>1671</v>
      </c>
      <c r="E845" s="224">
        <v>44401</v>
      </c>
      <c r="F845" s="207" t="s">
        <v>1532</v>
      </c>
      <c r="G845" s="207" t="s">
        <v>1499</v>
      </c>
      <c r="H845" s="207" t="s">
        <v>530</v>
      </c>
      <c r="I845" s="207">
        <v>2</v>
      </c>
      <c r="J845" s="334">
        <v>32</v>
      </c>
      <c r="K845" s="334">
        <v>64</v>
      </c>
      <c r="L845" s="334">
        <v>16</v>
      </c>
      <c r="M845" s="336">
        <v>32</v>
      </c>
    </row>
    <row r="846" spans="4:13">
      <c r="D846" s="226">
        <v>1672</v>
      </c>
      <c r="E846" s="224">
        <v>44401</v>
      </c>
      <c r="F846" s="207" t="s">
        <v>1530</v>
      </c>
      <c r="G846" s="207" t="s">
        <v>1494</v>
      </c>
      <c r="H846" s="207" t="s">
        <v>520</v>
      </c>
      <c r="I846" s="207">
        <v>1</v>
      </c>
      <c r="J846" s="334">
        <v>244</v>
      </c>
      <c r="K846" s="334">
        <v>244</v>
      </c>
      <c r="L846" s="334">
        <v>122</v>
      </c>
      <c r="M846" s="336">
        <v>122</v>
      </c>
    </row>
    <row r="847" spans="4:13">
      <c r="D847" s="226">
        <v>1673</v>
      </c>
      <c r="E847" s="224">
        <v>44401</v>
      </c>
      <c r="F847" s="207" t="s">
        <v>1533</v>
      </c>
      <c r="G847" s="207" t="s">
        <v>1502</v>
      </c>
      <c r="H847" s="207" t="s">
        <v>525</v>
      </c>
      <c r="I847" s="207">
        <v>6</v>
      </c>
      <c r="J847" s="334">
        <v>22</v>
      </c>
      <c r="K847" s="334">
        <v>132</v>
      </c>
      <c r="L847" s="334">
        <v>11</v>
      </c>
      <c r="M847" s="336">
        <v>66</v>
      </c>
    </row>
    <row r="848" spans="4:13">
      <c r="D848" s="226">
        <v>1674</v>
      </c>
      <c r="E848" s="224">
        <v>44402</v>
      </c>
      <c r="F848" s="207" t="s">
        <v>1530</v>
      </c>
      <c r="G848" s="207" t="s">
        <v>1494</v>
      </c>
      <c r="H848" s="207" t="s">
        <v>530</v>
      </c>
      <c r="I848" s="207">
        <v>9</v>
      </c>
      <c r="J848" s="334">
        <v>32</v>
      </c>
      <c r="K848" s="334">
        <v>288</v>
      </c>
      <c r="L848" s="334">
        <v>16</v>
      </c>
      <c r="M848" s="336">
        <v>144</v>
      </c>
    </row>
    <row r="849" spans="4:13">
      <c r="D849" s="226">
        <v>1675</v>
      </c>
      <c r="E849" s="224">
        <v>44402</v>
      </c>
      <c r="F849" s="207" t="s">
        <v>1530</v>
      </c>
      <c r="G849" s="207" t="s">
        <v>1494</v>
      </c>
      <c r="H849" s="207" t="s">
        <v>525</v>
      </c>
      <c r="I849" s="207">
        <v>20</v>
      </c>
      <c r="J849" s="334">
        <v>17</v>
      </c>
      <c r="K849" s="334">
        <v>340</v>
      </c>
      <c r="L849" s="334">
        <v>8.5</v>
      </c>
      <c r="M849" s="336">
        <v>170</v>
      </c>
    </row>
    <row r="850" spans="4:13">
      <c r="D850" s="226">
        <v>1676</v>
      </c>
      <c r="E850" s="224">
        <v>44402</v>
      </c>
      <c r="F850" s="207" t="s">
        <v>1534</v>
      </c>
      <c r="G850" s="207" t="s">
        <v>1503</v>
      </c>
      <c r="H850" s="207" t="s">
        <v>525</v>
      </c>
      <c r="I850" s="207">
        <v>15</v>
      </c>
      <c r="J850" s="334">
        <v>16</v>
      </c>
      <c r="K850" s="334">
        <v>240</v>
      </c>
      <c r="L850" s="334">
        <v>8</v>
      </c>
      <c r="M850" s="336">
        <v>120</v>
      </c>
    </row>
    <row r="851" spans="4:13">
      <c r="D851" s="226">
        <v>1677</v>
      </c>
      <c r="E851" s="224">
        <v>44403</v>
      </c>
      <c r="F851" s="207" t="s">
        <v>1533</v>
      </c>
      <c r="G851" s="207" t="s">
        <v>1502</v>
      </c>
      <c r="H851" s="207" t="s">
        <v>530</v>
      </c>
      <c r="I851" s="207">
        <v>8</v>
      </c>
      <c r="J851" s="334">
        <v>43</v>
      </c>
      <c r="K851" s="334">
        <v>344</v>
      </c>
      <c r="L851" s="334">
        <v>21.5</v>
      </c>
      <c r="M851" s="336">
        <v>172</v>
      </c>
    </row>
    <row r="852" spans="4:13">
      <c r="D852" s="226">
        <v>1678</v>
      </c>
      <c r="E852" s="224">
        <v>44403</v>
      </c>
      <c r="F852" s="207" t="s">
        <v>1534</v>
      </c>
      <c r="G852" s="207" t="s">
        <v>1503</v>
      </c>
      <c r="H852" s="207" t="s">
        <v>525</v>
      </c>
      <c r="I852" s="207">
        <v>15</v>
      </c>
      <c r="J852" s="334">
        <v>11</v>
      </c>
      <c r="K852" s="334">
        <v>165</v>
      </c>
      <c r="L852" s="334">
        <v>5.5</v>
      </c>
      <c r="M852" s="336">
        <v>82.5</v>
      </c>
    </row>
    <row r="853" spans="4:13">
      <c r="D853" s="226">
        <v>1679</v>
      </c>
      <c r="E853" s="224">
        <v>44403</v>
      </c>
      <c r="F853" s="207" t="s">
        <v>1531</v>
      </c>
      <c r="G853" s="207" t="s">
        <v>1497</v>
      </c>
      <c r="H853" s="207" t="s">
        <v>525</v>
      </c>
      <c r="I853" s="207">
        <v>18</v>
      </c>
      <c r="J853" s="334">
        <v>15</v>
      </c>
      <c r="K853" s="334">
        <v>270</v>
      </c>
      <c r="L853" s="334">
        <v>7.5</v>
      </c>
      <c r="M853" s="336">
        <v>135</v>
      </c>
    </row>
    <row r="854" spans="4:13">
      <c r="D854" s="226">
        <v>1680</v>
      </c>
      <c r="E854" s="224">
        <v>44404</v>
      </c>
      <c r="F854" s="207" t="s">
        <v>1533</v>
      </c>
      <c r="G854" s="207" t="s">
        <v>1502</v>
      </c>
      <c r="H854" s="207" t="s">
        <v>525</v>
      </c>
      <c r="I854" s="207">
        <v>13</v>
      </c>
      <c r="J854" s="334">
        <v>25</v>
      </c>
      <c r="K854" s="334">
        <v>325</v>
      </c>
      <c r="L854" s="334">
        <v>12.5</v>
      </c>
      <c r="M854" s="336">
        <v>162.5</v>
      </c>
    </row>
    <row r="855" spans="4:13">
      <c r="D855" s="226">
        <v>1681</v>
      </c>
      <c r="E855" s="224">
        <v>44404</v>
      </c>
      <c r="F855" s="207" t="s">
        <v>1530</v>
      </c>
      <c r="G855" s="207" t="s">
        <v>1494</v>
      </c>
      <c r="H855" s="207" t="s">
        <v>534</v>
      </c>
      <c r="I855" s="207">
        <v>4</v>
      </c>
      <c r="J855" s="334">
        <v>9</v>
      </c>
      <c r="K855" s="334">
        <v>36</v>
      </c>
      <c r="L855" s="334">
        <v>4.5</v>
      </c>
      <c r="M855" s="336">
        <v>18</v>
      </c>
    </row>
    <row r="856" spans="4:13">
      <c r="D856" s="226">
        <v>1682</v>
      </c>
      <c r="E856" s="224">
        <v>44404</v>
      </c>
      <c r="F856" s="207" t="s">
        <v>1533</v>
      </c>
      <c r="G856" s="207" t="s">
        <v>1502</v>
      </c>
      <c r="H856" s="207" t="s">
        <v>530</v>
      </c>
      <c r="I856" s="207">
        <v>1</v>
      </c>
      <c r="J856" s="334">
        <v>48</v>
      </c>
      <c r="K856" s="334">
        <v>48</v>
      </c>
      <c r="L856" s="334">
        <v>24</v>
      </c>
      <c r="M856" s="336">
        <v>24</v>
      </c>
    </row>
    <row r="857" spans="4:13">
      <c r="D857" s="226">
        <v>1683</v>
      </c>
      <c r="E857" s="224">
        <v>44404</v>
      </c>
      <c r="F857" s="207" t="s">
        <v>1531</v>
      </c>
      <c r="G857" s="207" t="s">
        <v>1497</v>
      </c>
      <c r="H857" s="207" t="s">
        <v>520</v>
      </c>
      <c r="I857" s="207">
        <v>2</v>
      </c>
      <c r="J857" s="334">
        <v>356</v>
      </c>
      <c r="K857" s="334">
        <v>712</v>
      </c>
      <c r="L857" s="334">
        <v>178</v>
      </c>
      <c r="M857" s="336">
        <v>356</v>
      </c>
    </row>
    <row r="858" spans="4:13">
      <c r="D858" s="226">
        <v>1684</v>
      </c>
      <c r="E858" s="224">
        <v>44405</v>
      </c>
      <c r="F858" s="207" t="s">
        <v>1531</v>
      </c>
      <c r="G858" s="207" t="s">
        <v>1497</v>
      </c>
      <c r="H858" s="207" t="s">
        <v>518</v>
      </c>
      <c r="I858" s="207">
        <v>8</v>
      </c>
      <c r="J858" s="334">
        <v>89</v>
      </c>
      <c r="K858" s="334">
        <v>712</v>
      </c>
      <c r="L858" s="334">
        <v>44.5</v>
      </c>
      <c r="M858" s="336">
        <v>356</v>
      </c>
    </row>
    <row r="859" spans="4:13">
      <c r="D859" s="226">
        <v>1685</v>
      </c>
      <c r="E859" s="224">
        <v>44405</v>
      </c>
      <c r="F859" s="207" t="s">
        <v>1534</v>
      </c>
      <c r="G859" s="207" t="s">
        <v>1503</v>
      </c>
      <c r="H859" s="207" t="s">
        <v>534</v>
      </c>
      <c r="I859" s="207">
        <v>1</v>
      </c>
      <c r="J859" s="334">
        <v>7</v>
      </c>
      <c r="K859" s="334">
        <v>7</v>
      </c>
      <c r="L859" s="334">
        <v>3.5</v>
      </c>
      <c r="M859" s="336">
        <v>3.5</v>
      </c>
    </row>
    <row r="860" spans="4:13">
      <c r="D860" s="226">
        <v>1686</v>
      </c>
      <c r="E860" s="224">
        <v>44405</v>
      </c>
      <c r="F860" s="207" t="s">
        <v>1533</v>
      </c>
      <c r="G860" s="207" t="s">
        <v>1502</v>
      </c>
      <c r="H860" s="207" t="s">
        <v>530</v>
      </c>
      <c r="I860" s="207">
        <v>4</v>
      </c>
      <c r="J860" s="334">
        <v>33</v>
      </c>
      <c r="K860" s="334">
        <v>132</v>
      </c>
      <c r="L860" s="334">
        <v>16.5</v>
      </c>
      <c r="M860" s="336">
        <v>66</v>
      </c>
    </row>
    <row r="861" spans="4:13">
      <c r="D861" s="226">
        <v>1687</v>
      </c>
      <c r="E861" s="224">
        <v>44405</v>
      </c>
      <c r="F861" s="207" t="s">
        <v>1533</v>
      </c>
      <c r="G861" s="207" t="s">
        <v>1502</v>
      </c>
      <c r="H861" s="207" t="s">
        <v>518</v>
      </c>
      <c r="I861" s="207">
        <v>9</v>
      </c>
      <c r="J861" s="334">
        <v>55</v>
      </c>
      <c r="K861" s="334">
        <v>495</v>
      </c>
      <c r="L861" s="334">
        <v>27.5</v>
      </c>
      <c r="M861" s="336">
        <v>247.5</v>
      </c>
    </row>
    <row r="862" spans="4:13">
      <c r="D862" s="226">
        <v>1688</v>
      </c>
      <c r="E862" s="224">
        <v>44406</v>
      </c>
      <c r="F862" s="207" t="s">
        <v>1533</v>
      </c>
      <c r="G862" s="207" t="s">
        <v>1502</v>
      </c>
      <c r="H862" s="207" t="s">
        <v>534</v>
      </c>
      <c r="I862" s="207">
        <v>3</v>
      </c>
      <c r="J862" s="334">
        <v>5</v>
      </c>
      <c r="K862" s="334">
        <v>15</v>
      </c>
      <c r="L862" s="334">
        <v>2.5</v>
      </c>
      <c r="M862" s="336">
        <v>7.5</v>
      </c>
    </row>
    <row r="863" spans="4:13">
      <c r="D863" s="226">
        <v>1689</v>
      </c>
      <c r="E863" s="224">
        <v>44406</v>
      </c>
      <c r="F863" s="207" t="s">
        <v>1533</v>
      </c>
      <c r="G863" s="207" t="s">
        <v>1502</v>
      </c>
      <c r="H863" s="207" t="s">
        <v>534</v>
      </c>
      <c r="I863" s="207">
        <v>3</v>
      </c>
      <c r="J863" s="334">
        <v>6</v>
      </c>
      <c r="K863" s="334">
        <v>18</v>
      </c>
      <c r="L863" s="334">
        <v>3</v>
      </c>
      <c r="M863" s="336">
        <v>9</v>
      </c>
    </row>
    <row r="864" spans="4:13">
      <c r="D864" s="226">
        <v>1690</v>
      </c>
      <c r="E864" s="224">
        <v>44406</v>
      </c>
      <c r="F864" s="207" t="s">
        <v>1532</v>
      </c>
      <c r="G864" s="207" t="s">
        <v>1499</v>
      </c>
      <c r="H864" s="207" t="s">
        <v>525</v>
      </c>
      <c r="I864" s="207">
        <v>12</v>
      </c>
      <c r="J864" s="334">
        <v>12</v>
      </c>
      <c r="K864" s="334">
        <v>144</v>
      </c>
      <c r="L864" s="334">
        <v>6</v>
      </c>
      <c r="M864" s="336">
        <v>72</v>
      </c>
    </row>
    <row r="865" spans="4:13">
      <c r="D865" s="226">
        <v>1691</v>
      </c>
      <c r="E865" s="224">
        <v>44407</v>
      </c>
      <c r="F865" s="207" t="s">
        <v>1530</v>
      </c>
      <c r="G865" s="207" t="s">
        <v>1494</v>
      </c>
      <c r="H865" s="207" t="s">
        <v>518</v>
      </c>
      <c r="I865" s="207">
        <v>2</v>
      </c>
      <c r="J865" s="334">
        <v>83</v>
      </c>
      <c r="K865" s="334">
        <v>166</v>
      </c>
      <c r="L865" s="334">
        <v>41.5</v>
      </c>
      <c r="M865" s="336">
        <v>83</v>
      </c>
    </row>
    <row r="866" spans="4:13">
      <c r="D866" s="226">
        <v>1692</v>
      </c>
      <c r="E866" s="224">
        <v>44407</v>
      </c>
      <c r="F866" s="207" t="s">
        <v>1534</v>
      </c>
      <c r="G866" s="207" t="s">
        <v>1503</v>
      </c>
      <c r="H866" s="207" t="s">
        <v>518</v>
      </c>
      <c r="I866" s="207">
        <v>5</v>
      </c>
      <c r="J866" s="334">
        <v>56</v>
      </c>
      <c r="K866" s="334">
        <v>280</v>
      </c>
      <c r="L866" s="334">
        <v>28</v>
      </c>
      <c r="M866" s="336">
        <v>140</v>
      </c>
    </row>
    <row r="867" spans="4:13">
      <c r="D867" s="226">
        <v>1693</v>
      </c>
      <c r="E867" s="224">
        <v>44407</v>
      </c>
      <c r="F867" s="207" t="s">
        <v>1532</v>
      </c>
      <c r="G867" s="207" t="s">
        <v>1499</v>
      </c>
      <c r="H867" s="207" t="s">
        <v>525</v>
      </c>
      <c r="I867" s="207">
        <v>18</v>
      </c>
      <c r="J867" s="334">
        <v>18</v>
      </c>
      <c r="K867" s="334">
        <v>324</v>
      </c>
      <c r="L867" s="334">
        <v>9</v>
      </c>
      <c r="M867" s="336">
        <v>162</v>
      </c>
    </row>
    <row r="868" spans="4:13">
      <c r="D868" s="226">
        <v>1694</v>
      </c>
      <c r="E868" s="224">
        <v>44407</v>
      </c>
      <c r="F868" s="207" t="s">
        <v>1534</v>
      </c>
      <c r="G868" s="207" t="s">
        <v>1503</v>
      </c>
      <c r="H868" s="207" t="s">
        <v>530</v>
      </c>
      <c r="I868" s="207">
        <v>5</v>
      </c>
      <c r="J868" s="334">
        <v>28</v>
      </c>
      <c r="K868" s="334">
        <v>140</v>
      </c>
      <c r="L868" s="334">
        <v>14</v>
      </c>
      <c r="M868" s="336">
        <v>70</v>
      </c>
    </row>
    <row r="869" spans="4:13">
      <c r="D869" s="226">
        <v>1695</v>
      </c>
      <c r="E869" s="224">
        <v>44408</v>
      </c>
      <c r="F869" s="207" t="s">
        <v>1533</v>
      </c>
      <c r="G869" s="207" t="s">
        <v>1502</v>
      </c>
      <c r="H869" s="207" t="s">
        <v>530</v>
      </c>
      <c r="I869" s="207">
        <v>4</v>
      </c>
      <c r="J869" s="334">
        <v>41</v>
      </c>
      <c r="K869" s="334">
        <v>164</v>
      </c>
      <c r="L869" s="334">
        <v>20.5</v>
      </c>
      <c r="M869" s="336">
        <v>82</v>
      </c>
    </row>
    <row r="870" spans="4:13">
      <c r="D870" s="226">
        <v>1696</v>
      </c>
      <c r="E870" s="224">
        <v>44408</v>
      </c>
      <c r="F870" s="207" t="s">
        <v>1531</v>
      </c>
      <c r="G870" s="207" t="s">
        <v>1497</v>
      </c>
      <c r="H870" s="207" t="s">
        <v>534</v>
      </c>
      <c r="I870" s="207">
        <v>2</v>
      </c>
      <c r="J870" s="334">
        <v>11</v>
      </c>
      <c r="K870" s="334">
        <v>22</v>
      </c>
      <c r="L870" s="334">
        <v>5.5</v>
      </c>
      <c r="M870" s="336">
        <v>11</v>
      </c>
    </row>
    <row r="871" spans="4:13">
      <c r="D871" s="226">
        <v>1697</v>
      </c>
      <c r="E871" s="224">
        <v>44408</v>
      </c>
      <c r="F871" s="207" t="s">
        <v>1532</v>
      </c>
      <c r="G871" s="207" t="s">
        <v>1499</v>
      </c>
      <c r="H871" s="207" t="s">
        <v>530</v>
      </c>
      <c r="I871" s="207">
        <v>6</v>
      </c>
      <c r="J871" s="334">
        <v>29</v>
      </c>
      <c r="K871" s="334">
        <v>174</v>
      </c>
      <c r="L871" s="334">
        <v>14.5</v>
      </c>
      <c r="M871" s="336">
        <v>87</v>
      </c>
    </row>
    <row r="872" spans="4:13">
      <c r="D872" s="226">
        <v>1698</v>
      </c>
      <c r="E872" s="224">
        <v>44409</v>
      </c>
      <c r="F872" s="207" t="s">
        <v>1532</v>
      </c>
      <c r="G872" s="207" t="s">
        <v>1499</v>
      </c>
      <c r="H872" s="207" t="s">
        <v>518</v>
      </c>
      <c r="I872" s="207">
        <v>8</v>
      </c>
      <c r="J872" s="334">
        <v>66</v>
      </c>
      <c r="K872" s="334">
        <v>528</v>
      </c>
      <c r="L872" s="334">
        <v>33</v>
      </c>
      <c r="M872" s="336">
        <v>264</v>
      </c>
    </row>
    <row r="873" spans="4:13">
      <c r="D873" s="226">
        <v>1699</v>
      </c>
      <c r="E873" s="224">
        <v>44409</v>
      </c>
      <c r="F873" s="207" t="s">
        <v>1533</v>
      </c>
      <c r="G873" s="207" t="s">
        <v>1502</v>
      </c>
      <c r="H873" s="207" t="s">
        <v>520</v>
      </c>
      <c r="I873" s="207">
        <v>2</v>
      </c>
      <c r="J873" s="334">
        <v>267</v>
      </c>
      <c r="K873" s="334">
        <v>534</v>
      </c>
      <c r="L873" s="334">
        <v>133.5</v>
      </c>
      <c r="M873" s="336">
        <v>267</v>
      </c>
    </row>
    <row r="874" spans="4:13">
      <c r="D874" s="226">
        <v>1700</v>
      </c>
      <c r="E874" s="224">
        <v>44409</v>
      </c>
      <c r="F874" s="207" t="s">
        <v>1531</v>
      </c>
      <c r="G874" s="207" t="s">
        <v>1497</v>
      </c>
      <c r="H874" s="207" t="s">
        <v>525</v>
      </c>
      <c r="I874" s="207">
        <v>9</v>
      </c>
      <c r="J874" s="334">
        <v>11</v>
      </c>
      <c r="K874" s="334">
        <v>99</v>
      </c>
      <c r="L874" s="334">
        <v>5.5</v>
      </c>
      <c r="M874" s="336">
        <v>49.5</v>
      </c>
    </row>
    <row r="875" spans="4:13">
      <c r="D875" s="226">
        <v>1701</v>
      </c>
      <c r="E875" s="224">
        <v>44409</v>
      </c>
      <c r="F875" s="207" t="s">
        <v>1533</v>
      </c>
      <c r="G875" s="207" t="s">
        <v>1502</v>
      </c>
      <c r="H875" s="207" t="s">
        <v>534</v>
      </c>
      <c r="I875" s="207">
        <v>10</v>
      </c>
      <c r="J875" s="334">
        <v>13</v>
      </c>
      <c r="K875" s="334">
        <v>130</v>
      </c>
      <c r="L875" s="334">
        <v>6.5</v>
      </c>
      <c r="M875" s="336">
        <v>65</v>
      </c>
    </row>
    <row r="876" spans="4:13">
      <c r="D876" s="226">
        <v>1702</v>
      </c>
      <c r="E876" s="224">
        <v>44410</v>
      </c>
      <c r="F876" s="207" t="s">
        <v>1530</v>
      </c>
      <c r="G876" s="207" t="s">
        <v>1494</v>
      </c>
      <c r="H876" s="207" t="s">
        <v>530</v>
      </c>
      <c r="I876" s="207">
        <v>6</v>
      </c>
      <c r="J876" s="334">
        <v>47</v>
      </c>
      <c r="K876" s="334">
        <v>282</v>
      </c>
      <c r="L876" s="334">
        <v>23.5</v>
      </c>
      <c r="M876" s="336">
        <v>141</v>
      </c>
    </row>
    <row r="877" spans="4:13">
      <c r="D877" s="226">
        <v>1703</v>
      </c>
      <c r="E877" s="224">
        <v>44410</v>
      </c>
      <c r="F877" s="207" t="s">
        <v>1530</v>
      </c>
      <c r="G877" s="207" t="s">
        <v>1494</v>
      </c>
      <c r="H877" s="207" t="s">
        <v>525</v>
      </c>
      <c r="I877" s="207">
        <v>2</v>
      </c>
      <c r="J877" s="334">
        <v>15</v>
      </c>
      <c r="K877" s="334">
        <v>30</v>
      </c>
      <c r="L877" s="334">
        <v>7.5</v>
      </c>
      <c r="M877" s="336">
        <v>15</v>
      </c>
    </row>
    <row r="878" spans="4:13">
      <c r="D878" s="226">
        <v>1704</v>
      </c>
      <c r="E878" s="224">
        <v>44410</v>
      </c>
      <c r="F878" s="207" t="s">
        <v>1530</v>
      </c>
      <c r="G878" s="207" t="s">
        <v>1494</v>
      </c>
      <c r="H878" s="207" t="s">
        <v>525</v>
      </c>
      <c r="I878" s="207">
        <v>18</v>
      </c>
      <c r="J878" s="334">
        <v>22</v>
      </c>
      <c r="K878" s="334">
        <v>396</v>
      </c>
      <c r="L878" s="334">
        <v>11</v>
      </c>
      <c r="M878" s="336">
        <v>198</v>
      </c>
    </row>
    <row r="879" spans="4:13">
      <c r="D879" s="226">
        <v>1705</v>
      </c>
      <c r="E879" s="224">
        <v>44411</v>
      </c>
      <c r="F879" s="207" t="s">
        <v>1531</v>
      </c>
      <c r="G879" s="207" t="s">
        <v>1497</v>
      </c>
      <c r="H879" s="207" t="s">
        <v>520</v>
      </c>
      <c r="I879" s="207">
        <v>2</v>
      </c>
      <c r="J879" s="334">
        <v>269</v>
      </c>
      <c r="K879" s="334">
        <v>538</v>
      </c>
      <c r="L879" s="334">
        <v>134.5</v>
      </c>
      <c r="M879" s="336">
        <v>269</v>
      </c>
    </row>
    <row r="880" spans="4:13">
      <c r="D880" s="226">
        <v>1706</v>
      </c>
      <c r="E880" s="224">
        <v>44411</v>
      </c>
      <c r="F880" s="207" t="s">
        <v>1534</v>
      </c>
      <c r="G880" s="207" t="s">
        <v>1503</v>
      </c>
      <c r="H880" s="207" t="s">
        <v>534</v>
      </c>
      <c r="I880" s="207">
        <v>9</v>
      </c>
      <c r="J880" s="334">
        <v>5</v>
      </c>
      <c r="K880" s="334">
        <v>45</v>
      </c>
      <c r="L880" s="334">
        <v>2.5</v>
      </c>
      <c r="M880" s="336">
        <v>22.5</v>
      </c>
    </row>
    <row r="881" spans="4:13">
      <c r="D881" s="226">
        <v>1707</v>
      </c>
      <c r="E881" s="224">
        <v>44411</v>
      </c>
      <c r="F881" s="207" t="s">
        <v>1532</v>
      </c>
      <c r="G881" s="207" t="s">
        <v>1499</v>
      </c>
      <c r="H881" s="207" t="s">
        <v>534</v>
      </c>
      <c r="I881" s="207">
        <v>1</v>
      </c>
      <c r="J881" s="334">
        <v>5</v>
      </c>
      <c r="K881" s="334">
        <v>5</v>
      </c>
      <c r="L881" s="334">
        <v>2.5</v>
      </c>
      <c r="M881" s="336">
        <v>2.5</v>
      </c>
    </row>
    <row r="882" spans="4:13">
      <c r="D882" s="226">
        <v>1708</v>
      </c>
      <c r="E882" s="224">
        <v>44411</v>
      </c>
      <c r="F882" s="207" t="s">
        <v>1533</v>
      </c>
      <c r="G882" s="207" t="s">
        <v>1502</v>
      </c>
      <c r="H882" s="207" t="s">
        <v>518</v>
      </c>
      <c r="I882" s="207">
        <v>10</v>
      </c>
      <c r="J882" s="334">
        <v>87</v>
      </c>
      <c r="K882" s="334">
        <v>870</v>
      </c>
      <c r="L882" s="334">
        <v>43.5</v>
      </c>
      <c r="M882" s="336">
        <v>435</v>
      </c>
    </row>
    <row r="883" spans="4:13">
      <c r="D883" s="226">
        <v>1709</v>
      </c>
      <c r="E883" s="224">
        <v>44412</v>
      </c>
      <c r="F883" s="207" t="s">
        <v>1534</v>
      </c>
      <c r="G883" s="207" t="s">
        <v>1503</v>
      </c>
      <c r="H883" s="207" t="s">
        <v>520</v>
      </c>
      <c r="I883" s="207">
        <v>1</v>
      </c>
      <c r="J883" s="334">
        <v>306</v>
      </c>
      <c r="K883" s="334">
        <v>306</v>
      </c>
      <c r="L883" s="334">
        <v>153</v>
      </c>
      <c r="M883" s="336">
        <v>153</v>
      </c>
    </row>
    <row r="884" spans="4:13">
      <c r="D884" s="226">
        <v>1710</v>
      </c>
      <c r="E884" s="224">
        <v>44412</v>
      </c>
      <c r="F884" s="207" t="s">
        <v>1530</v>
      </c>
      <c r="G884" s="207" t="s">
        <v>1494</v>
      </c>
      <c r="H884" s="207" t="s">
        <v>520</v>
      </c>
      <c r="I884" s="207">
        <v>2</v>
      </c>
      <c r="J884" s="334">
        <v>371</v>
      </c>
      <c r="K884" s="334">
        <v>742</v>
      </c>
      <c r="L884" s="334">
        <v>185.5</v>
      </c>
      <c r="M884" s="336">
        <v>371</v>
      </c>
    </row>
    <row r="885" spans="4:13">
      <c r="D885" s="226">
        <v>1711</v>
      </c>
      <c r="E885" s="224">
        <v>44412</v>
      </c>
      <c r="F885" s="207" t="s">
        <v>1532</v>
      </c>
      <c r="G885" s="207" t="s">
        <v>1499</v>
      </c>
      <c r="H885" s="207" t="s">
        <v>525</v>
      </c>
      <c r="I885" s="207">
        <v>16</v>
      </c>
      <c r="J885" s="334">
        <v>18</v>
      </c>
      <c r="K885" s="334">
        <v>288</v>
      </c>
      <c r="L885" s="334">
        <v>9</v>
      </c>
      <c r="M885" s="336">
        <v>144</v>
      </c>
    </row>
    <row r="886" spans="4:13">
      <c r="D886" s="226">
        <v>1712</v>
      </c>
      <c r="E886" s="224">
        <v>44412</v>
      </c>
      <c r="F886" s="207" t="s">
        <v>1532</v>
      </c>
      <c r="G886" s="207" t="s">
        <v>1499</v>
      </c>
      <c r="H886" s="207" t="s">
        <v>530</v>
      </c>
      <c r="I886" s="207">
        <v>5</v>
      </c>
      <c r="J886" s="334">
        <v>46</v>
      </c>
      <c r="K886" s="334">
        <v>230</v>
      </c>
      <c r="L886" s="334">
        <v>23</v>
      </c>
      <c r="M886" s="336">
        <v>115</v>
      </c>
    </row>
    <row r="887" spans="4:13">
      <c r="D887" s="226">
        <v>1713</v>
      </c>
      <c r="E887" s="224">
        <v>44413</v>
      </c>
      <c r="F887" s="207" t="s">
        <v>1533</v>
      </c>
      <c r="G887" s="207" t="s">
        <v>1502</v>
      </c>
      <c r="H887" s="207" t="s">
        <v>518</v>
      </c>
      <c r="I887" s="207">
        <v>8</v>
      </c>
      <c r="J887" s="334">
        <v>88</v>
      </c>
      <c r="K887" s="334">
        <v>704</v>
      </c>
      <c r="L887" s="334">
        <v>44</v>
      </c>
      <c r="M887" s="336">
        <v>352</v>
      </c>
    </row>
    <row r="888" spans="4:13">
      <c r="D888" s="226">
        <v>1714</v>
      </c>
      <c r="E888" s="224">
        <v>44413</v>
      </c>
      <c r="F888" s="207" t="s">
        <v>1534</v>
      </c>
      <c r="G888" s="207" t="s">
        <v>1503</v>
      </c>
      <c r="H888" s="207" t="s">
        <v>525</v>
      </c>
      <c r="I888" s="207">
        <v>11</v>
      </c>
      <c r="J888" s="334">
        <v>19</v>
      </c>
      <c r="K888" s="334">
        <v>209</v>
      </c>
      <c r="L888" s="334">
        <v>9.5</v>
      </c>
      <c r="M888" s="336">
        <v>104.5</v>
      </c>
    </row>
    <row r="889" spans="4:13">
      <c r="D889" s="226">
        <v>1715</v>
      </c>
      <c r="E889" s="224">
        <v>44413</v>
      </c>
      <c r="F889" s="207" t="s">
        <v>1534</v>
      </c>
      <c r="G889" s="207" t="s">
        <v>1503</v>
      </c>
      <c r="H889" s="207" t="s">
        <v>534</v>
      </c>
      <c r="I889" s="207">
        <v>5</v>
      </c>
      <c r="J889" s="334">
        <v>7</v>
      </c>
      <c r="K889" s="334">
        <v>35</v>
      </c>
      <c r="L889" s="334">
        <v>3.5</v>
      </c>
      <c r="M889" s="336">
        <v>17.5</v>
      </c>
    </row>
    <row r="890" spans="4:13">
      <c r="D890" s="226">
        <v>1716</v>
      </c>
      <c r="E890" s="224">
        <v>44413</v>
      </c>
      <c r="F890" s="207" t="s">
        <v>1530</v>
      </c>
      <c r="G890" s="207" t="s">
        <v>1494</v>
      </c>
      <c r="H890" s="207" t="s">
        <v>525</v>
      </c>
      <c r="I890" s="207">
        <v>13</v>
      </c>
      <c r="J890" s="334">
        <v>19</v>
      </c>
      <c r="K890" s="334">
        <v>247</v>
      </c>
      <c r="L890" s="334">
        <v>9.5</v>
      </c>
      <c r="M890" s="336">
        <v>123.5</v>
      </c>
    </row>
    <row r="891" spans="4:13">
      <c r="D891" s="226">
        <v>1717</v>
      </c>
      <c r="E891" s="224">
        <v>44414</v>
      </c>
      <c r="F891" s="207" t="s">
        <v>1533</v>
      </c>
      <c r="G891" s="207" t="s">
        <v>1502</v>
      </c>
      <c r="H891" s="207" t="s">
        <v>520</v>
      </c>
      <c r="I891" s="207">
        <v>1</v>
      </c>
      <c r="J891" s="334">
        <v>374</v>
      </c>
      <c r="K891" s="334">
        <v>374</v>
      </c>
      <c r="L891" s="334">
        <v>187</v>
      </c>
      <c r="M891" s="336">
        <v>187</v>
      </c>
    </row>
    <row r="892" spans="4:13">
      <c r="D892" s="226">
        <v>1718</v>
      </c>
      <c r="E892" s="224">
        <v>44414</v>
      </c>
      <c r="F892" s="207" t="s">
        <v>1534</v>
      </c>
      <c r="G892" s="207" t="s">
        <v>1503</v>
      </c>
      <c r="H892" s="207" t="s">
        <v>534</v>
      </c>
      <c r="I892" s="207">
        <v>6</v>
      </c>
      <c r="J892" s="334">
        <v>14</v>
      </c>
      <c r="K892" s="334">
        <v>84</v>
      </c>
      <c r="L892" s="334">
        <v>7</v>
      </c>
      <c r="M892" s="336">
        <v>42</v>
      </c>
    </row>
    <row r="893" spans="4:13">
      <c r="D893" s="226">
        <v>1719</v>
      </c>
      <c r="E893" s="224">
        <v>44414</v>
      </c>
      <c r="F893" s="207" t="s">
        <v>1533</v>
      </c>
      <c r="G893" s="207" t="s">
        <v>1502</v>
      </c>
      <c r="H893" s="207" t="s">
        <v>518</v>
      </c>
      <c r="I893" s="207">
        <v>1</v>
      </c>
      <c r="J893" s="334">
        <v>72</v>
      </c>
      <c r="K893" s="334">
        <v>72</v>
      </c>
      <c r="L893" s="334">
        <v>36</v>
      </c>
      <c r="M893" s="336">
        <v>36</v>
      </c>
    </row>
    <row r="894" spans="4:13">
      <c r="D894" s="226">
        <v>1720</v>
      </c>
      <c r="E894" s="224">
        <v>44414</v>
      </c>
      <c r="F894" s="207" t="s">
        <v>1534</v>
      </c>
      <c r="G894" s="207" t="s">
        <v>1503</v>
      </c>
      <c r="H894" s="207" t="s">
        <v>518</v>
      </c>
      <c r="I894" s="207">
        <v>4</v>
      </c>
      <c r="J894" s="334">
        <v>54</v>
      </c>
      <c r="K894" s="334">
        <v>216</v>
      </c>
      <c r="L894" s="334">
        <v>27</v>
      </c>
      <c r="M894" s="336">
        <v>108</v>
      </c>
    </row>
    <row r="895" spans="4:13">
      <c r="D895" s="226">
        <v>1721</v>
      </c>
      <c r="E895" s="224">
        <v>44415</v>
      </c>
      <c r="F895" s="207" t="s">
        <v>1533</v>
      </c>
      <c r="G895" s="207" t="s">
        <v>1502</v>
      </c>
      <c r="H895" s="207" t="s">
        <v>534</v>
      </c>
      <c r="I895" s="207">
        <v>5</v>
      </c>
      <c r="J895" s="334">
        <v>8</v>
      </c>
      <c r="K895" s="334">
        <v>40</v>
      </c>
      <c r="L895" s="334">
        <v>4</v>
      </c>
      <c r="M895" s="336">
        <v>20</v>
      </c>
    </row>
    <row r="896" spans="4:13">
      <c r="D896" s="226">
        <v>1722</v>
      </c>
      <c r="E896" s="224">
        <v>44415</v>
      </c>
      <c r="F896" s="207" t="s">
        <v>1534</v>
      </c>
      <c r="G896" s="207" t="s">
        <v>1503</v>
      </c>
      <c r="H896" s="207" t="s">
        <v>534</v>
      </c>
      <c r="I896" s="207">
        <v>7</v>
      </c>
      <c r="J896" s="334">
        <v>12</v>
      </c>
      <c r="K896" s="334">
        <v>84</v>
      </c>
      <c r="L896" s="334">
        <v>6</v>
      </c>
      <c r="M896" s="336">
        <v>42</v>
      </c>
    </row>
    <row r="897" spans="4:13">
      <c r="D897" s="226">
        <v>1723</v>
      </c>
      <c r="E897" s="224">
        <v>44415</v>
      </c>
      <c r="F897" s="207" t="s">
        <v>1531</v>
      </c>
      <c r="G897" s="207" t="s">
        <v>1497</v>
      </c>
      <c r="H897" s="207" t="s">
        <v>534</v>
      </c>
      <c r="I897" s="207">
        <v>10</v>
      </c>
      <c r="J897" s="334">
        <v>14</v>
      </c>
      <c r="K897" s="334">
        <v>140</v>
      </c>
      <c r="L897" s="334">
        <v>7</v>
      </c>
      <c r="M897" s="336">
        <v>70</v>
      </c>
    </row>
    <row r="898" spans="4:13">
      <c r="D898" s="226">
        <v>1724</v>
      </c>
      <c r="E898" s="224">
        <v>44416</v>
      </c>
      <c r="F898" s="207" t="s">
        <v>1534</v>
      </c>
      <c r="G898" s="207" t="s">
        <v>1503</v>
      </c>
      <c r="H898" s="207" t="s">
        <v>518</v>
      </c>
      <c r="I898" s="207">
        <v>6</v>
      </c>
      <c r="J898" s="334">
        <v>80</v>
      </c>
      <c r="K898" s="334">
        <v>480</v>
      </c>
      <c r="L898" s="334">
        <v>40</v>
      </c>
      <c r="M898" s="336">
        <v>240</v>
      </c>
    </row>
    <row r="899" spans="4:13">
      <c r="D899" s="226">
        <v>1725</v>
      </c>
      <c r="E899" s="224">
        <v>44416</v>
      </c>
      <c r="F899" s="207" t="s">
        <v>1534</v>
      </c>
      <c r="G899" s="207" t="s">
        <v>1503</v>
      </c>
      <c r="H899" s="207" t="s">
        <v>534</v>
      </c>
      <c r="I899" s="207">
        <v>7</v>
      </c>
      <c r="J899" s="334">
        <v>11</v>
      </c>
      <c r="K899" s="334">
        <v>77</v>
      </c>
      <c r="L899" s="334">
        <v>5.5</v>
      </c>
      <c r="M899" s="336">
        <v>38.5</v>
      </c>
    </row>
    <row r="900" spans="4:13">
      <c r="D900" s="226">
        <v>1726</v>
      </c>
      <c r="E900" s="224">
        <v>44416</v>
      </c>
      <c r="F900" s="207" t="s">
        <v>1531</v>
      </c>
      <c r="G900" s="207" t="s">
        <v>1497</v>
      </c>
      <c r="H900" s="207" t="s">
        <v>520</v>
      </c>
      <c r="I900" s="207">
        <v>1</v>
      </c>
      <c r="J900" s="334">
        <v>343</v>
      </c>
      <c r="K900" s="334">
        <v>343</v>
      </c>
      <c r="L900" s="334">
        <v>171.5</v>
      </c>
      <c r="M900" s="336">
        <v>171.5</v>
      </c>
    </row>
    <row r="901" spans="4:13">
      <c r="D901" s="226">
        <v>1727</v>
      </c>
      <c r="E901" s="224">
        <v>44416</v>
      </c>
      <c r="F901" s="207" t="s">
        <v>1532</v>
      </c>
      <c r="G901" s="207" t="s">
        <v>1499</v>
      </c>
      <c r="H901" s="207" t="s">
        <v>520</v>
      </c>
      <c r="I901" s="207">
        <v>1</v>
      </c>
      <c r="J901" s="334">
        <v>305</v>
      </c>
      <c r="K901" s="334">
        <v>305</v>
      </c>
      <c r="L901" s="334">
        <v>152.5</v>
      </c>
      <c r="M901" s="336">
        <v>152.5</v>
      </c>
    </row>
    <row r="902" spans="4:13">
      <c r="D902" s="226">
        <v>1728</v>
      </c>
      <c r="E902" s="224">
        <v>44416</v>
      </c>
      <c r="F902" s="207" t="s">
        <v>1532</v>
      </c>
      <c r="G902" s="207" t="s">
        <v>1499</v>
      </c>
      <c r="H902" s="207" t="s">
        <v>534</v>
      </c>
      <c r="I902" s="207">
        <v>3</v>
      </c>
      <c r="J902" s="334">
        <v>15</v>
      </c>
      <c r="K902" s="334">
        <v>45</v>
      </c>
      <c r="L902" s="334">
        <v>7.5</v>
      </c>
      <c r="M902" s="336">
        <v>22.5</v>
      </c>
    </row>
    <row r="903" spans="4:13">
      <c r="D903" s="226">
        <v>1729</v>
      </c>
      <c r="E903" s="224">
        <v>44416</v>
      </c>
      <c r="F903" s="207" t="s">
        <v>1534</v>
      </c>
      <c r="G903" s="207" t="s">
        <v>1503</v>
      </c>
      <c r="H903" s="207" t="s">
        <v>520</v>
      </c>
      <c r="I903" s="207">
        <v>1</v>
      </c>
      <c r="J903" s="334">
        <v>324</v>
      </c>
      <c r="K903" s="334">
        <v>324</v>
      </c>
      <c r="L903" s="334">
        <v>162</v>
      </c>
      <c r="M903" s="336">
        <v>162</v>
      </c>
    </row>
    <row r="904" spans="4:13">
      <c r="D904" s="226">
        <v>1730</v>
      </c>
      <c r="E904" s="224">
        <v>44417</v>
      </c>
      <c r="F904" s="207" t="s">
        <v>1533</v>
      </c>
      <c r="G904" s="207" t="s">
        <v>1502</v>
      </c>
      <c r="H904" s="207" t="s">
        <v>525</v>
      </c>
      <c r="I904" s="207">
        <v>9</v>
      </c>
      <c r="J904" s="334">
        <v>18</v>
      </c>
      <c r="K904" s="334">
        <v>162</v>
      </c>
      <c r="L904" s="334">
        <v>9</v>
      </c>
      <c r="M904" s="336">
        <v>81</v>
      </c>
    </row>
    <row r="905" spans="4:13">
      <c r="D905" s="226">
        <v>1731</v>
      </c>
      <c r="E905" s="224">
        <v>44417</v>
      </c>
      <c r="F905" s="207" t="s">
        <v>1533</v>
      </c>
      <c r="G905" s="207" t="s">
        <v>1502</v>
      </c>
      <c r="H905" s="207" t="s">
        <v>534</v>
      </c>
      <c r="I905" s="207">
        <v>10</v>
      </c>
      <c r="J905" s="334">
        <v>12</v>
      </c>
      <c r="K905" s="334">
        <v>120</v>
      </c>
      <c r="L905" s="334">
        <v>6</v>
      </c>
      <c r="M905" s="336">
        <v>60</v>
      </c>
    </row>
    <row r="906" spans="4:13">
      <c r="D906" s="226">
        <v>1732</v>
      </c>
      <c r="E906" s="224">
        <v>44417</v>
      </c>
      <c r="F906" s="207" t="s">
        <v>1530</v>
      </c>
      <c r="G906" s="207" t="s">
        <v>1494</v>
      </c>
      <c r="H906" s="207" t="s">
        <v>534</v>
      </c>
      <c r="I906" s="207">
        <v>1</v>
      </c>
      <c r="J906" s="334">
        <v>6</v>
      </c>
      <c r="K906" s="334">
        <v>6</v>
      </c>
      <c r="L906" s="334">
        <v>3</v>
      </c>
      <c r="M906" s="336">
        <v>3</v>
      </c>
    </row>
    <row r="907" spans="4:13">
      <c r="D907" s="226">
        <v>1733</v>
      </c>
      <c r="E907" s="224">
        <v>44418</v>
      </c>
      <c r="F907" s="207" t="s">
        <v>1530</v>
      </c>
      <c r="G907" s="207" t="s">
        <v>1494</v>
      </c>
      <c r="H907" s="207" t="s">
        <v>525</v>
      </c>
      <c r="I907" s="207">
        <v>6</v>
      </c>
      <c r="J907" s="334">
        <v>25</v>
      </c>
      <c r="K907" s="334">
        <v>150</v>
      </c>
      <c r="L907" s="334">
        <v>12.5</v>
      </c>
      <c r="M907" s="336">
        <v>75</v>
      </c>
    </row>
    <row r="908" spans="4:13">
      <c r="D908" s="226">
        <v>1734</v>
      </c>
      <c r="E908" s="224">
        <v>44418</v>
      </c>
      <c r="F908" s="207" t="s">
        <v>1530</v>
      </c>
      <c r="G908" s="207" t="s">
        <v>1494</v>
      </c>
      <c r="H908" s="207" t="s">
        <v>518</v>
      </c>
      <c r="I908" s="207">
        <v>10</v>
      </c>
      <c r="J908" s="334">
        <v>86</v>
      </c>
      <c r="K908" s="334">
        <v>860</v>
      </c>
      <c r="L908" s="334">
        <v>43</v>
      </c>
      <c r="M908" s="336">
        <v>430</v>
      </c>
    </row>
    <row r="909" spans="4:13">
      <c r="D909" s="226">
        <v>1735</v>
      </c>
      <c r="E909" s="224">
        <v>44419</v>
      </c>
      <c r="F909" s="207" t="s">
        <v>1532</v>
      </c>
      <c r="G909" s="207" t="s">
        <v>1499</v>
      </c>
      <c r="H909" s="207" t="s">
        <v>530</v>
      </c>
      <c r="I909" s="207">
        <v>5</v>
      </c>
      <c r="J909" s="334">
        <v>39</v>
      </c>
      <c r="K909" s="334">
        <v>195</v>
      </c>
      <c r="L909" s="334">
        <v>19.5</v>
      </c>
      <c r="M909" s="336">
        <v>97.5</v>
      </c>
    </row>
    <row r="910" spans="4:13">
      <c r="D910" s="226">
        <v>1736</v>
      </c>
      <c r="E910" s="224">
        <v>44419</v>
      </c>
      <c r="F910" s="207" t="s">
        <v>1533</v>
      </c>
      <c r="G910" s="207" t="s">
        <v>1502</v>
      </c>
      <c r="H910" s="207" t="s">
        <v>530</v>
      </c>
      <c r="I910" s="207">
        <v>2</v>
      </c>
      <c r="J910" s="334">
        <v>44</v>
      </c>
      <c r="K910" s="334">
        <v>88</v>
      </c>
      <c r="L910" s="334">
        <v>22</v>
      </c>
      <c r="M910" s="336">
        <v>44</v>
      </c>
    </row>
    <row r="911" spans="4:13">
      <c r="D911" s="226">
        <v>1737</v>
      </c>
      <c r="E911" s="224">
        <v>44419</v>
      </c>
      <c r="F911" s="207" t="s">
        <v>1532</v>
      </c>
      <c r="G911" s="207" t="s">
        <v>1499</v>
      </c>
      <c r="H911" s="207" t="s">
        <v>518</v>
      </c>
      <c r="I911" s="207">
        <v>1</v>
      </c>
      <c r="J911" s="334">
        <v>95</v>
      </c>
      <c r="K911" s="334">
        <v>95</v>
      </c>
      <c r="L911" s="334">
        <v>47.5</v>
      </c>
      <c r="M911" s="336">
        <v>47.5</v>
      </c>
    </row>
    <row r="912" spans="4:13">
      <c r="D912" s="226">
        <v>1738</v>
      </c>
      <c r="E912" s="224">
        <v>44419</v>
      </c>
      <c r="F912" s="207" t="s">
        <v>1533</v>
      </c>
      <c r="G912" s="207" t="s">
        <v>1502</v>
      </c>
      <c r="H912" s="207" t="s">
        <v>525</v>
      </c>
      <c r="I912" s="207">
        <v>10</v>
      </c>
      <c r="J912" s="334">
        <v>12</v>
      </c>
      <c r="K912" s="334">
        <v>120</v>
      </c>
      <c r="L912" s="334">
        <v>6</v>
      </c>
      <c r="M912" s="336">
        <v>60</v>
      </c>
    </row>
    <row r="913" spans="4:13">
      <c r="D913" s="226">
        <v>1739</v>
      </c>
      <c r="E913" s="224">
        <v>44419</v>
      </c>
      <c r="F913" s="207" t="s">
        <v>1530</v>
      </c>
      <c r="G913" s="207" t="s">
        <v>1494</v>
      </c>
      <c r="H913" s="207" t="s">
        <v>518</v>
      </c>
      <c r="I913" s="207">
        <v>7</v>
      </c>
      <c r="J913" s="334">
        <v>51</v>
      </c>
      <c r="K913" s="334">
        <v>357</v>
      </c>
      <c r="L913" s="334">
        <v>25.5</v>
      </c>
      <c r="M913" s="336">
        <v>178.5</v>
      </c>
    </row>
    <row r="914" spans="4:13">
      <c r="D914" s="226">
        <v>1740</v>
      </c>
      <c r="E914" s="224">
        <v>44420</v>
      </c>
      <c r="F914" s="207" t="s">
        <v>1531</v>
      </c>
      <c r="G914" s="207" t="s">
        <v>1497</v>
      </c>
      <c r="H914" s="207" t="s">
        <v>518</v>
      </c>
      <c r="I914" s="207">
        <v>4</v>
      </c>
      <c r="J914" s="334">
        <v>68</v>
      </c>
      <c r="K914" s="334">
        <v>272</v>
      </c>
      <c r="L914" s="334">
        <v>34</v>
      </c>
      <c r="M914" s="336">
        <v>136</v>
      </c>
    </row>
    <row r="915" spans="4:13">
      <c r="D915" s="226">
        <v>1741</v>
      </c>
      <c r="E915" s="224">
        <v>44420</v>
      </c>
      <c r="F915" s="207" t="s">
        <v>1530</v>
      </c>
      <c r="G915" s="207" t="s">
        <v>1494</v>
      </c>
      <c r="H915" s="207" t="s">
        <v>530</v>
      </c>
      <c r="I915" s="207">
        <v>8</v>
      </c>
      <c r="J915" s="334">
        <v>50</v>
      </c>
      <c r="K915" s="334">
        <v>400</v>
      </c>
      <c r="L915" s="334">
        <v>25</v>
      </c>
      <c r="M915" s="336">
        <v>200</v>
      </c>
    </row>
    <row r="916" spans="4:13">
      <c r="D916" s="226">
        <v>1742</v>
      </c>
      <c r="E916" s="224">
        <v>44421</v>
      </c>
      <c r="F916" s="207" t="s">
        <v>1531</v>
      </c>
      <c r="G916" s="207" t="s">
        <v>1497</v>
      </c>
      <c r="H916" s="207" t="s">
        <v>534</v>
      </c>
      <c r="I916" s="207">
        <v>5</v>
      </c>
      <c r="J916" s="334">
        <v>9</v>
      </c>
      <c r="K916" s="334">
        <v>45</v>
      </c>
      <c r="L916" s="334">
        <v>4.5</v>
      </c>
      <c r="M916" s="336">
        <v>22.5</v>
      </c>
    </row>
    <row r="917" spans="4:13">
      <c r="D917" s="226">
        <v>1743</v>
      </c>
      <c r="E917" s="224">
        <v>44421</v>
      </c>
      <c r="F917" s="207" t="s">
        <v>1532</v>
      </c>
      <c r="G917" s="207" t="s">
        <v>1499</v>
      </c>
      <c r="H917" s="207" t="s">
        <v>525</v>
      </c>
      <c r="I917" s="207">
        <v>18</v>
      </c>
      <c r="J917" s="334">
        <v>21</v>
      </c>
      <c r="K917" s="334">
        <v>378</v>
      </c>
      <c r="L917" s="334">
        <v>10.5</v>
      </c>
      <c r="M917" s="336">
        <v>189</v>
      </c>
    </row>
    <row r="918" spans="4:13">
      <c r="D918" s="226">
        <v>1744</v>
      </c>
      <c r="E918" s="224">
        <v>44421</v>
      </c>
      <c r="F918" s="207" t="s">
        <v>1531</v>
      </c>
      <c r="G918" s="207" t="s">
        <v>1497</v>
      </c>
      <c r="H918" s="207" t="s">
        <v>525</v>
      </c>
      <c r="I918" s="207">
        <v>7</v>
      </c>
      <c r="J918" s="334">
        <v>23</v>
      </c>
      <c r="K918" s="334">
        <v>161</v>
      </c>
      <c r="L918" s="334">
        <v>11.5</v>
      </c>
      <c r="M918" s="336">
        <v>80.5</v>
      </c>
    </row>
    <row r="919" spans="4:13">
      <c r="D919" s="226">
        <v>1745</v>
      </c>
      <c r="E919" s="224">
        <v>44422</v>
      </c>
      <c r="F919" s="207" t="s">
        <v>1534</v>
      </c>
      <c r="G919" s="207" t="s">
        <v>1503</v>
      </c>
      <c r="H919" s="207" t="s">
        <v>530</v>
      </c>
      <c r="I919" s="207">
        <v>5</v>
      </c>
      <c r="J919" s="334">
        <v>25</v>
      </c>
      <c r="K919" s="334">
        <v>125</v>
      </c>
      <c r="L919" s="334">
        <v>12.5</v>
      </c>
      <c r="M919" s="336">
        <v>62.5</v>
      </c>
    </row>
    <row r="920" spans="4:13">
      <c r="D920" s="226">
        <v>1746</v>
      </c>
      <c r="E920" s="224">
        <v>44422</v>
      </c>
      <c r="F920" s="207" t="s">
        <v>1534</v>
      </c>
      <c r="G920" s="207" t="s">
        <v>1503</v>
      </c>
      <c r="H920" s="207" t="s">
        <v>518</v>
      </c>
      <c r="I920" s="207">
        <v>6</v>
      </c>
      <c r="J920" s="334">
        <v>63</v>
      </c>
      <c r="K920" s="334">
        <v>378</v>
      </c>
      <c r="L920" s="334">
        <v>31.5</v>
      </c>
      <c r="M920" s="336">
        <v>189</v>
      </c>
    </row>
    <row r="921" spans="4:13">
      <c r="D921" s="226">
        <v>1747</v>
      </c>
      <c r="E921" s="224">
        <v>44423</v>
      </c>
      <c r="F921" s="207" t="s">
        <v>1531</v>
      </c>
      <c r="G921" s="207" t="s">
        <v>1497</v>
      </c>
      <c r="H921" s="207" t="s">
        <v>530</v>
      </c>
      <c r="I921" s="207">
        <v>9</v>
      </c>
      <c r="J921" s="334">
        <v>25</v>
      </c>
      <c r="K921" s="334">
        <v>225</v>
      </c>
      <c r="L921" s="334">
        <v>12.5</v>
      </c>
      <c r="M921" s="336">
        <v>112.5</v>
      </c>
    </row>
    <row r="922" spans="4:13">
      <c r="D922" s="226">
        <v>1748</v>
      </c>
      <c r="E922" s="224">
        <v>44423</v>
      </c>
      <c r="F922" s="207" t="s">
        <v>1532</v>
      </c>
      <c r="G922" s="207" t="s">
        <v>1499</v>
      </c>
      <c r="H922" s="207" t="s">
        <v>534</v>
      </c>
      <c r="I922" s="207">
        <v>10</v>
      </c>
      <c r="J922" s="334">
        <v>14</v>
      </c>
      <c r="K922" s="334">
        <v>140</v>
      </c>
      <c r="L922" s="334">
        <v>7</v>
      </c>
      <c r="M922" s="336">
        <v>70</v>
      </c>
    </row>
    <row r="923" spans="4:13">
      <c r="D923" s="226">
        <v>1749</v>
      </c>
      <c r="E923" s="224">
        <v>44423</v>
      </c>
      <c r="F923" s="207" t="s">
        <v>1531</v>
      </c>
      <c r="G923" s="207" t="s">
        <v>1497</v>
      </c>
      <c r="H923" s="207" t="s">
        <v>534</v>
      </c>
      <c r="I923" s="207">
        <v>6</v>
      </c>
      <c r="J923" s="334">
        <v>6</v>
      </c>
      <c r="K923" s="334">
        <v>36</v>
      </c>
      <c r="L923" s="334">
        <v>3</v>
      </c>
      <c r="M923" s="336">
        <v>18</v>
      </c>
    </row>
    <row r="924" spans="4:13">
      <c r="D924" s="226">
        <v>1750</v>
      </c>
      <c r="E924" s="224">
        <v>44423</v>
      </c>
      <c r="F924" s="207" t="s">
        <v>1532</v>
      </c>
      <c r="G924" s="207" t="s">
        <v>1499</v>
      </c>
      <c r="H924" s="207" t="s">
        <v>525</v>
      </c>
      <c r="I924" s="207">
        <v>15</v>
      </c>
      <c r="J924" s="334">
        <v>22</v>
      </c>
      <c r="K924" s="334">
        <v>330</v>
      </c>
      <c r="L924" s="334">
        <v>11</v>
      </c>
      <c r="M924" s="336">
        <v>165</v>
      </c>
    </row>
    <row r="925" spans="4:13">
      <c r="D925" s="226">
        <v>1751</v>
      </c>
      <c r="E925" s="224">
        <v>44424</v>
      </c>
      <c r="F925" s="207" t="s">
        <v>1534</v>
      </c>
      <c r="G925" s="207" t="s">
        <v>1503</v>
      </c>
      <c r="H925" s="207" t="s">
        <v>520</v>
      </c>
      <c r="I925" s="207">
        <v>1</v>
      </c>
      <c r="J925" s="334">
        <v>354</v>
      </c>
      <c r="K925" s="334">
        <v>354</v>
      </c>
      <c r="L925" s="334">
        <v>177</v>
      </c>
      <c r="M925" s="336">
        <v>177</v>
      </c>
    </row>
    <row r="926" spans="4:13">
      <c r="D926" s="226">
        <v>1752</v>
      </c>
      <c r="E926" s="224">
        <v>44424</v>
      </c>
      <c r="F926" s="207" t="s">
        <v>1532</v>
      </c>
      <c r="G926" s="207" t="s">
        <v>1499</v>
      </c>
      <c r="H926" s="207" t="s">
        <v>520</v>
      </c>
      <c r="I926" s="207">
        <v>2</v>
      </c>
      <c r="J926" s="334">
        <v>283</v>
      </c>
      <c r="K926" s="334">
        <v>566</v>
      </c>
      <c r="L926" s="334">
        <v>141.5</v>
      </c>
      <c r="M926" s="336">
        <v>283</v>
      </c>
    </row>
    <row r="927" spans="4:13">
      <c r="D927" s="226">
        <v>1753</v>
      </c>
      <c r="E927" s="224">
        <v>44424</v>
      </c>
      <c r="F927" s="207" t="s">
        <v>1533</v>
      </c>
      <c r="G927" s="207" t="s">
        <v>1502</v>
      </c>
      <c r="H927" s="207" t="s">
        <v>530</v>
      </c>
      <c r="I927" s="207">
        <v>2</v>
      </c>
      <c r="J927" s="334">
        <v>34</v>
      </c>
      <c r="K927" s="334">
        <v>68</v>
      </c>
      <c r="L927" s="334">
        <v>17</v>
      </c>
      <c r="M927" s="336">
        <v>34</v>
      </c>
    </row>
    <row r="928" spans="4:13">
      <c r="D928" s="226">
        <v>1754</v>
      </c>
      <c r="E928" s="224">
        <v>44425</v>
      </c>
      <c r="F928" s="207" t="s">
        <v>1531</v>
      </c>
      <c r="G928" s="207" t="s">
        <v>1497</v>
      </c>
      <c r="H928" s="207" t="s">
        <v>525</v>
      </c>
      <c r="I928" s="207">
        <v>1</v>
      </c>
      <c r="J928" s="334">
        <v>19</v>
      </c>
      <c r="K928" s="334">
        <v>19</v>
      </c>
      <c r="L928" s="334">
        <v>9.5</v>
      </c>
      <c r="M928" s="336">
        <v>9.5</v>
      </c>
    </row>
    <row r="929" spans="4:13">
      <c r="D929" s="226">
        <v>1755</v>
      </c>
      <c r="E929" s="224">
        <v>44425</v>
      </c>
      <c r="F929" s="207" t="s">
        <v>1532</v>
      </c>
      <c r="G929" s="207" t="s">
        <v>1499</v>
      </c>
      <c r="H929" s="207" t="s">
        <v>518</v>
      </c>
      <c r="I929" s="207">
        <v>3</v>
      </c>
      <c r="J929" s="334">
        <v>76</v>
      </c>
      <c r="K929" s="334">
        <v>228</v>
      </c>
      <c r="L929" s="334">
        <v>38</v>
      </c>
      <c r="M929" s="336">
        <v>114</v>
      </c>
    </row>
    <row r="930" spans="4:13">
      <c r="D930" s="226">
        <v>1756</v>
      </c>
      <c r="E930" s="224">
        <v>44425</v>
      </c>
      <c r="F930" s="207" t="s">
        <v>1533</v>
      </c>
      <c r="G930" s="207" t="s">
        <v>1502</v>
      </c>
      <c r="H930" s="207" t="s">
        <v>518</v>
      </c>
      <c r="I930" s="207">
        <v>10</v>
      </c>
      <c r="J930" s="334">
        <v>86</v>
      </c>
      <c r="K930" s="334">
        <v>860</v>
      </c>
      <c r="L930" s="334">
        <v>43</v>
      </c>
      <c r="M930" s="336">
        <v>430</v>
      </c>
    </row>
    <row r="931" spans="4:13">
      <c r="D931" s="226">
        <v>1757</v>
      </c>
      <c r="E931" s="224">
        <v>44425</v>
      </c>
      <c r="F931" s="207" t="s">
        <v>1530</v>
      </c>
      <c r="G931" s="207" t="s">
        <v>1494</v>
      </c>
      <c r="H931" s="207" t="s">
        <v>525</v>
      </c>
      <c r="I931" s="207">
        <v>8</v>
      </c>
      <c r="J931" s="334">
        <v>12</v>
      </c>
      <c r="K931" s="334">
        <v>96</v>
      </c>
      <c r="L931" s="334">
        <v>6</v>
      </c>
      <c r="M931" s="336">
        <v>48</v>
      </c>
    </row>
    <row r="932" spans="4:13">
      <c r="D932" s="226">
        <v>1758</v>
      </c>
      <c r="E932" s="224">
        <v>44426</v>
      </c>
      <c r="F932" s="207" t="s">
        <v>1532</v>
      </c>
      <c r="G932" s="207" t="s">
        <v>1499</v>
      </c>
      <c r="H932" s="207" t="s">
        <v>525</v>
      </c>
      <c r="I932" s="207">
        <v>7</v>
      </c>
      <c r="J932" s="334">
        <v>24</v>
      </c>
      <c r="K932" s="334">
        <v>168</v>
      </c>
      <c r="L932" s="334">
        <v>12</v>
      </c>
      <c r="M932" s="336">
        <v>84</v>
      </c>
    </row>
    <row r="933" spans="4:13">
      <c r="D933" s="226">
        <v>1759</v>
      </c>
      <c r="E933" s="224">
        <v>44426</v>
      </c>
      <c r="F933" s="207" t="s">
        <v>1532</v>
      </c>
      <c r="G933" s="207" t="s">
        <v>1499</v>
      </c>
      <c r="H933" s="207" t="s">
        <v>530</v>
      </c>
      <c r="I933" s="207">
        <v>7</v>
      </c>
      <c r="J933" s="334">
        <v>20</v>
      </c>
      <c r="K933" s="334">
        <v>140</v>
      </c>
      <c r="L933" s="334">
        <v>10</v>
      </c>
      <c r="M933" s="336">
        <v>70</v>
      </c>
    </row>
    <row r="934" spans="4:13">
      <c r="D934" s="226">
        <v>1760</v>
      </c>
      <c r="E934" s="224">
        <v>44427</v>
      </c>
      <c r="F934" s="207" t="s">
        <v>1534</v>
      </c>
      <c r="G934" s="207" t="s">
        <v>1503</v>
      </c>
      <c r="H934" s="207" t="s">
        <v>518</v>
      </c>
      <c r="I934" s="207">
        <v>4</v>
      </c>
      <c r="J934" s="334">
        <v>88</v>
      </c>
      <c r="K934" s="334">
        <v>352</v>
      </c>
      <c r="L934" s="334">
        <v>44</v>
      </c>
      <c r="M934" s="336">
        <v>176</v>
      </c>
    </row>
    <row r="935" spans="4:13">
      <c r="D935" s="226">
        <v>1761</v>
      </c>
      <c r="E935" s="224">
        <v>44427</v>
      </c>
      <c r="F935" s="207" t="s">
        <v>1534</v>
      </c>
      <c r="G935" s="207" t="s">
        <v>1503</v>
      </c>
      <c r="H935" s="207" t="s">
        <v>520</v>
      </c>
      <c r="I935" s="207">
        <v>1</v>
      </c>
      <c r="J935" s="334">
        <v>212</v>
      </c>
      <c r="K935" s="334">
        <v>212</v>
      </c>
      <c r="L935" s="334">
        <v>106</v>
      </c>
      <c r="M935" s="336">
        <v>106</v>
      </c>
    </row>
    <row r="936" spans="4:13">
      <c r="D936" s="226">
        <v>1762</v>
      </c>
      <c r="E936" s="224">
        <v>44427</v>
      </c>
      <c r="F936" s="207" t="s">
        <v>1532</v>
      </c>
      <c r="G936" s="207" t="s">
        <v>1499</v>
      </c>
      <c r="H936" s="207" t="s">
        <v>525</v>
      </c>
      <c r="I936" s="207">
        <v>5</v>
      </c>
      <c r="J936" s="334">
        <v>13</v>
      </c>
      <c r="K936" s="334">
        <v>65</v>
      </c>
      <c r="L936" s="334">
        <v>6.5</v>
      </c>
      <c r="M936" s="336">
        <v>32.5</v>
      </c>
    </row>
    <row r="937" spans="4:13">
      <c r="D937" s="226">
        <v>1763</v>
      </c>
      <c r="E937" s="224">
        <v>44427</v>
      </c>
      <c r="F937" s="207" t="s">
        <v>1533</v>
      </c>
      <c r="G937" s="207" t="s">
        <v>1502</v>
      </c>
      <c r="H937" s="207" t="s">
        <v>530</v>
      </c>
      <c r="I937" s="207">
        <v>5</v>
      </c>
      <c r="J937" s="334">
        <v>44</v>
      </c>
      <c r="K937" s="334">
        <v>220</v>
      </c>
      <c r="L937" s="334">
        <v>22</v>
      </c>
      <c r="M937" s="336">
        <v>110</v>
      </c>
    </row>
    <row r="938" spans="4:13">
      <c r="D938" s="226">
        <v>1764</v>
      </c>
      <c r="E938" s="224">
        <v>44428</v>
      </c>
      <c r="F938" s="207" t="s">
        <v>1531</v>
      </c>
      <c r="G938" s="207" t="s">
        <v>1497</v>
      </c>
      <c r="H938" s="207" t="s">
        <v>534</v>
      </c>
      <c r="I938" s="207">
        <v>9</v>
      </c>
      <c r="J938" s="334">
        <v>13</v>
      </c>
      <c r="K938" s="334">
        <v>117</v>
      </c>
      <c r="L938" s="334">
        <v>6.5</v>
      </c>
      <c r="M938" s="336">
        <v>58.5</v>
      </c>
    </row>
    <row r="939" spans="4:13">
      <c r="D939" s="226">
        <v>1765</v>
      </c>
      <c r="E939" s="224">
        <v>44428</v>
      </c>
      <c r="F939" s="207" t="s">
        <v>1534</v>
      </c>
      <c r="G939" s="207" t="s">
        <v>1503</v>
      </c>
      <c r="H939" s="207" t="s">
        <v>525</v>
      </c>
      <c r="I939" s="207">
        <v>5</v>
      </c>
      <c r="J939" s="334">
        <v>21</v>
      </c>
      <c r="K939" s="334">
        <v>105</v>
      </c>
      <c r="L939" s="334">
        <v>10.5</v>
      </c>
      <c r="M939" s="336">
        <v>52.5</v>
      </c>
    </row>
    <row r="940" spans="4:13">
      <c r="D940" s="226">
        <v>1766</v>
      </c>
      <c r="E940" s="224">
        <v>44429</v>
      </c>
      <c r="F940" s="207" t="s">
        <v>1533</v>
      </c>
      <c r="G940" s="207" t="s">
        <v>1502</v>
      </c>
      <c r="H940" s="207" t="s">
        <v>518</v>
      </c>
      <c r="I940" s="207">
        <v>10</v>
      </c>
      <c r="J940" s="334">
        <v>75</v>
      </c>
      <c r="K940" s="334">
        <v>750</v>
      </c>
      <c r="L940" s="334">
        <v>37.5</v>
      </c>
      <c r="M940" s="336">
        <v>375</v>
      </c>
    </row>
    <row r="941" spans="4:13">
      <c r="D941" s="226">
        <v>1767</v>
      </c>
      <c r="E941" s="224">
        <v>44429</v>
      </c>
      <c r="F941" s="207" t="s">
        <v>1530</v>
      </c>
      <c r="G941" s="207" t="s">
        <v>1494</v>
      </c>
      <c r="H941" s="207" t="s">
        <v>530</v>
      </c>
      <c r="I941" s="207">
        <v>5</v>
      </c>
      <c r="J941" s="334">
        <v>36</v>
      </c>
      <c r="K941" s="334">
        <v>180</v>
      </c>
      <c r="L941" s="334">
        <v>18</v>
      </c>
      <c r="M941" s="336">
        <v>90</v>
      </c>
    </row>
    <row r="942" spans="4:13">
      <c r="D942" s="226">
        <v>1768</v>
      </c>
      <c r="E942" s="224">
        <v>44429</v>
      </c>
      <c r="F942" s="207" t="s">
        <v>1530</v>
      </c>
      <c r="G942" s="207" t="s">
        <v>1494</v>
      </c>
      <c r="H942" s="207" t="s">
        <v>518</v>
      </c>
      <c r="I942" s="207">
        <v>10</v>
      </c>
      <c r="J942" s="334">
        <v>94</v>
      </c>
      <c r="K942" s="334">
        <v>940</v>
      </c>
      <c r="L942" s="334">
        <v>47</v>
      </c>
      <c r="M942" s="336">
        <v>470</v>
      </c>
    </row>
    <row r="943" spans="4:13">
      <c r="D943" s="226">
        <v>1769</v>
      </c>
      <c r="E943" s="224">
        <v>44430</v>
      </c>
      <c r="F943" s="207" t="s">
        <v>1533</v>
      </c>
      <c r="G943" s="207" t="s">
        <v>1502</v>
      </c>
      <c r="H943" s="207" t="s">
        <v>520</v>
      </c>
      <c r="I943" s="207">
        <v>2</v>
      </c>
      <c r="J943" s="334">
        <v>212</v>
      </c>
      <c r="K943" s="334">
        <v>424</v>
      </c>
      <c r="L943" s="334">
        <v>106</v>
      </c>
      <c r="M943" s="336">
        <v>212</v>
      </c>
    </row>
    <row r="944" spans="4:13">
      <c r="D944" s="226">
        <v>1770</v>
      </c>
      <c r="E944" s="224">
        <v>44430</v>
      </c>
      <c r="F944" s="207" t="s">
        <v>1534</v>
      </c>
      <c r="G944" s="207" t="s">
        <v>1503</v>
      </c>
      <c r="H944" s="207" t="s">
        <v>534</v>
      </c>
      <c r="I944" s="207">
        <v>8</v>
      </c>
      <c r="J944" s="334">
        <v>15</v>
      </c>
      <c r="K944" s="334">
        <v>120</v>
      </c>
      <c r="L944" s="334">
        <v>7.5</v>
      </c>
      <c r="M944" s="336">
        <v>60</v>
      </c>
    </row>
    <row r="945" spans="4:13">
      <c r="D945" s="226">
        <v>1771</v>
      </c>
      <c r="E945" s="224">
        <v>44430</v>
      </c>
      <c r="F945" s="207" t="s">
        <v>1532</v>
      </c>
      <c r="G945" s="207" t="s">
        <v>1499</v>
      </c>
      <c r="H945" s="207" t="s">
        <v>534</v>
      </c>
      <c r="I945" s="207">
        <v>9</v>
      </c>
      <c r="J945" s="334">
        <v>13</v>
      </c>
      <c r="K945" s="334">
        <v>117</v>
      </c>
      <c r="L945" s="334">
        <v>6.5</v>
      </c>
      <c r="M945" s="336">
        <v>58.5</v>
      </c>
    </row>
    <row r="946" spans="4:13">
      <c r="D946" s="226">
        <v>1772</v>
      </c>
      <c r="E946" s="224">
        <v>44431</v>
      </c>
      <c r="F946" s="207" t="s">
        <v>1530</v>
      </c>
      <c r="G946" s="207" t="s">
        <v>1494</v>
      </c>
      <c r="H946" s="207" t="s">
        <v>520</v>
      </c>
      <c r="I946" s="207">
        <v>1</v>
      </c>
      <c r="J946" s="334">
        <v>373</v>
      </c>
      <c r="K946" s="334">
        <v>373</v>
      </c>
      <c r="L946" s="334">
        <v>186.5</v>
      </c>
      <c r="M946" s="336">
        <v>186.5</v>
      </c>
    </row>
    <row r="947" spans="4:13">
      <c r="D947" s="226">
        <v>1773</v>
      </c>
      <c r="E947" s="224">
        <v>44431</v>
      </c>
      <c r="F947" s="207" t="s">
        <v>1533</v>
      </c>
      <c r="G947" s="207" t="s">
        <v>1502</v>
      </c>
      <c r="H947" s="207" t="s">
        <v>534</v>
      </c>
      <c r="I947" s="207">
        <v>5</v>
      </c>
      <c r="J947" s="334">
        <v>13</v>
      </c>
      <c r="K947" s="334">
        <v>65</v>
      </c>
      <c r="L947" s="334">
        <v>6.5</v>
      </c>
      <c r="M947" s="336">
        <v>32.5</v>
      </c>
    </row>
    <row r="948" spans="4:13">
      <c r="D948" s="226">
        <v>1774</v>
      </c>
      <c r="E948" s="224">
        <v>44432</v>
      </c>
      <c r="F948" s="207" t="s">
        <v>1531</v>
      </c>
      <c r="G948" s="207" t="s">
        <v>1497</v>
      </c>
      <c r="H948" s="207" t="s">
        <v>525</v>
      </c>
      <c r="I948" s="207">
        <v>11</v>
      </c>
      <c r="J948" s="334">
        <v>22</v>
      </c>
      <c r="K948" s="334">
        <v>242</v>
      </c>
      <c r="L948" s="334">
        <v>11</v>
      </c>
      <c r="M948" s="336">
        <v>121</v>
      </c>
    </row>
    <row r="949" spans="4:13">
      <c r="D949" s="226">
        <v>1775</v>
      </c>
      <c r="E949" s="224">
        <v>44432</v>
      </c>
      <c r="F949" s="207" t="s">
        <v>1532</v>
      </c>
      <c r="G949" s="207" t="s">
        <v>1499</v>
      </c>
      <c r="H949" s="207" t="s">
        <v>518</v>
      </c>
      <c r="I949" s="207">
        <v>4</v>
      </c>
      <c r="J949" s="334">
        <v>95</v>
      </c>
      <c r="K949" s="334">
        <v>380</v>
      </c>
      <c r="L949" s="334">
        <v>47.5</v>
      </c>
      <c r="M949" s="336">
        <v>190</v>
      </c>
    </row>
    <row r="950" spans="4:13">
      <c r="D950" s="226">
        <v>1776</v>
      </c>
      <c r="E950" s="224">
        <v>44433</v>
      </c>
      <c r="F950" s="207" t="s">
        <v>1531</v>
      </c>
      <c r="G950" s="207" t="s">
        <v>1497</v>
      </c>
      <c r="H950" s="207" t="s">
        <v>525</v>
      </c>
      <c r="I950" s="207">
        <v>3</v>
      </c>
      <c r="J950" s="334">
        <v>20</v>
      </c>
      <c r="K950" s="334">
        <v>60</v>
      </c>
      <c r="L950" s="334">
        <v>10</v>
      </c>
      <c r="M950" s="336">
        <v>30</v>
      </c>
    </row>
    <row r="951" spans="4:13">
      <c r="D951" s="226">
        <v>1777</v>
      </c>
      <c r="E951" s="224">
        <v>44433</v>
      </c>
      <c r="F951" s="207" t="s">
        <v>1530</v>
      </c>
      <c r="G951" s="207" t="s">
        <v>1494</v>
      </c>
      <c r="H951" s="207" t="s">
        <v>520</v>
      </c>
      <c r="I951" s="207">
        <v>1</v>
      </c>
      <c r="J951" s="334">
        <v>206</v>
      </c>
      <c r="K951" s="334">
        <v>206</v>
      </c>
      <c r="L951" s="334">
        <v>103</v>
      </c>
      <c r="M951" s="336">
        <v>103</v>
      </c>
    </row>
    <row r="952" spans="4:13">
      <c r="D952" s="226">
        <v>1778</v>
      </c>
      <c r="E952" s="224">
        <v>44433</v>
      </c>
      <c r="F952" s="207" t="s">
        <v>1532</v>
      </c>
      <c r="G952" s="207" t="s">
        <v>1499</v>
      </c>
      <c r="H952" s="207" t="s">
        <v>518</v>
      </c>
      <c r="I952" s="207">
        <v>3</v>
      </c>
      <c r="J952" s="334">
        <v>81</v>
      </c>
      <c r="K952" s="334">
        <v>243</v>
      </c>
      <c r="L952" s="334">
        <v>40.5</v>
      </c>
      <c r="M952" s="336">
        <v>121.5</v>
      </c>
    </row>
    <row r="953" spans="4:13">
      <c r="D953" s="226">
        <v>1779</v>
      </c>
      <c r="E953" s="224">
        <v>44433</v>
      </c>
      <c r="F953" s="207" t="s">
        <v>1534</v>
      </c>
      <c r="G953" s="207" t="s">
        <v>1503</v>
      </c>
      <c r="H953" s="207" t="s">
        <v>518</v>
      </c>
      <c r="I953" s="207">
        <v>1</v>
      </c>
      <c r="J953" s="334">
        <v>81</v>
      </c>
      <c r="K953" s="334">
        <v>81</v>
      </c>
      <c r="L953" s="334">
        <v>40.5</v>
      </c>
      <c r="M953" s="336">
        <v>40.5</v>
      </c>
    </row>
    <row r="954" spans="4:13">
      <c r="D954" s="226">
        <v>1780</v>
      </c>
      <c r="E954" s="224">
        <v>44434</v>
      </c>
      <c r="F954" s="207" t="s">
        <v>1531</v>
      </c>
      <c r="G954" s="207" t="s">
        <v>1497</v>
      </c>
      <c r="H954" s="207" t="s">
        <v>534</v>
      </c>
      <c r="I954" s="207">
        <v>9</v>
      </c>
      <c r="J954" s="334">
        <v>15</v>
      </c>
      <c r="K954" s="334">
        <v>135</v>
      </c>
      <c r="L954" s="334">
        <v>7.5</v>
      </c>
      <c r="M954" s="336">
        <v>67.5</v>
      </c>
    </row>
    <row r="955" spans="4:13">
      <c r="D955" s="226">
        <v>1781</v>
      </c>
      <c r="E955" s="224">
        <v>44434</v>
      </c>
      <c r="F955" s="207" t="s">
        <v>1531</v>
      </c>
      <c r="G955" s="207" t="s">
        <v>1497</v>
      </c>
      <c r="H955" s="207" t="s">
        <v>518</v>
      </c>
      <c r="I955" s="207">
        <v>4</v>
      </c>
      <c r="J955" s="334">
        <v>82</v>
      </c>
      <c r="K955" s="334">
        <v>328</v>
      </c>
      <c r="L955" s="334">
        <v>41</v>
      </c>
      <c r="M955" s="336">
        <v>164</v>
      </c>
    </row>
    <row r="956" spans="4:13">
      <c r="D956" s="226">
        <v>1782</v>
      </c>
      <c r="E956" s="224">
        <v>44434</v>
      </c>
      <c r="F956" s="207" t="s">
        <v>1531</v>
      </c>
      <c r="G956" s="207" t="s">
        <v>1497</v>
      </c>
      <c r="H956" s="207" t="s">
        <v>525</v>
      </c>
      <c r="I956" s="207">
        <v>20</v>
      </c>
      <c r="J956" s="334">
        <v>15</v>
      </c>
      <c r="K956" s="334">
        <v>300</v>
      </c>
      <c r="L956" s="334">
        <v>7.5</v>
      </c>
      <c r="M956" s="336">
        <v>150</v>
      </c>
    </row>
    <row r="957" spans="4:13">
      <c r="D957" s="226">
        <v>1783</v>
      </c>
      <c r="E957" s="224">
        <v>44435</v>
      </c>
      <c r="F957" s="207" t="s">
        <v>1531</v>
      </c>
      <c r="G957" s="207" t="s">
        <v>1497</v>
      </c>
      <c r="H957" s="207" t="s">
        <v>525</v>
      </c>
      <c r="I957" s="207">
        <v>2</v>
      </c>
      <c r="J957" s="334">
        <v>18</v>
      </c>
      <c r="K957" s="334">
        <v>36</v>
      </c>
      <c r="L957" s="334">
        <v>9</v>
      </c>
      <c r="M957" s="336">
        <v>18</v>
      </c>
    </row>
    <row r="958" spans="4:13">
      <c r="D958" s="226">
        <v>1784</v>
      </c>
      <c r="E958" s="224">
        <v>44435</v>
      </c>
      <c r="F958" s="207" t="s">
        <v>1532</v>
      </c>
      <c r="G958" s="207" t="s">
        <v>1499</v>
      </c>
      <c r="H958" s="207" t="s">
        <v>525</v>
      </c>
      <c r="I958" s="207">
        <v>7</v>
      </c>
      <c r="J958" s="334">
        <v>14</v>
      </c>
      <c r="K958" s="334">
        <v>98</v>
      </c>
      <c r="L958" s="334">
        <v>7</v>
      </c>
      <c r="M958" s="336">
        <v>49</v>
      </c>
    </row>
    <row r="959" spans="4:13">
      <c r="D959" s="226">
        <v>1785</v>
      </c>
      <c r="E959" s="224">
        <v>44436</v>
      </c>
      <c r="F959" s="207" t="s">
        <v>1530</v>
      </c>
      <c r="G959" s="207" t="s">
        <v>1494</v>
      </c>
      <c r="H959" s="207" t="s">
        <v>530</v>
      </c>
      <c r="I959" s="207">
        <v>8</v>
      </c>
      <c r="J959" s="334">
        <v>43</v>
      </c>
      <c r="K959" s="334">
        <v>344</v>
      </c>
      <c r="L959" s="334">
        <v>21.5</v>
      </c>
      <c r="M959" s="336">
        <v>172</v>
      </c>
    </row>
    <row r="960" spans="4:13">
      <c r="D960" s="226">
        <v>1786</v>
      </c>
      <c r="E960" s="224">
        <v>44436</v>
      </c>
      <c r="F960" s="207" t="s">
        <v>1534</v>
      </c>
      <c r="G960" s="207" t="s">
        <v>1503</v>
      </c>
      <c r="H960" s="207" t="s">
        <v>520</v>
      </c>
      <c r="I960" s="207">
        <v>1</v>
      </c>
      <c r="J960" s="334">
        <v>319</v>
      </c>
      <c r="K960" s="334">
        <v>319</v>
      </c>
      <c r="L960" s="334">
        <v>159.5</v>
      </c>
      <c r="M960" s="336">
        <v>159.5</v>
      </c>
    </row>
    <row r="961" spans="4:13">
      <c r="D961" s="226">
        <v>1787</v>
      </c>
      <c r="E961" s="224">
        <v>44436</v>
      </c>
      <c r="F961" s="207" t="s">
        <v>1531</v>
      </c>
      <c r="G961" s="207" t="s">
        <v>1497</v>
      </c>
      <c r="H961" s="207" t="s">
        <v>518</v>
      </c>
      <c r="I961" s="207">
        <v>8</v>
      </c>
      <c r="J961" s="334">
        <v>60</v>
      </c>
      <c r="K961" s="334">
        <v>480</v>
      </c>
      <c r="L961" s="334">
        <v>30</v>
      </c>
      <c r="M961" s="336">
        <v>240</v>
      </c>
    </row>
    <row r="962" spans="4:13">
      <c r="D962" s="226">
        <v>1788</v>
      </c>
      <c r="E962" s="224">
        <v>44437</v>
      </c>
      <c r="F962" s="207" t="s">
        <v>1532</v>
      </c>
      <c r="G962" s="207" t="s">
        <v>1499</v>
      </c>
      <c r="H962" s="207" t="s">
        <v>520</v>
      </c>
      <c r="I962" s="207">
        <v>1</v>
      </c>
      <c r="J962" s="334">
        <v>375</v>
      </c>
      <c r="K962" s="334">
        <v>375</v>
      </c>
      <c r="L962" s="334">
        <v>187.5</v>
      </c>
      <c r="M962" s="336">
        <v>187.5</v>
      </c>
    </row>
    <row r="963" spans="4:13">
      <c r="D963" s="226">
        <v>1789</v>
      </c>
      <c r="E963" s="224">
        <v>44437</v>
      </c>
      <c r="F963" s="207" t="s">
        <v>1532</v>
      </c>
      <c r="G963" s="207" t="s">
        <v>1499</v>
      </c>
      <c r="H963" s="207" t="s">
        <v>530</v>
      </c>
      <c r="I963" s="207">
        <v>1</v>
      </c>
      <c r="J963" s="334">
        <v>38</v>
      </c>
      <c r="K963" s="334">
        <v>38</v>
      </c>
      <c r="L963" s="334">
        <v>19</v>
      </c>
      <c r="M963" s="336">
        <v>19</v>
      </c>
    </row>
    <row r="964" spans="4:13">
      <c r="D964" s="226">
        <v>1790</v>
      </c>
      <c r="E964" s="224">
        <v>44438</v>
      </c>
      <c r="F964" s="207" t="s">
        <v>1534</v>
      </c>
      <c r="G964" s="207" t="s">
        <v>1503</v>
      </c>
      <c r="H964" s="207" t="s">
        <v>525</v>
      </c>
      <c r="I964" s="207">
        <v>15</v>
      </c>
      <c r="J964" s="334">
        <v>22</v>
      </c>
      <c r="K964" s="334">
        <v>330</v>
      </c>
      <c r="L964" s="334">
        <v>11</v>
      </c>
      <c r="M964" s="336">
        <v>165</v>
      </c>
    </row>
    <row r="965" spans="4:13">
      <c r="D965" s="226">
        <v>1791</v>
      </c>
      <c r="E965" s="224">
        <v>44438</v>
      </c>
      <c r="F965" s="207" t="s">
        <v>1532</v>
      </c>
      <c r="G965" s="207" t="s">
        <v>1499</v>
      </c>
      <c r="H965" s="207" t="s">
        <v>520</v>
      </c>
      <c r="I965" s="207">
        <v>1</v>
      </c>
      <c r="J965" s="334">
        <v>218</v>
      </c>
      <c r="K965" s="334">
        <v>218</v>
      </c>
      <c r="L965" s="334">
        <v>109</v>
      </c>
      <c r="M965" s="336">
        <v>109</v>
      </c>
    </row>
    <row r="966" spans="4:13">
      <c r="D966" s="226">
        <v>1792</v>
      </c>
      <c r="E966" s="224">
        <v>44438</v>
      </c>
      <c r="F966" s="207" t="s">
        <v>1533</v>
      </c>
      <c r="G966" s="207" t="s">
        <v>1502</v>
      </c>
      <c r="H966" s="207" t="s">
        <v>518</v>
      </c>
      <c r="I966" s="207">
        <v>3</v>
      </c>
      <c r="J966" s="334">
        <v>85</v>
      </c>
      <c r="K966" s="334">
        <v>255</v>
      </c>
      <c r="L966" s="334">
        <v>42.5</v>
      </c>
      <c r="M966" s="336">
        <v>127.5</v>
      </c>
    </row>
    <row r="967" spans="4:13">
      <c r="D967" s="226">
        <v>1793</v>
      </c>
      <c r="E967" s="224">
        <v>44439</v>
      </c>
      <c r="F967" s="207" t="s">
        <v>1530</v>
      </c>
      <c r="G967" s="207" t="s">
        <v>1494</v>
      </c>
      <c r="H967" s="207" t="s">
        <v>525</v>
      </c>
      <c r="I967" s="207">
        <v>18</v>
      </c>
      <c r="J967" s="334">
        <v>10</v>
      </c>
      <c r="K967" s="334">
        <v>180</v>
      </c>
      <c r="L967" s="334">
        <v>5</v>
      </c>
      <c r="M967" s="336">
        <v>90</v>
      </c>
    </row>
    <row r="968" spans="4:13">
      <c r="D968" s="226">
        <v>1794</v>
      </c>
      <c r="E968" s="224">
        <v>44439</v>
      </c>
      <c r="F968" s="207" t="s">
        <v>1530</v>
      </c>
      <c r="G968" s="207" t="s">
        <v>1494</v>
      </c>
      <c r="H968" s="207" t="s">
        <v>530</v>
      </c>
      <c r="I968" s="207">
        <v>6</v>
      </c>
      <c r="J968" s="334">
        <v>28</v>
      </c>
      <c r="K968" s="334">
        <v>168</v>
      </c>
      <c r="L968" s="334">
        <v>14</v>
      </c>
      <c r="M968" s="336">
        <v>84</v>
      </c>
    </row>
    <row r="969" spans="4:13">
      <c r="D969" s="226">
        <v>1795</v>
      </c>
      <c r="E969" s="224">
        <v>44439</v>
      </c>
      <c r="F969" s="207" t="s">
        <v>1532</v>
      </c>
      <c r="G969" s="207" t="s">
        <v>1499</v>
      </c>
      <c r="H969" s="207" t="s">
        <v>530</v>
      </c>
      <c r="I969" s="207">
        <v>6</v>
      </c>
      <c r="J969" s="334">
        <v>20</v>
      </c>
      <c r="K969" s="334">
        <v>120</v>
      </c>
      <c r="L969" s="334">
        <v>10</v>
      </c>
      <c r="M969" s="336">
        <v>60</v>
      </c>
    </row>
    <row r="970" spans="4:13">
      <c r="D970" s="226">
        <v>1796</v>
      </c>
      <c r="E970" s="224">
        <v>44439</v>
      </c>
      <c r="F970" s="207" t="s">
        <v>1530</v>
      </c>
      <c r="G970" s="207" t="s">
        <v>1494</v>
      </c>
      <c r="H970" s="207" t="s">
        <v>520</v>
      </c>
      <c r="I970" s="207">
        <v>1</v>
      </c>
      <c r="J970" s="334">
        <v>380</v>
      </c>
      <c r="K970" s="334">
        <v>380</v>
      </c>
      <c r="L970" s="334">
        <v>190</v>
      </c>
      <c r="M970" s="336">
        <v>190</v>
      </c>
    </row>
    <row r="971" spans="4:13">
      <c r="D971" s="226">
        <v>1797</v>
      </c>
      <c r="E971" s="224">
        <v>44440</v>
      </c>
      <c r="F971" s="207" t="s">
        <v>1534</v>
      </c>
      <c r="G971" s="207" t="s">
        <v>1503</v>
      </c>
      <c r="H971" s="207" t="s">
        <v>530</v>
      </c>
      <c r="I971" s="207">
        <v>7</v>
      </c>
      <c r="J971" s="334">
        <v>44</v>
      </c>
      <c r="K971" s="334">
        <v>308</v>
      </c>
      <c r="L971" s="334">
        <v>22</v>
      </c>
      <c r="M971" s="336">
        <v>154</v>
      </c>
    </row>
    <row r="972" spans="4:13">
      <c r="D972" s="226">
        <v>1798</v>
      </c>
      <c r="E972" s="224">
        <v>44440</v>
      </c>
      <c r="F972" s="207" t="s">
        <v>1531</v>
      </c>
      <c r="G972" s="207" t="s">
        <v>1497</v>
      </c>
      <c r="H972" s="207" t="s">
        <v>530</v>
      </c>
      <c r="I972" s="207">
        <v>2</v>
      </c>
      <c r="J972" s="334">
        <v>47</v>
      </c>
      <c r="K972" s="334">
        <v>94</v>
      </c>
      <c r="L972" s="334">
        <v>23.5</v>
      </c>
      <c r="M972" s="336">
        <v>47</v>
      </c>
    </row>
    <row r="973" spans="4:13">
      <c r="D973" s="226">
        <v>1799</v>
      </c>
      <c r="E973" s="224">
        <v>44440</v>
      </c>
      <c r="F973" s="207" t="s">
        <v>1530</v>
      </c>
      <c r="G973" s="207" t="s">
        <v>1494</v>
      </c>
      <c r="H973" s="207" t="s">
        <v>518</v>
      </c>
      <c r="I973" s="207">
        <v>10</v>
      </c>
      <c r="J973" s="334">
        <v>92</v>
      </c>
      <c r="K973" s="334">
        <v>920</v>
      </c>
      <c r="L973" s="334">
        <v>46</v>
      </c>
      <c r="M973" s="336">
        <v>460</v>
      </c>
    </row>
    <row r="974" spans="4:13">
      <c r="D974" s="226">
        <v>1800</v>
      </c>
      <c r="E974" s="224">
        <v>44441</v>
      </c>
      <c r="F974" s="207" t="s">
        <v>1533</v>
      </c>
      <c r="G974" s="207" t="s">
        <v>1502</v>
      </c>
      <c r="H974" s="207" t="s">
        <v>518</v>
      </c>
      <c r="I974" s="207">
        <v>6</v>
      </c>
      <c r="J974" s="334">
        <v>59</v>
      </c>
      <c r="K974" s="334">
        <v>354</v>
      </c>
      <c r="L974" s="334">
        <v>29.5</v>
      </c>
      <c r="M974" s="336">
        <v>177</v>
      </c>
    </row>
    <row r="975" spans="4:13">
      <c r="D975" s="226">
        <v>1801</v>
      </c>
      <c r="E975" s="224">
        <v>44441</v>
      </c>
      <c r="F975" s="207" t="s">
        <v>1533</v>
      </c>
      <c r="G975" s="207" t="s">
        <v>1502</v>
      </c>
      <c r="H975" s="207" t="s">
        <v>518</v>
      </c>
      <c r="I975" s="207">
        <v>7</v>
      </c>
      <c r="J975" s="334">
        <v>58</v>
      </c>
      <c r="K975" s="334">
        <v>406</v>
      </c>
      <c r="L975" s="334">
        <v>29</v>
      </c>
      <c r="M975" s="336">
        <v>203</v>
      </c>
    </row>
    <row r="976" spans="4:13">
      <c r="D976" s="226">
        <v>1802</v>
      </c>
      <c r="E976" s="224">
        <v>44442</v>
      </c>
      <c r="F976" s="207" t="s">
        <v>1532</v>
      </c>
      <c r="G976" s="207" t="s">
        <v>1499</v>
      </c>
      <c r="H976" s="207" t="s">
        <v>534</v>
      </c>
      <c r="I976" s="207">
        <v>4</v>
      </c>
      <c r="J976" s="334">
        <v>12</v>
      </c>
      <c r="K976" s="334">
        <v>48</v>
      </c>
      <c r="L976" s="334">
        <v>6</v>
      </c>
      <c r="M976" s="336">
        <v>24</v>
      </c>
    </row>
    <row r="977" spans="4:13">
      <c r="D977" s="226">
        <v>1803</v>
      </c>
      <c r="E977" s="224">
        <v>44442</v>
      </c>
      <c r="F977" s="207" t="s">
        <v>1531</v>
      </c>
      <c r="G977" s="207" t="s">
        <v>1497</v>
      </c>
      <c r="H977" s="207" t="s">
        <v>530</v>
      </c>
      <c r="I977" s="207">
        <v>3</v>
      </c>
      <c r="J977" s="334">
        <v>43</v>
      </c>
      <c r="K977" s="334">
        <v>129</v>
      </c>
      <c r="L977" s="334">
        <v>21.5</v>
      </c>
      <c r="M977" s="336">
        <v>64.5</v>
      </c>
    </row>
    <row r="978" spans="4:13">
      <c r="D978" s="226">
        <v>1804</v>
      </c>
      <c r="E978" s="224">
        <v>44442</v>
      </c>
      <c r="F978" s="207" t="s">
        <v>1530</v>
      </c>
      <c r="G978" s="207" t="s">
        <v>1494</v>
      </c>
      <c r="H978" s="207" t="s">
        <v>520</v>
      </c>
      <c r="I978" s="207">
        <v>1</v>
      </c>
      <c r="J978" s="334">
        <v>231</v>
      </c>
      <c r="K978" s="334">
        <v>231</v>
      </c>
      <c r="L978" s="334">
        <v>115.5</v>
      </c>
      <c r="M978" s="336">
        <v>115.5</v>
      </c>
    </row>
    <row r="979" spans="4:13">
      <c r="D979" s="226">
        <v>1805</v>
      </c>
      <c r="E979" s="224">
        <v>44443</v>
      </c>
      <c r="F979" s="207" t="s">
        <v>1533</v>
      </c>
      <c r="G979" s="207" t="s">
        <v>1502</v>
      </c>
      <c r="H979" s="207" t="s">
        <v>525</v>
      </c>
      <c r="I979" s="207">
        <v>1</v>
      </c>
      <c r="J979" s="334">
        <v>22</v>
      </c>
      <c r="K979" s="334">
        <v>22</v>
      </c>
      <c r="L979" s="334">
        <v>11</v>
      </c>
      <c r="M979" s="336">
        <v>11</v>
      </c>
    </row>
    <row r="980" spans="4:13">
      <c r="D980" s="226">
        <v>1806</v>
      </c>
      <c r="E980" s="224">
        <v>44443</v>
      </c>
      <c r="F980" s="207" t="s">
        <v>1532</v>
      </c>
      <c r="G980" s="207" t="s">
        <v>1499</v>
      </c>
      <c r="H980" s="207" t="s">
        <v>530</v>
      </c>
      <c r="I980" s="207">
        <v>7</v>
      </c>
      <c r="J980" s="334">
        <v>33</v>
      </c>
      <c r="K980" s="334">
        <v>231</v>
      </c>
      <c r="L980" s="334">
        <v>16.5</v>
      </c>
      <c r="M980" s="336">
        <v>115.5</v>
      </c>
    </row>
    <row r="981" spans="4:13">
      <c r="D981" s="226">
        <v>1807</v>
      </c>
      <c r="E981" s="224">
        <v>44444</v>
      </c>
      <c r="F981" s="207" t="s">
        <v>1530</v>
      </c>
      <c r="G981" s="207" t="s">
        <v>1494</v>
      </c>
      <c r="H981" s="207" t="s">
        <v>520</v>
      </c>
      <c r="I981" s="207">
        <v>2</v>
      </c>
      <c r="J981" s="334">
        <v>355</v>
      </c>
      <c r="K981" s="334">
        <v>710</v>
      </c>
      <c r="L981" s="334">
        <v>177.5</v>
      </c>
      <c r="M981" s="336">
        <v>355</v>
      </c>
    </row>
    <row r="982" spans="4:13">
      <c r="D982" s="226">
        <v>1808</v>
      </c>
      <c r="E982" s="224">
        <v>44444</v>
      </c>
      <c r="F982" s="207" t="s">
        <v>1530</v>
      </c>
      <c r="G982" s="207" t="s">
        <v>1494</v>
      </c>
      <c r="H982" s="207" t="s">
        <v>518</v>
      </c>
      <c r="I982" s="207">
        <v>7</v>
      </c>
      <c r="J982" s="334">
        <v>81</v>
      </c>
      <c r="K982" s="334">
        <v>567</v>
      </c>
      <c r="L982" s="334">
        <v>40.5</v>
      </c>
      <c r="M982" s="336">
        <v>283.5</v>
      </c>
    </row>
    <row r="983" spans="4:13">
      <c r="D983" s="226">
        <v>1809</v>
      </c>
      <c r="E983" s="224">
        <v>44444</v>
      </c>
      <c r="F983" s="207" t="s">
        <v>1534</v>
      </c>
      <c r="G983" s="207" t="s">
        <v>1503</v>
      </c>
      <c r="H983" s="207" t="s">
        <v>520</v>
      </c>
      <c r="I983" s="207">
        <v>2</v>
      </c>
      <c r="J983" s="334">
        <v>254</v>
      </c>
      <c r="K983" s="334">
        <v>508</v>
      </c>
      <c r="L983" s="334">
        <v>127</v>
      </c>
      <c r="M983" s="336">
        <v>254</v>
      </c>
    </row>
    <row r="984" spans="4:13">
      <c r="D984" s="226">
        <v>1810</v>
      </c>
      <c r="E984" s="224">
        <v>44445</v>
      </c>
      <c r="F984" s="207" t="s">
        <v>1530</v>
      </c>
      <c r="G984" s="207" t="s">
        <v>1494</v>
      </c>
      <c r="H984" s="207" t="s">
        <v>530</v>
      </c>
      <c r="I984" s="207">
        <v>7</v>
      </c>
      <c r="J984" s="334">
        <v>38</v>
      </c>
      <c r="K984" s="334">
        <v>266</v>
      </c>
      <c r="L984" s="334">
        <v>19</v>
      </c>
      <c r="M984" s="336">
        <v>133</v>
      </c>
    </row>
    <row r="985" spans="4:13">
      <c r="D985" s="226">
        <v>1811</v>
      </c>
      <c r="E985" s="224">
        <v>44445</v>
      </c>
      <c r="F985" s="207" t="s">
        <v>1532</v>
      </c>
      <c r="G985" s="207" t="s">
        <v>1499</v>
      </c>
      <c r="H985" s="207" t="s">
        <v>520</v>
      </c>
      <c r="I985" s="207">
        <v>2</v>
      </c>
      <c r="J985" s="334">
        <v>245</v>
      </c>
      <c r="K985" s="334">
        <v>490</v>
      </c>
      <c r="L985" s="334">
        <v>122.5</v>
      </c>
      <c r="M985" s="336">
        <v>245</v>
      </c>
    </row>
    <row r="986" spans="4:13">
      <c r="D986" s="226">
        <v>1812</v>
      </c>
      <c r="E986" s="224">
        <v>44446</v>
      </c>
      <c r="F986" s="207" t="s">
        <v>1530</v>
      </c>
      <c r="G986" s="207" t="s">
        <v>1494</v>
      </c>
      <c r="H986" s="207" t="s">
        <v>518</v>
      </c>
      <c r="I986" s="207">
        <v>1</v>
      </c>
      <c r="J986" s="334">
        <v>58</v>
      </c>
      <c r="K986" s="334">
        <v>58</v>
      </c>
      <c r="L986" s="334">
        <v>29</v>
      </c>
      <c r="M986" s="336">
        <v>29</v>
      </c>
    </row>
    <row r="987" spans="4:13">
      <c r="D987" s="226">
        <v>1813</v>
      </c>
      <c r="E987" s="224">
        <v>44446</v>
      </c>
      <c r="F987" s="207" t="s">
        <v>1530</v>
      </c>
      <c r="G987" s="207" t="s">
        <v>1494</v>
      </c>
      <c r="H987" s="207" t="s">
        <v>530</v>
      </c>
      <c r="I987" s="207">
        <v>4</v>
      </c>
      <c r="J987" s="334">
        <v>40</v>
      </c>
      <c r="K987" s="334">
        <v>160</v>
      </c>
      <c r="L987" s="334">
        <v>20</v>
      </c>
      <c r="M987" s="336">
        <v>80</v>
      </c>
    </row>
    <row r="988" spans="4:13">
      <c r="D988" s="226">
        <v>1814</v>
      </c>
      <c r="E988" s="224">
        <v>44446</v>
      </c>
      <c r="F988" s="207" t="s">
        <v>1531</v>
      </c>
      <c r="G988" s="207" t="s">
        <v>1497</v>
      </c>
      <c r="H988" s="207" t="s">
        <v>534</v>
      </c>
      <c r="I988" s="207">
        <v>7</v>
      </c>
      <c r="J988" s="334">
        <v>13</v>
      </c>
      <c r="K988" s="334">
        <v>91</v>
      </c>
      <c r="L988" s="334">
        <v>6.5</v>
      </c>
      <c r="M988" s="336">
        <v>45.5</v>
      </c>
    </row>
    <row r="989" spans="4:13">
      <c r="D989" s="226">
        <v>1815</v>
      </c>
      <c r="E989" s="224">
        <v>44447</v>
      </c>
      <c r="F989" s="207" t="s">
        <v>1532</v>
      </c>
      <c r="G989" s="207" t="s">
        <v>1499</v>
      </c>
      <c r="H989" s="207" t="s">
        <v>530</v>
      </c>
      <c r="I989" s="207">
        <v>6</v>
      </c>
      <c r="J989" s="334">
        <v>42</v>
      </c>
      <c r="K989" s="334">
        <v>252</v>
      </c>
      <c r="L989" s="334">
        <v>21</v>
      </c>
      <c r="M989" s="336">
        <v>126</v>
      </c>
    </row>
    <row r="990" spans="4:13">
      <c r="D990" s="226">
        <v>1816</v>
      </c>
      <c r="E990" s="224">
        <v>44447</v>
      </c>
      <c r="F990" s="207" t="s">
        <v>1530</v>
      </c>
      <c r="G990" s="207" t="s">
        <v>1494</v>
      </c>
      <c r="H990" s="207" t="s">
        <v>520</v>
      </c>
      <c r="I990" s="207">
        <v>2</v>
      </c>
      <c r="J990" s="334">
        <v>217</v>
      </c>
      <c r="K990" s="334">
        <v>434</v>
      </c>
      <c r="L990" s="334">
        <v>108.5</v>
      </c>
      <c r="M990" s="336">
        <v>217</v>
      </c>
    </row>
    <row r="991" spans="4:13">
      <c r="D991" s="226">
        <v>1817</v>
      </c>
      <c r="E991" s="224">
        <v>44447</v>
      </c>
      <c r="F991" s="207" t="s">
        <v>1533</v>
      </c>
      <c r="G991" s="207" t="s">
        <v>1502</v>
      </c>
      <c r="H991" s="207" t="s">
        <v>530</v>
      </c>
      <c r="I991" s="207">
        <v>1</v>
      </c>
      <c r="J991" s="334">
        <v>34</v>
      </c>
      <c r="K991" s="334">
        <v>34</v>
      </c>
      <c r="L991" s="334">
        <v>17</v>
      </c>
      <c r="M991" s="336">
        <v>17</v>
      </c>
    </row>
    <row r="992" spans="4:13">
      <c r="D992" s="226">
        <v>1818</v>
      </c>
      <c r="E992" s="224">
        <v>44448</v>
      </c>
      <c r="F992" s="207" t="s">
        <v>1531</v>
      </c>
      <c r="G992" s="207" t="s">
        <v>1497</v>
      </c>
      <c r="H992" s="207" t="s">
        <v>530</v>
      </c>
      <c r="I992" s="207">
        <v>5</v>
      </c>
      <c r="J992" s="334">
        <v>35</v>
      </c>
      <c r="K992" s="334">
        <v>175</v>
      </c>
      <c r="L992" s="334">
        <v>17.5</v>
      </c>
      <c r="M992" s="336">
        <v>87.5</v>
      </c>
    </row>
    <row r="993" spans="4:13">
      <c r="D993" s="226">
        <v>1819</v>
      </c>
      <c r="E993" s="224">
        <v>44448</v>
      </c>
      <c r="F993" s="207" t="s">
        <v>1533</v>
      </c>
      <c r="G993" s="207" t="s">
        <v>1502</v>
      </c>
      <c r="H993" s="207" t="s">
        <v>518</v>
      </c>
      <c r="I993" s="207">
        <v>7</v>
      </c>
      <c r="J993" s="334">
        <v>50</v>
      </c>
      <c r="K993" s="334">
        <v>350</v>
      </c>
      <c r="L993" s="334">
        <v>25</v>
      </c>
      <c r="M993" s="336">
        <v>175</v>
      </c>
    </row>
    <row r="994" spans="4:13">
      <c r="D994" s="226">
        <v>1820</v>
      </c>
      <c r="E994" s="224">
        <v>44448</v>
      </c>
      <c r="F994" s="207" t="s">
        <v>1530</v>
      </c>
      <c r="G994" s="207" t="s">
        <v>1494</v>
      </c>
      <c r="H994" s="207" t="s">
        <v>525</v>
      </c>
      <c r="I994" s="207">
        <v>18</v>
      </c>
      <c r="J994" s="334">
        <v>14</v>
      </c>
      <c r="K994" s="334">
        <v>252</v>
      </c>
      <c r="L994" s="334">
        <v>7</v>
      </c>
      <c r="M994" s="336">
        <v>126</v>
      </c>
    </row>
    <row r="995" spans="4:13">
      <c r="D995" s="226">
        <v>1821</v>
      </c>
      <c r="E995" s="224">
        <v>44449</v>
      </c>
      <c r="F995" s="207" t="s">
        <v>1531</v>
      </c>
      <c r="G995" s="207" t="s">
        <v>1497</v>
      </c>
      <c r="H995" s="207" t="s">
        <v>525</v>
      </c>
      <c r="I995" s="207">
        <v>15</v>
      </c>
      <c r="J995" s="334">
        <v>18</v>
      </c>
      <c r="K995" s="334">
        <v>270</v>
      </c>
      <c r="L995" s="334">
        <v>9</v>
      </c>
      <c r="M995" s="336">
        <v>135</v>
      </c>
    </row>
    <row r="996" spans="4:13">
      <c r="D996" s="226">
        <v>1822</v>
      </c>
      <c r="E996" s="224">
        <v>44449</v>
      </c>
      <c r="F996" s="207" t="s">
        <v>1531</v>
      </c>
      <c r="G996" s="207" t="s">
        <v>1497</v>
      </c>
      <c r="H996" s="207" t="s">
        <v>525</v>
      </c>
      <c r="I996" s="207">
        <v>8</v>
      </c>
      <c r="J996" s="334">
        <v>23</v>
      </c>
      <c r="K996" s="334">
        <v>184</v>
      </c>
      <c r="L996" s="334">
        <v>11.5</v>
      </c>
      <c r="M996" s="336">
        <v>92</v>
      </c>
    </row>
    <row r="997" spans="4:13">
      <c r="D997" s="226">
        <v>1823</v>
      </c>
      <c r="E997" s="224">
        <v>44449</v>
      </c>
      <c r="F997" s="207" t="s">
        <v>1532</v>
      </c>
      <c r="G997" s="207" t="s">
        <v>1499</v>
      </c>
      <c r="H997" s="207" t="s">
        <v>525</v>
      </c>
      <c r="I997" s="207">
        <v>1</v>
      </c>
      <c r="J997" s="334">
        <v>23</v>
      </c>
      <c r="K997" s="334">
        <v>23</v>
      </c>
      <c r="L997" s="334">
        <v>11.5</v>
      </c>
      <c r="M997" s="336">
        <v>11.5</v>
      </c>
    </row>
    <row r="998" spans="4:13">
      <c r="D998" s="226">
        <v>1824</v>
      </c>
      <c r="E998" s="224">
        <v>44449</v>
      </c>
      <c r="F998" s="207" t="s">
        <v>1532</v>
      </c>
      <c r="G998" s="207" t="s">
        <v>1499</v>
      </c>
      <c r="H998" s="207" t="s">
        <v>530</v>
      </c>
      <c r="I998" s="207">
        <v>4</v>
      </c>
      <c r="J998" s="334">
        <v>28</v>
      </c>
      <c r="K998" s="334">
        <v>112</v>
      </c>
      <c r="L998" s="334">
        <v>14</v>
      </c>
      <c r="M998" s="336">
        <v>56</v>
      </c>
    </row>
    <row r="999" spans="4:13">
      <c r="D999" s="226">
        <v>1825</v>
      </c>
      <c r="E999" s="224">
        <v>44450</v>
      </c>
      <c r="F999" s="207" t="s">
        <v>1530</v>
      </c>
      <c r="G999" s="207" t="s">
        <v>1494</v>
      </c>
      <c r="H999" s="207" t="s">
        <v>520</v>
      </c>
      <c r="I999" s="207">
        <v>2</v>
      </c>
      <c r="J999" s="334">
        <v>244</v>
      </c>
      <c r="K999" s="334">
        <v>488</v>
      </c>
      <c r="L999" s="334">
        <v>122</v>
      </c>
      <c r="M999" s="336">
        <v>244</v>
      </c>
    </row>
    <row r="1000" spans="4:13">
      <c r="D1000" s="226">
        <v>1826</v>
      </c>
      <c r="E1000" s="224">
        <v>44450</v>
      </c>
      <c r="F1000" s="207" t="s">
        <v>1534</v>
      </c>
      <c r="G1000" s="207" t="s">
        <v>1503</v>
      </c>
      <c r="H1000" s="207" t="s">
        <v>525</v>
      </c>
      <c r="I1000" s="207">
        <v>9</v>
      </c>
      <c r="J1000" s="334">
        <v>23</v>
      </c>
      <c r="K1000" s="334">
        <v>207</v>
      </c>
      <c r="L1000" s="334">
        <v>11.5</v>
      </c>
      <c r="M1000" s="336">
        <v>103.5</v>
      </c>
    </row>
    <row r="1001" spans="4:13">
      <c r="D1001" s="226">
        <v>1827</v>
      </c>
      <c r="E1001" s="224">
        <v>44450</v>
      </c>
      <c r="F1001" s="207" t="s">
        <v>1531</v>
      </c>
      <c r="G1001" s="207" t="s">
        <v>1497</v>
      </c>
      <c r="H1001" s="207" t="s">
        <v>525</v>
      </c>
      <c r="I1001" s="207">
        <v>13</v>
      </c>
      <c r="J1001" s="334">
        <v>24</v>
      </c>
      <c r="K1001" s="334">
        <v>312</v>
      </c>
      <c r="L1001" s="334">
        <v>12</v>
      </c>
      <c r="M1001" s="336">
        <v>156</v>
      </c>
    </row>
    <row r="1002" spans="4:13">
      <c r="D1002" s="226">
        <v>1828</v>
      </c>
      <c r="E1002" s="224">
        <v>44451</v>
      </c>
      <c r="F1002" s="207" t="s">
        <v>1531</v>
      </c>
      <c r="G1002" s="207" t="s">
        <v>1497</v>
      </c>
      <c r="H1002" s="207" t="s">
        <v>525</v>
      </c>
      <c r="I1002" s="207">
        <v>1</v>
      </c>
      <c r="J1002" s="334">
        <v>10</v>
      </c>
      <c r="K1002" s="334">
        <v>10</v>
      </c>
      <c r="L1002" s="334">
        <v>5</v>
      </c>
      <c r="M1002" s="336">
        <v>5</v>
      </c>
    </row>
    <row r="1003" spans="4:13">
      <c r="D1003" s="226">
        <v>1829</v>
      </c>
      <c r="E1003" s="224">
        <v>44451</v>
      </c>
      <c r="F1003" s="207" t="s">
        <v>1530</v>
      </c>
      <c r="G1003" s="207" t="s">
        <v>1494</v>
      </c>
      <c r="H1003" s="207" t="s">
        <v>520</v>
      </c>
      <c r="I1003" s="207">
        <v>1</v>
      </c>
      <c r="J1003" s="334">
        <v>396</v>
      </c>
      <c r="K1003" s="334">
        <v>396</v>
      </c>
      <c r="L1003" s="334">
        <v>198</v>
      </c>
      <c r="M1003" s="336">
        <v>198</v>
      </c>
    </row>
    <row r="1004" spans="4:13">
      <c r="D1004" s="226">
        <v>1830</v>
      </c>
      <c r="E1004" s="224">
        <v>44451</v>
      </c>
      <c r="F1004" s="207" t="s">
        <v>1533</v>
      </c>
      <c r="G1004" s="207" t="s">
        <v>1502</v>
      </c>
      <c r="H1004" s="207" t="s">
        <v>534</v>
      </c>
      <c r="I1004" s="207">
        <v>8</v>
      </c>
      <c r="J1004" s="334">
        <v>9</v>
      </c>
      <c r="K1004" s="334">
        <v>72</v>
      </c>
      <c r="L1004" s="334">
        <v>4.5</v>
      </c>
      <c r="M1004" s="336">
        <v>36</v>
      </c>
    </row>
    <row r="1005" spans="4:13">
      <c r="D1005" s="226">
        <v>1831</v>
      </c>
      <c r="E1005" s="224">
        <v>44452</v>
      </c>
      <c r="F1005" s="207" t="s">
        <v>1533</v>
      </c>
      <c r="G1005" s="207" t="s">
        <v>1502</v>
      </c>
      <c r="H1005" s="207" t="s">
        <v>534</v>
      </c>
      <c r="I1005" s="207">
        <v>3</v>
      </c>
      <c r="J1005" s="334">
        <v>11</v>
      </c>
      <c r="K1005" s="334">
        <v>33</v>
      </c>
      <c r="L1005" s="334">
        <v>5.5</v>
      </c>
      <c r="M1005" s="336">
        <v>16.5</v>
      </c>
    </row>
    <row r="1006" spans="4:13">
      <c r="D1006" s="226">
        <v>1832</v>
      </c>
      <c r="E1006" s="224">
        <v>44452</v>
      </c>
      <c r="F1006" s="207" t="s">
        <v>1534</v>
      </c>
      <c r="G1006" s="207" t="s">
        <v>1503</v>
      </c>
      <c r="H1006" s="207" t="s">
        <v>534</v>
      </c>
      <c r="I1006" s="207">
        <v>4</v>
      </c>
      <c r="J1006" s="334">
        <v>9</v>
      </c>
      <c r="K1006" s="334">
        <v>36</v>
      </c>
      <c r="L1006" s="334">
        <v>4.5</v>
      </c>
      <c r="M1006" s="336">
        <v>18</v>
      </c>
    </row>
    <row r="1007" spans="4:13">
      <c r="D1007" s="226">
        <v>1833</v>
      </c>
      <c r="E1007" s="224">
        <v>44453</v>
      </c>
      <c r="F1007" s="207" t="s">
        <v>1531</v>
      </c>
      <c r="G1007" s="207" t="s">
        <v>1497</v>
      </c>
      <c r="H1007" s="207" t="s">
        <v>520</v>
      </c>
      <c r="I1007" s="207">
        <v>1</v>
      </c>
      <c r="J1007" s="334">
        <v>299</v>
      </c>
      <c r="K1007" s="334">
        <v>299</v>
      </c>
      <c r="L1007" s="334">
        <v>149.5</v>
      </c>
      <c r="M1007" s="336">
        <v>149.5</v>
      </c>
    </row>
    <row r="1008" spans="4:13">
      <c r="D1008" s="226">
        <v>1834</v>
      </c>
      <c r="E1008" s="224">
        <v>44453</v>
      </c>
      <c r="F1008" s="207" t="s">
        <v>1534</v>
      </c>
      <c r="G1008" s="207" t="s">
        <v>1503</v>
      </c>
      <c r="H1008" s="207" t="s">
        <v>525</v>
      </c>
      <c r="I1008" s="207">
        <v>19</v>
      </c>
      <c r="J1008" s="334">
        <v>15</v>
      </c>
      <c r="K1008" s="334">
        <v>285</v>
      </c>
      <c r="L1008" s="334">
        <v>7.5</v>
      </c>
      <c r="M1008" s="336">
        <v>142.5</v>
      </c>
    </row>
    <row r="1009" spans="4:13">
      <c r="D1009" s="226">
        <v>1835</v>
      </c>
      <c r="E1009" s="224">
        <v>44453</v>
      </c>
      <c r="F1009" s="207" t="s">
        <v>1530</v>
      </c>
      <c r="G1009" s="207" t="s">
        <v>1494</v>
      </c>
      <c r="H1009" s="207" t="s">
        <v>525</v>
      </c>
      <c r="I1009" s="207">
        <v>4</v>
      </c>
      <c r="J1009" s="334">
        <v>14</v>
      </c>
      <c r="K1009" s="334">
        <v>56</v>
      </c>
      <c r="L1009" s="334">
        <v>7</v>
      </c>
      <c r="M1009" s="336">
        <v>28</v>
      </c>
    </row>
    <row r="1010" spans="4:13">
      <c r="D1010" s="226">
        <v>1836</v>
      </c>
      <c r="E1010" s="224">
        <v>44453</v>
      </c>
      <c r="F1010" s="207" t="s">
        <v>1530</v>
      </c>
      <c r="G1010" s="207" t="s">
        <v>1494</v>
      </c>
      <c r="H1010" s="207" t="s">
        <v>530</v>
      </c>
      <c r="I1010" s="207">
        <v>4</v>
      </c>
      <c r="J1010" s="334">
        <v>27</v>
      </c>
      <c r="K1010" s="334">
        <v>108</v>
      </c>
      <c r="L1010" s="334">
        <v>13.5</v>
      </c>
      <c r="M1010" s="336">
        <v>54</v>
      </c>
    </row>
    <row r="1011" spans="4:13">
      <c r="D1011" s="226">
        <v>1837</v>
      </c>
      <c r="E1011" s="224">
        <v>44454</v>
      </c>
      <c r="F1011" s="207" t="s">
        <v>1534</v>
      </c>
      <c r="G1011" s="207" t="s">
        <v>1503</v>
      </c>
      <c r="H1011" s="207" t="s">
        <v>520</v>
      </c>
      <c r="I1011" s="207">
        <v>2</v>
      </c>
      <c r="J1011" s="334">
        <v>205</v>
      </c>
      <c r="K1011" s="334">
        <v>410</v>
      </c>
      <c r="L1011" s="334">
        <v>102.5</v>
      </c>
      <c r="M1011" s="336">
        <v>205</v>
      </c>
    </row>
    <row r="1012" spans="4:13">
      <c r="D1012" s="226">
        <v>1838</v>
      </c>
      <c r="E1012" s="224">
        <v>44454</v>
      </c>
      <c r="F1012" s="207" t="s">
        <v>1531</v>
      </c>
      <c r="G1012" s="207" t="s">
        <v>1497</v>
      </c>
      <c r="H1012" s="207" t="s">
        <v>518</v>
      </c>
      <c r="I1012" s="207">
        <v>5</v>
      </c>
      <c r="J1012" s="334">
        <v>97</v>
      </c>
      <c r="K1012" s="334">
        <v>485</v>
      </c>
      <c r="L1012" s="334">
        <v>48.5</v>
      </c>
      <c r="M1012" s="336">
        <v>242.5</v>
      </c>
    </row>
    <row r="1013" spans="4:13">
      <c r="D1013" s="226">
        <v>1839</v>
      </c>
      <c r="E1013" s="224">
        <v>44457</v>
      </c>
      <c r="F1013" s="207" t="s">
        <v>1531</v>
      </c>
      <c r="G1013" s="207" t="s">
        <v>1497</v>
      </c>
      <c r="H1013" s="207" t="s">
        <v>520</v>
      </c>
      <c r="I1013" s="207">
        <v>1</v>
      </c>
      <c r="J1013" s="334">
        <v>323</v>
      </c>
      <c r="K1013" s="334">
        <v>323</v>
      </c>
      <c r="L1013" s="334">
        <v>161.5</v>
      </c>
      <c r="M1013" s="336">
        <v>161.5</v>
      </c>
    </row>
    <row r="1014" spans="4:13">
      <c r="D1014" s="226">
        <v>1840</v>
      </c>
      <c r="E1014" s="224">
        <v>44458</v>
      </c>
      <c r="F1014" s="207" t="s">
        <v>1533</v>
      </c>
      <c r="G1014" s="207" t="s">
        <v>1502</v>
      </c>
      <c r="H1014" s="207" t="s">
        <v>530</v>
      </c>
      <c r="I1014" s="207">
        <v>7</v>
      </c>
      <c r="J1014" s="334">
        <v>22</v>
      </c>
      <c r="K1014" s="334">
        <v>154</v>
      </c>
      <c r="L1014" s="334">
        <v>11</v>
      </c>
      <c r="M1014" s="336">
        <v>77</v>
      </c>
    </row>
    <row r="1015" spans="4:13">
      <c r="D1015" s="226">
        <v>1841</v>
      </c>
      <c r="E1015" s="224">
        <v>44459</v>
      </c>
      <c r="F1015" s="207" t="s">
        <v>1532</v>
      </c>
      <c r="G1015" s="207" t="s">
        <v>1499</v>
      </c>
      <c r="H1015" s="207" t="s">
        <v>520</v>
      </c>
      <c r="I1015" s="207">
        <v>2</v>
      </c>
      <c r="J1015" s="334">
        <v>364</v>
      </c>
      <c r="K1015" s="334">
        <v>728</v>
      </c>
      <c r="L1015" s="334">
        <v>182</v>
      </c>
      <c r="M1015" s="336">
        <v>364</v>
      </c>
    </row>
    <row r="1016" spans="4:13">
      <c r="D1016" s="226">
        <v>1842</v>
      </c>
      <c r="E1016" s="224">
        <v>44460</v>
      </c>
      <c r="F1016" s="207" t="s">
        <v>1532</v>
      </c>
      <c r="G1016" s="207" t="s">
        <v>1499</v>
      </c>
      <c r="H1016" s="207" t="s">
        <v>520</v>
      </c>
      <c r="I1016" s="207">
        <v>1</v>
      </c>
      <c r="J1016" s="334">
        <v>233</v>
      </c>
      <c r="K1016" s="334">
        <v>233</v>
      </c>
      <c r="L1016" s="334">
        <v>116.5</v>
      </c>
      <c r="M1016" s="336">
        <v>116.5</v>
      </c>
    </row>
    <row r="1017" spans="4:13">
      <c r="D1017" s="226">
        <v>1843</v>
      </c>
      <c r="E1017" s="224">
        <v>44461</v>
      </c>
      <c r="F1017" s="207" t="s">
        <v>1530</v>
      </c>
      <c r="G1017" s="207" t="s">
        <v>1494</v>
      </c>
      <c r="H1017" s="207" t="s">
        <v>520</v>
      </c>
      <c r="I1017" s="207">
        <v>1</v>
      </c>
      <c r="J1017" s="334">
        <v>314</v>
      </c>
      <c r="K1017" s="334">
        <v>314</v>
      </c>
      <c r="L1017" s="334">
        <v>157</v>
      </c>
      <c r="M1017" s="336">
        <v>157</v>
      </c>
    </row>
    <row r="1018" spans="4:13">
      <c r="D1018" s="226">
        <v>1844</v>
      </c>
      <c r="E1018" s="224">
        <v>44462</v>
      </c>
      <c r="F1018" s="207" t="s">
        <v>1534</v>
      </c>
      <c r="G1018" s="207" t="s">
        <v>1503</v>
      </c>
      <c r="H1018" s="207" t="s">
        <v>520</v>
      </c>
      <c r="I1018" s="207">
        <v>1</v>
      </c>
      <c r="J1018" s="334">
        <v>364</v>
      </c>
      <c r="K1018" s="334">
        <v>364</v>
      </c>
      <c r="L1018" s="334">
        <v>182</v>
      </c>
      <c r="M1018" s="336">
        <v>182</v>
      </c>
    </row>
    <row r="1019" spans="4:13">
      <c r="D1019" s="226">
        <v>1845</v>
      </c>
      <c r="E1019" s="224">
        <v>44462</v>
      </c>
      <c r="F1019" s="207" t="s">
        <v>1531</v>
      </c>
      <c r="G1019" s="207" t="s">
        <v>1497</v>
      </c>
      <c r="H1019" s="207" t="s">
        <v>525</v>
      </c>
      <c r="I1019" s="207">
        <v>13</v>
      </c>
      <c r="J1019" s="334">
        <v>19</v>
      </c>
      <c r="K1019" s="334">
        <v>247</v>
      </c>
      <c r="L1019" s="334">
        <v>9.5</v>
      </c>
      <c r="M1019" s="336">
        <v>123.5</v>
      </c>
    </row>
    <row r="1020" spans="4:13">
      <c r="D1020" s="226">
        <v>1846</v>
      </c>
      <c r="E1020" s="224">
        <v>44463</v>
      </c>
      <c r="F1020" s="207" t="s">
        <v>1530</v>
      </c>
      <c r="G1020" s="207" t="s">
        <v>1494</v>
      </c>
      <c r="H1020" s="207" t="s">
        <v>525</v>
      </c>
      <c r="I1020" s="207">
        <v>19</v>
      </c>
      <c r="J1020" s="334">
        <v>18</v>
      </c>
      <c r="K1020" s="334">
        <v>342</v>
      </c>
      <c r="L1020" s="334">
        <v>9</v>
      </c>
      <c r="M1020" s="336">
        <v>171</v>
      </c>
    </row>
    <row r="1021" spans="4:13">
      <c r="D1021" s="226">
        <v>1847</v>
      </c>
      <c r="E1021" s="224">
        <v>44463</v>
      </c>
      <c r="F1021" s="207" t="s">
        <v>1531</v>
      </c>
      <c r="G1021" s="207" t="s">
        <v>1497</v>
      </c>
      <c r="H1021" s="207" t="s">
        <v>534</v>
      </c>
      <c r="I1021" s="207">
        <v>6</v>
      </c>
      <c r="J1021" s="334">
        <v>6</v>
      </c>
      <c r="K1021" s="334">
        <v>36</v>
      </c>
      <c r="L1021" s="334">
        <v>3</v>
      </c>
      <c r="M1021" s="336">
        <v>18</v>
      </c>
    </row>
    <row r="1022" spans="4:13">
      <c r="D1022" s="226">
        <v>1848</v>
      </c>
      <c r="E1022" s="224">
        <v>44464</v>
      </c>
      <c r="F1022" s="207" t="s">
        <v>1530</v>
      </c>
      <c r="G1022" s="207" t="s">
        <v>1494</v>
      </c>
      <c r="H1022" s="207" t="s">
        <v>534</v>
      </c>
      <c r="I1022" s="207">
        <v>4</v>
      </c>
      <c r="J1022" s="334">
        <v>7</v>
      </c>
      <c r="K1022" s="334">
        <v>28</v>
      </c>
      <c r="L1022" s="334">
        <v>3.5</v>
      </c>
      <c r="M1022" s="336">
        <v>14</v>
      </c>
    </row>
    <row r="1023" spans="4:13">
      <c r="D1023" s="226">
        <v>1849</v>
      </c>
      <c r="E1023" s="224">
        <v>44464</v>
      </c>
      <c r="F1023" s="207" t="s">
        <v>1533</v>
      </c>
      <c r="G1023" s="207" t="s">
        <v>1502</v>
      </c>
      <c r="H1023" s="207" t="s">
        <v>530</v>
      </c>
      <c r="I1023" s="207">
        <v>5</v>
      </c>
      <c r="J1023" s="334">
        <v>25</v>
      </c>
      <c r="K1023" s="334">
        <v>125</v>
      </c>
      <c r="L1023" s="334">
        <v>12.5</v>
      </c>
      <c r="M1023" s="336">
        <v>62.5</v>
      </c>
    </row>
    <row r="1024" spans="4:13">
      <c r="D1024" s="226">
        <v>1850</v>
      </c>
      <c r="E1024" s="224">
        <v>44466</v>
      </c>
      <c r="F1024" s="207" t="s">
        <v>1534</v>
      </c>
      <c r="G1024" s="207" t="s">
        <v>1503</v>
      </c>
      <c r="H1024" s="207" t="s">
        <v>534</v>
      </c>
      <c r="I1024" s="207">
        <v>5</v>
      </c>
      <c r="J1024" s="334">
        <v>9</v>
      </c>
      <c r="K1024" s="334">
        <v>45</v>
      </c>
      <c r="L1024" s="334">
        <v>4.5</v>
      </c>
      <c r="M1024" s="336">
        <v>22.5</v>
      </c>
    </row>
    <row r="1025" spans="4:13">
      <c r="D1025" s="226">
        <v>1851</v>
      </c>
      <c r="E1025" s="224">
        <v>44468</v>
      </c>
      <c r="F1025" s="207" t="s">
        <v>1534</v>
      </c>
      <c r="G1025" s="207" t="s">
        <v>1503</v>
      </c>
      <c r="H1025" s="207" t="s">
        <v>520</v>
      </c>
      <c r="I1025" s="207">
        <v>2</v>
      </c>
      <c r="J1025" s="334">
        <v>290</v>
      </c>
      <c r="K1025" s="334">
        <v>580</v>
      </c>
      <c r="L1025" s="334">
        <v>145</v>
      </c>
      <c r="M1025" s="336">
        <v>290</v>
      </c>
    </row>
    <row r="1026" spans="4:13">
      <c r="D1026" s="226">
        <v>1852</v>
      </c>
      <c r="E1026" s="224">
        <v>44472</v>
      </c>
      <c r="F1026" s="207" t="s">
        <v>1534</v>
      </c>
      <c r="G1026" s="207" t="s">
        <v>1503</v>
      </c>
      <c r="H1026" s="207" t="s">
        <v>530</v>
      </c>
      <c r="I1026" s="207">
        <v>2</v>
      </c>
      <c r="J1026" s="334">
        <v>43</v>
      </c>
      <c r="K1026" s="334">
        <v>86</v>
      </c>
      <c r="L1026" s="334">
        <v>21.5</v>
      </c>
      <c r="M1026" s="336">
        <v>43</v>
      </c>
    </row>
    <row r="1027" spans="4:13">
      <c r="D1027" s="226">
        <v>1853</v>
      </c>
      <c r="E1027" s="224">
        <v>44473</v>
      </c>
      <c r="F1027" s="207" t="s">
        <v>1531</v>
      </c>
      <c r="G1027" s="207" t="s">
        <v>1497</v>
      </c>
      <c r="H1027" s="207" t="s">
        <v>520</v>
      </c>
      <c r="I1027" s="207">
        <v>1</v>
      </c>
      <c r="J1027" s="334">
        <v>339</v>
      </c>
      <c r="K1027" s="334">
        <v>339</v>
      </c>
      <c r="L1027" s="334">
        <v>169.5</v>
      </c>
      <c r="M1027" s="336">
        <v>169.5</v>
      </c>
    </row>
    <row r="1028" spans="4:13">
      <c r="D1028" s="226">
        <v>1854</v>
      </c>
      <c r="E1028" s="224">
        <v>44474</v>
      </c>
      <c r="F1028" s="207" t="s">
        <v>1533</v>
      </c>
      <c r="G1028" s="207" t="s">
        <v>1502</v>
      </c>
      <c r="H1028" s="207" t="s">
        <v>525</v>
      </c>
      <c r="I1028" s="207">
        <v>19</v>
      </c>
      <c r="J1028" s="334">
        <v>10</v>
      </c>
      <c r="K1028" s="334">
        <v>190</v>
      </c>
      <c r="L1028" s="334">
        <v>5</v>
      </c>
      <c r="M1028" s="336">
        <v>95</v>
      </c>
    </row>
    <row r="1029" spans="4:13">
      <c r="D1029" s="226">
        <v>1855</v>
      </c>
      <c r="E1029" s="224">
        <v>44476</v>
      </c>
      <c r="F1029" s="207" t="s">
        <v>1530</v>
      </c>
      <c r="G1029" s="207" t="s">
        <v>1494</v>
      </c>
      <c r="H1029" s="207" t="s">
        <v>520</v>
      </c>
      <c r="I1029" s="207">
        <v>2</v>
      </c>
      <c r="J1029" s="334">
        <v>277</v>
      </c>
      <c r="K1029" s="334">
        <v>554</v>
      </c>
      <c r="L1029" s="334">
        <v>138.5</v>
      </c>
      <c r="M1029" s="336">
        <v>277</v>
      </c>
    </row>
    <row r="1030" spans="4:13">
      <c r="D1030" s="226">
        <v>1856</v>
      </c>
      <c r="E1030" s="224">
        <v>44477</v>
      </c>
      <c r="F1030" s="207" t="s">
        <v>1533</v>
      </c>
      <c r="G1030" s="207" t="s">
        <v>1502</v>
      </c>
      <c r="H1030" s="207" t="s">
        <v>534</v>
      </c>
      <c r="I1030" s="207">
        <v>5</v>
      </c>
      <c r="J1030" s="334">
        <v>9</v>
      </c>
      <c r="K1030" s="334">
        <v>45</v>
      </c>
      <c r="L1030" s="334">
        <v>4.5</v>
      </c>
      <c r="M1030" s="336">
        <v>22.5</v>
      </c>
    </row>
    <row r="1031" spans="4:13">
      <c r="D1031" s="226">
        <v>1857</v>
      </c>
      <c r="E1031" s="224">
        <v>44479</v>
      </c>
      <c r="F1031" s="207" t="s">
        <v>1533</v>
      </c>
      <c r="G1031" s="207" t="s">
        <v>1502</v>
      </c>
      <c r="H1031" s="207" t="s">
        <v>534</v>
      </c>
      <c r="I1031" s="207">
        <v>2</v>
      </c>
      <c r="J1031" s="334">
        <v>6</v>
      </c>
      <c r="K1031" s="334">
        <v>12</v>
      </c>
      <c r="L1031" s="334">
        <v>3</v>
      </c>
      <c r="M1031" s="336">
        <v>6</v>
      </c>
    </row>
    <row r="1032" spans="4:13">
      <c r="D1032" s="226">
        <v>1858</v>
      </c>
      <c r="E1032" s="224">
        <v>44479</v>
      </c>
      <c r="F1032" s="207" t="s">
        <v>1530</v>
      </c>
      <c r="G1032" s="207" t="s">
        <v>1494</v>
      </c>
      <c r="H1032" s="207" t="s">
        <v>520</v>
      </c>
      <c r="I1032" s="207">
        <v>2</v>
      </c>
      <c r="J1032" s="334">
        <v>221</v>
      </c>
      <c r="K1032" s="334">
        <v>442</v>
      </c>
      <c r="L1032" s="334">
        <v>110.5</v>
      </c>
      <c r="M1032" s="336">
        <v>221</v>
      </c>
    </row>
    <row r="1033" spans="4:13">
      <c r="D1033" s="226">
        <v>1859</v>
      </c>
      <c r="E1033" s="224">
        <v>44479</v>
      </c>
      <c r="F1033" s="207" t="s">
        <v>1534</v>
      </c>
      <c r="G1033" s="207" t="s">
        <v>1503</v>
      </c>
      <c r="H1033" s="207" t="s">
        <v>520</v>
      </c>
      <c r="I1033" s="207">
        <v>2</v>
      </c>
      <c r="J1033" s="334">
        <v>255</v>
      </c>
      <c r="K1033" s="334">
        <v>510</v>
      </c>
      <c r="L1033" s="334">
        <v>127.5</v>
      </c>
      <c r="M1033" s="336">
        <v>255</v>
      </c>
    </row>
    <row r="1034" spans="4:13">
      <c r="D1034" s="226">
        <v>1860</v>
      </c>
      <c r="E1034" s="224">
        <v>44482</v>
      </c>
      <c r="F1034" s="207" t="s">
        <v>1533</v>
      </c>
      <c r="G1034" s="207" t="s">
        <v>1502</v>
      </c>
      <c r="H1034" s="207" t="s">
        <v>518</v>
      </c>
      <c r="I1034" s="207">
        <v>3</v>
      </c>
      <c r="J1034" s="334">
        <v>94</v>
      </c>
      <c r="K1034" s="334">
        <v>282</v>
      </c>
      <c r="L1034" s="334">
        <v>47</v>
      </c>
      <c r="M1034" s="336">
        <v>141</v>
      </c>
    </row>
    <row r="1035" spans="4:13">
      <c r="D1035" s="226">
        <v>1861</v>
      </c>
      <c r="E1035" s="224">
        <v>44483</v>
      </c>
      <c r="F1035" s="207" t="s">
        <v>1533</v>
      </c>
      <c r="G1035" s="207" t="s">
        <v>1502</v>
      </c>
      <c r="H1035" s="207" t="s">
        <v>530</v>
      </c>
      <c r="I1035" s="207">
        <v>7</v>
      </c>
      <c r="J1035" s="334">
        <v>27</v>
      </c>
      <c r="K1035" s="334">
        <v>189</v>
      </c>
      <c r="L1035" s="334">
        <v>13.5</v>
      </c>
      <c r="M1035" s="336">
        <v>94.5</v>
      </c>
    </row>
    <row r="1036" spans="4:13">
      <c r="D1036" s="226">
        <v>1862</v>
      </c>
      <c r="E1036" s="224">
        <v>44483</v>
      </c>
      <c r="F1036" s="207" t="s">
        <v>1532</v>
      </c>
      <c r="G1036" s="207" t="s">
        <v>1499</v>
      </c>
      <c r="H1036" s="207" t="s">
        <v>518</v>
      </c>
      <c r="I1036" s="207">
        <v>7</v>
      </c>
      <c r="J1036" s="334">
        <v>54</v>
      </c>
      <c r="K1036" s="334">
        <v>378</v>
      </c>
      <c r="L1036" s="334">
        <v>27</v>
      </c>
      <c r="M1036" s="336">
        <v>189</v>
      </c>
    </row>
    <row r="1037" spans="4:13">
      <c r="D1037" s="226">
        <v>1863</v>
      </c>
      <c r="E1037" s="224">
        <v>44486</v>
      </c>
      <c r="F1037" s="207" t="s">
        <v>1530</v>
      </c>
      <c r="G1037" s="207" t="s">
        <v>1494</v>
      </c>
      <c r="H1037" s="207" t="s">
        <v>525</v>
      </c>
      <c r="I1037" s="207">
        <v>8</v>
      </c>
      <c r="J1037" s="334">
        <v>10</v>
      </c>
      <c r="K1037" s="334">
        <v>80</v>
      </c>
      <c r="L1037" s="334">
        <v>5</v>
      </c>
      <c r="M1037" s="336">
        <v>40</v>
      </c>
    </row>
    <row r="1038" spans="4:13">
      <c r="D1038" s="226">
        <v>1864</v>
      </c>
      <c r="E1038" s="224">
        <v>44486</v>
      </c>
      <c r="F1038" s="207" t="s">
        <v>1534</v>
      </c>
      <c r="G1038" s="207" t="s">
        <v>1503</v>
      </c>
      <c r="H1038" s="207" t="s">
        <v>534</v>
      </c>
      <c r="I1038" s="207">
        <v>2</v>
      </c>
      <c r="J1038" s="334">
        <v>12</v>
      </c>
      <c r="K1038" s="334">
        <v>24</v>
      </c>
      <c r="L1038" s="334">
        <v>6</v>
      </c>
      <c r="M1038" s="336">
        <v>12</v>
      </c>
    </row>
    <row r="1039" spans="4:13">
      <c r="D1039" s="226">
        <v>1865</v>
      </c>
      <c r="E1039" s="224">
        <v>44486</v>
      </c>
      <c r="F1039" s="207" t="s">
        <v>1531</v>
      </c>
      <c r="G1039" s="207" t="s">
        <v>1497</v>
      </c>
      <c r="H1039" s="207" t="s">
        <v>534</v>
      </c>
      <c r="I1039" s="207">
        <v>3</v>
      </c>
      <c r="J1039" s="334">
        <v>8</v>
      </c>
      <c r="K1039" s="334">
        <v>24</v>
      </c>
      <c r="L1039" s="334">
        <v>4</v>
      </c>
      <c r="M1039" s="336">
        <v>12</v>
      </c>
    </row>
    <row r="1040" spans="4:13">
      <c r="D1040" s="226">
        <v>1866</v>
      </c>
      <c r="E1040" s="224">
        <v>44487</v>
      </c>
      <c r="F1040" s="207" t="s">
        <v>1530</v>
      </c>
      <c r="G1040" s="207" t="s">
        <v>1494</v>
      </c>
      <c r="H1040" s="207" t="s">
        <v>520</v>
      </c>
      <c r="I1040" s="207">
        <v>2</v>
      </c>
      <c r="J1040" s="334">
        <v>313</v>
      </c>
      <c r="K1040" s="334">
        <v>626</v>
      </c>
      <c r="L1040" s="334">
        <v>156.5</v>
      </c>
      <c r="M1040" s="336">
        <v>313</v>
      </c>
    </row>
    <row r="1041" spans="4:13">
      <c r="D1041" s="226">
        <v>1867</v>
      </c>
      <c r="E1041" s="224">
        <v>44487</v>
      </c>
      <c r="F1041" s="207" t="s">
        <v>1534</v>
      </c>
      <c r="G1041" s="207" t="s">
        <v>1503</v>
      </c>
      <c r="H1041" s="207" t="s">
        <v>520</v>
      </c>
      <c r="I1041" s="207">
        <v>2</v>
      </c>
      <c r="J1041" s="334">
        <v>302</v>
      </c>
      <c r="K1041" s="334">
        <v>604</v>
      </c>
      <c r="L1041" s="334">
        <v>151</v>
      </c>
      <c r="M1041" s="336">
        <v>302</v>
      </c>
    </row>
    <row r="1042" spans="4:13">
      <c r="D1042" s="226">
        <v>1868</v>
      </c>
      <c r="E1042" s="224">
        <v>44488</v>
      </c>
      <c r="F1042" s="207" t="s">
        <v>1534</v>
      </c>
      <c r="G1042" s="207" t="s">
        <v>1503</v>
      </c>
      <c r="H1042" s="207" t="s">
        <v>518</v>
      </c>
      <c r="I1042" s="207">
        <v>4</v>
      </c>
      <c r="J1042" s="334">
        <v>67</v>
      </c>
      <c r="K1042" s="334">
        <v>268</v>
      </c>
      <c r="L1042" s="334">
        <v>33.5</v>
      </c>
      <c r="M1042" s="336">
        <v>134</v>
      </c>
    </row>
    <row r="1043" spans="4:13">
      <c r="D1043" s="226">
        <v>1869</v>
      </c>
      <c r="E1043" s="224">
        <v>44489</v>
      </c>
      <c r="F1043" s="207" t="s">
        <v>1533</v>
      </c>
      <c r="G1043" s="207" t="s">
        <v>1502</v>
      </c>
      <c r="H1043" s="207" t="s">
        <v>530</v>
      </c>
      <c r="I1043" s="207">
        <v>5</v>
      </c>
      <c r="J1043" s="334">
        <v>50</v>
      </c>
      <c r="K1043" s="334">
        <v>250</v>
      </c>
      <c r="L1043" s="334">
        <v>25</v>
      </c>
      <c r="M1043" s="336">
        <v>125</v>
      </c>
    </row>
    <row r="1044" spans="4:13">
      <c r="D1044" s="226">
        <v>1870</v>
      </c>
      <c r="E1044" s="224">
        <v>44497</v>
      </c>
      <c r="F1044" s="207" t="s">
        <v>1534</v>
      </c>
      <c r="G1044" s="207" t="s">
        <v>1503</v>
      </c>
      <c r="H1044" s="207" t="s">
        <v>525</v>
      </c>
      <c r="I1044" s="207">
        <v>15</v>
      </c>
      <c r="J1044" s="334">
        <v>15</v>
      </c>
      <c r="K1044" s="334">
        <v>225</v>
      </c>
      <c r="L1044" s="334">
        <v>7.5</v>
      </c>
      <c r="M1044" s="336">
        <v>112.5</v>
      </c>
    </row>
    <row r="1045" spans="4:13">
      <c r="D1045" s="226">
        <v>1871</v>
      </c>
      <c r="E1045" s="224">
        <v>44497</v>
      </c>
      <c r="F1045" s="207" t="s">
        <v>1532</v>
      </c>
      <c r="G1045" s="207" t="s">
        <v>1499</v>
      </c>
      <c r="H1045" s="207" t="s">
        <v>534</v>
      </c>
      <c r="I1045" s="207">
        <v>5</v>
      </c>
      <c r="J1045" s="334">
        <v>8</v>
      </c>
      <c r="K1045" s="334">
        <v>40</v>
      </c>
      <c r="L1045" s="334">
        <v>4</v>
      </c>
      <c r="M1045" s="336">
        <v>20</v>
      </c>
    </row>
    <row r="1046" spans="4:13">
      <c r="D1046" s="226">
        <v>1872</v>
      </c>
      <c r="E1046" s="224">
        <v>44498</v>
      </c>
      <c r="F1046" s="207" t="s">
        <v>1531</v>
      </c>
      <c r="G1046" s="207" t="s">
        <v>1497</v>
      </c>
      <c r="H1046" s="207" t="s">
        <v>518</v>
      </c>
      <c r="I1046" s="207">
        <v>7</v>
      </c>
      <c r="J1046" s="334">
        <v>53</v>
      </c>
      <c r="K1046" s="334">
        <v>371</v>
      </c>
      <c r="L1046" s="334">
        <v>26.5</v>
      </c>
      <c r="M1046" s="336">
        <v>185.5</v>
      </c>
    </row>
    <row r="1047" spans="4:13">
      <c r="D1047" s="226">
        <v>1873</v>
      </c>
      <c r="E1047" s="224">
        <v>44498</v>
      </c>
      <c r="F1047" s="207" t="s">
        <v>1533</v>
      </c>
      <c r="G1047" s="207" t="s">
        <v>1502</v>
      </c>
      <c r="H1047" s="207" t="s">
        <v>530</v>
      </c>
      <c r="I1047" s="207">
        <v>6</v>
      </c>
      <c r="J1047" s="334">
        <v>24</v>
      </c>
      <c r="K1047" s="334">
        <v>144</v>
      </c>
      <c r="L1047" s="334">
        <v>12</v>
      </c>
      <c r="M1047" s="336">
        <v>72</v>
      </c>
    </row>
    <row r="1048" spans="4:13">
      <c r="D1048" s="226">
        <v>1874</v>
      </c>
      <c r="E1048" s="224">
        <v>44498</v>
      </c>
      <c r="F1048" s="207" t="s">
        <v>1534</v>
      </c>
      <c r="G1048" s="207" t="s">
        <v>1503</v>
      </c>
      <c r="H1048" s="207" t="s">
        <v>520</v>
      </c>
      <c r="I1048" s="207">
        <v>1</v>
      </c>
      <c r="J1048" s="334">
        <v>315</v>
      </c>
      <c r="K1048" s="334">
        <v>315</v>
      </c>
      <c r="L1048" s="334">
        <v>157.5</v>
      </c>
      <c r="M1048" s="336">
        <v>157.5</v>
      </c>
    </row>
    <row r="1049" spans="4:13">
      <c r="D1049" s="226">
        <v>1875</v>
      </c>
      <c r="E1049" s="224">
        <v>44499</v>
      </c>
      <c r="F1049" s="207" t="s">
        <v>1530</v>
      </c>
      <c r="G1049" s="207" t="s">
        <v>1494</v>
      </c>
      <c r="H1049" s="207" t="s">
        <v>530</v>
      </c>
      <c r="I1049" s="207">
        <v>2</v>
      </c>
      <c r="J1049" s="334">
        <v>45</v>
      </c>
      <c r="K1049" s="334">
        <v>90</v>
      </c>
      <c r="L1049" s="334">
        <v>22.5</v>
      </c>
      <c r="M1049" s="336">
        <v>45</v>
      </c>
    </row>
    <row r="1050" spans="4:13">
      <c r="D1050" s="226">
        <v>1876</v>
      </c>
      <c r="E1050" s="224">
        <v>44499</v>
      </c>
      <c r="F1050" s="207" t="s">
        <v>1532</v>
      </c>
      <c r="G1050" s="207" t="s">
        <v>1499</v>
      </c>
      <c r="H1050" s="207" t="s">
        <v>534</v>
      </c>
      <c r="I1050" s="207">
        <v>8</v>
      </c>
      <c r="J1050" s="334">
        <v>8</v>
      </c>
      <c r="K1050" s="334">
        <v>64</v>
      </c>
      <c r="L1050" s="334">
        <v>4</v>
      </c>
      <c r="M1050" s="336">
        <v>32</v>
      </c>
    </row>
    <row r="1051" spans="4:13">
      <c r="D1051" s="226">
        <v>1877</v>
      </c>
      <c r="E1051" s="224">
        <v>44500</v>
      </c>
      <c r="F1051" s="207" t="s">
        <v>1534</v>
      </c>
      <c r="G1051" s="207" t="s">
        <v>1503</v>
      </c>
      <c r="H1051" s="207" t="s">
        <v>520</v>
      </c>
      <c r="I1051" s="207">
        <v>1</v>
      </c>
      <c r="J1051" s="334">
        <v>339</v>
      </c>
      <c r="K1051" s="334">
        <v>339</v>
      </c>
      <c r="L1051" s="334">
        <v>169.5</v>
      </c>
      <c r="M1051" s="336">
        <v>169.5</v>
      </c>
    </row>
    <row r="1052" spans="4:13">
      <c r="D1052" s="226">
        <v>1878</v>
      </c>
      <c r="E1052" s="224">
        <v>44500</v>
      </c>
      <c r="F1052" s="207" t="s">
        <v>1532</v>
      </c>
      <c r="G1052" s="207" t="s">
        <v>1499</v>
      </c>
      <c r="H1052" s="207" t="s">
        <v>530</v>
      </c>
      <c r="I1052" s="207">
        <v>4</v>
      </c>
      <c r="J1052" s="334">
        <v>50</v>
      </c>
      <c r="K1052" s="334">
        <v>200</v>
      </c>
      <c r="L1052" s="334">
        <v>25</v>
      </c>
      <c r="M1052" s="336">
        <v>100</v>
      </c>
    </row>
    <row r="1053" spans="4:13">
      <c r="D1053" s="226">
        <v>1879</v>
      </c>
      <c r="E1053" s="224">
        <v>44501</v>
      </c>
      <c r="F1053" s="207" t="s">
        <v>1534</v>
      </c>
      <c r="G1053" s="207" t="s">
        <v>1503</v>
      </c>
      <c r="H1053" s="207" t="s">
        <v>518</v>
      </c>
      <c r="I1053" s="207">
        <v>8</v>
      </c>
      <c r="J1053" s="334">
        <v>50</v>
      </c>
      <c r="K1053" s="334">
        <v>400</v>
      </c>
      <c r="L1053" s="334">
        <v>25</v>
      </c>
      <c r="M1053" s="336">
        <v>200</v>
      </c>
    </row>
    <row r="1054" spans="4:13">
      <c r="D1054" s="226">
        <v>1880</v>
      </c>
      <c r="E1054" s="224">
        <v>44501</v>
      </c>
      <c r="F1054" s="207" t="s">
        <v>1531</v>
      </c>
      <c r="G1054" s="207" t="s">
        <v>1497</v>
      </c>
      <c r="H1054" s="207" t="s">
        <v>525</v>
      </c>
      <c r="I1054" s="207">
        <v>10</v>
      </c>
      <c r="J1054" s="334">
        <v>25</v>
      </c>
      <c r="K1054" s="334">
        <v>250</v>
      </c>
      <c r="L1054" s="334">
        <v>12.5</v>
      </c>
      <c r="M1054" s="336">
        <v>125</v>
      </c>
    </row>
    <row r="1055" spans="4:13">
      <c r="D1055" s="226">
        <v>1881</v>
      </c>
      <c r="E1055" s="224">
        <v>44502</v>
      </c>
      <c r="F1055" s="207" t="s">
        <v>1530</v>
      </c>
      <c r="G1055" s="207" t="s">
        <v>1494</v>
      </c>
      <c r="H1055" s="207" t="s">
        <v>534</v>
      </c>
      <c r="I1055" s="207">
        <v>2</v>
      </c>
      <c r="J1055" s="334">
        <v>11</v>
      </c>
      <c r="K1055" s="334">
        <v>22</v>
      </c>
      <c r="L1055" s="334">
        <v>5.5</v>
      </c>
      <c r="M1055" s="336">
        <v>11</v>
      </c>
    </row>
    <row r="1056" spans="4:13">
      <c r="D1056" s="226">
        <v>1882</v>
      </c>
      <c r="E1056" s="224">
        <v>44505</v>
      </c>
      <c r="F1056" s="207" t="s">
        <v>1530</v>
      </c>
      <c r="G1056" s="207" t="s">
        <v>1494</v>
      </c>
      <c r="H1056" s="207" t="s">
        <v>520</v>
      </c>
      <c r="I1056" s="207">
        <v>2</v>
      </c>
      <c r="J1056" s="334">
        <v>267</v>
      </c>
      <c r="K1056" s="334">
        <v>534</v>
      </c>
      <c r="L1056" s="334">
        <v>133.5</v>
      </c>
      <c r="M1056" s="336">
        <v>267</v>
      </c>
    </row>
    <row r="1057" spans="4:13">
      <c r="D1057" s="226">
        <v>1883</v>
      </c>
      <c r="E1057" s="224">
        <v>44506</v>
      </c>
      <c r="F1057" s="207" t="s">
        <v>1530</v>
      </c>
      <c r="G1057" s="207" t="s">
        <v>1494</v>
      </c>
      <c r="H1057" s="207" t="s">
        <v>534</v>
      </c>
      <c r="I1057" s="207">
        <v>7</v>
      </c>
      <c r="J1057" s="334">
        <v>15</v>
      </c>
      <c r="K1057" s="334">
        <v>105</v>
      </c>
      <c r="L1057" s="334">
        <v>7.5</v>
      </c>
      <c r="M1057" s="336">
        <v>52.5</v>
      </c>
    </row>
    <row r="1058" spans="4:13">
      <c r="D1058" s="226">
        <v>1884</v>
      </c>
      <c r="E1058" s="224">
        <v>44508</v>
      </c>
      <c r="F1058" s="207" t="s">
        <v>1533</v>
      </c>
      <c r="G1058" s="207" t="s">
        <v>1502</v>
      </c>
      <c r="H1058" s="207" t="s">
        <v>534</v>
      </c>
      <c r="I1058" s="207">
        <v>1</v>
      </c>
      <c r="J1058" s="334">
        <v>8</v>
      </c>
      <c r="K1058" s="334">
        <v>8</v>
      </c>
      <c r="L1058" s="334">
        <v>4</v>
      </c>
      <c r="M1058" s="336">
        <v>4</v>
      </c>
    </row>
    <row r="1059" spans="4:13">
      <c r="D1059" s="226">
        <v>1885</v>
      </c>
      <c r="E1059" s="224">
        <v>44510</v>
      </c>
      <c r="F1059" s="207" t="s">
        <v>1530</v>
      </c>
      <c r="G1059" s="207" t="s">
        <v>1494</v>
      </c>
      <c r="H1059" s="207" t="s">
        <v>518</v>
      </c>
      <c r="I1059" s="207">
        <v>4</v>
      </c>
      <c r="J1059" s="334">
        <v>81</v>
      </c>
      <c r="K1059" s="334">
        <v>324</v>
      </c>
      <c r="L1059" s="334">
        <v>40.5</v>
      </c>
      <c r="M1059" s="336">
        <v>162</v>
      </c>
    </row>
    <row r="1060" spans="4:13">
      <c r="D1060" s="226">
        <v>1886</v>
      </c>
      <c r="E1060" s="224">
        <v>44511</v>
      </c>
      <c r="F1060" s="207" t="s">
        <v>1530</v>
      </c>
      <c r="G1060" s="207" t="s">
        <v>1494</v>
      </c>
      <c r="H1060" s="207" t="s">
        <v>530</v>
      </c>
      <c r="I1060" s="207">
        <v>8</v>
      </c>
      <c r="J1060" s="334">
        <v>26</v>
      </c>
      <c r="K1060" s="334">
        <v>208</v>
      </c>
      <c r="L1060" s="334">
        <v>13</v>
      </c>
      <c r="M1060" s="336">
        <v>104</v>
      </c>
    </row>
    <row r="1061" spans="4:13">
      <c r="D1061" s="226">
        <v>1887</v>
      </c>
      <c r="E1061" s="224">
        <v>44513</v>
      </c>
      <c r="F1061" s="207" t="s">
        <v>1530</v>
      </c>
      <c r="G1061" s="207" t="s">
        <v>1494</v>
      </c>
      <c r="H1061" s="207" t="s">
        <v>525</v>
      </c>
      <c r="I1061" s="207">
        <v>10</v>
      </c>
      <c r="J1061" s="334">
        <v>25</v>
      </c>
      <c r="K1061" s="334">
        <v>250</v>
      </c>
      <c r="L1061" s="334">
        <v>12.5</v>
      </c>
      <c r="M1061" s="336">
        <v>125</v>
      </c>
    </row>
    <row r="1062" spans="4:13">
      <c r="D1062" s="226">
        <v>1888</v>
      </c>
      <c r="E1062" s="224">
        <v>44515</v>
      </c>
      <c r="F1062" s="207" t="s">
        <v>1530</v>
      </c>
      <c r="G1062" s="207" t="s">
        <v>1494</v>
      </c>
      <c r="H1062" s="207" t="s">
        <v>518</v>
      </c>
      <c r="I1062" s="207">
        <v>1</v>
      </c>
      <c r="J1062" s="334">
        <v>74</v>
      </c>
      <c r="K1062" s="334">
        <v>74</v>
      </c>
      <c r="L1062" s="334">
        <v>37</v>
      </c>
      <c r="M1062" s="336">
        <v>37</v>
      </c>
    </row>
    <row r="1063" spans="4:13">
      <c r="D1063" s="226">
        <v>1889</v>
      </c>
      <c r="E1063" s="224">
        <v>44516</v>
      </c>
      <c r="F1063" s="207" t="s">
        <v>1531</v>
      </c>
      <c r="G1063" s="207" t="s">
        <v>1497</v>
      </c>
      <c r="H1063" s="207" t="s">
        <v>525</v>
      </c>
      <c r="I1063" s="207">
        <v>7</v>
      </c>
      <c r="J1063" s="334">
        <v>17</v>
      </c>
      <c r="K1063" s="334">
        <v>119</v>
      </c>
      <c r="L1063" s="334">
        <v>8.5</v>
      </c>
      <c r="M1063" s="336">
        <v>59.5</v>
      </c>
    </row>
    <row r="1064" spans="4:13">
      <c r="D1064" s="226">
        <v>1890</v>
      </c>
      <c r="E1064" s="224">
        <v>44517</v>
      </c>
      <c r="F1064" s="207" t="s">
        <v>1533</v>
      </c>
      <c r="G1064" s="207" t="s">
        <v>1502</v>
      </c>
      <c r="H1064" s="207" t="s">
        <v>518</v>
      </c>
      <c r="I1064" s="207">
        <v>6</v>
      </c>
      <c r="J1064" s="334">
        <v>89</v>
      </c>
      <c r="K1064" s="334">
        <v>534</v>
      </c>
      <c r="L1064" s="334">
        <v>44.5</v>
      </c>
      <c r="M1064" s="336">
        <v>267</v>
      </c>
    </row>
    <row r="1065" spans="4:13">
      <c r="D1065" s="226">
        <v>1891</v>
      </c>
      <c r="E1065" s="224">
        <v>44517</v>
      </c>
      <c r="F1065" s="207" t="s">
        <v>1534</v>
      </c>
      <c r="G1065" s="207" t="s">
        <v>1503</v>
      </c>
      <c r="H1065" s="207" t="s">
        <v>518</v>
      </c>
      <c r="I1065" s="207">
        <v>2</v>
      </c>
      <c r="J1065" s="334">
        <v>64</v>
      </c>
      <c r="K1065" s="334">
        <v>128</v>
      </c>
      <c r="L1065" s="334">
        <v>32</v>
      </c>
      <c r="M1065" s="336">
        <v>64</v>
      </c>
    </row>
    <row r="1066" spans="4:13">
      <c r="D1066" s="226">
        <v>1892</v>
      </c>
      <c r="E1066" s="224">
        <v>44517</v>
      </c>
      <c r="F1066" s="207" t="s">
        <v>1532</v>
      </c>
      <c r="G1066" s="207" t="s">
        <v>1499</v>
      </c>
      <c r="H1066" s="207" t="s">
        <v>520</v>
      </c>
      <c r="I1066" s="207">
        <v>1</v>
      </c>
      <c r="J1066" s="334">
        <v>325</v>
      </c>
      <c r="K1066" s="334">
        <v>325</v>
      </c>
      <c r="L1066" s="334">
        <v>162.5</v>
      </c>
      <c r="M1066" s="336">
        <v>162.5</v>
      </c>
    </row>
    <row r="1067" spans="4:13">
      <c r="D1067" s="226">
        <v>1893</v>
      </c>
      <c r="E1067" s="224">
        <v>44519</v>
      </c>
      <c r="F1067" s="207" t="s">
        <v>1534</v>
      </c>
      <c r="G1067" s="207" t="s">
        <v>1503</v>
      </c>
      <c r="H1067" s="207" t="s">
        <v>525</v>
      </c>
      <c r="I1067" s="207">
        <v>8</v>
      </c>
      <c r="J1067" s="334">
        <v>14</v>
      </c>
      <c r="K1067" s="334">
        <v>112</v>
      </c>
      <c r="L1067" s="334">
        <v>7</v>
      </c>
      <c r="M1067" s="336">
        <v>56</v>
      </c>
    </row>
    <row r="1068" spans="4:13">
      <c r="D1068" s="226">
        <v>1894</v>
      </c>
      <c r="E1068" s="224">
        <v>44519</v>
      </c>
      <c r="F1068" s="207" t="s">
        <v>1532</v>
      </c>
      <c r="G1068" s="207" t="s">
        <v>1499</v>
      </c>
      <c r="H1068" s="207" t="s">
        <v>520</v>
      </c>
      <c r="I1068" s="207">
        <v>2</v>
      </c>
      <c r="J1068" s="334">
        <v>380</v>
      </c>
      <c r="K1068" s="334">
        <v>760</v>
      </c>
      <c r="L1068" s="334">
        <v>190</v>
      </c>
      <c r="M1068" s="336">
        <v>380</v>
      </c>
    </row>
    <row r="1069" spans="4:13">
      <c r="D1069" s="226">
        <v>1895</v>
      </c>
      <c r="E1069" s="224">
        <v>44519</v>
      </c>
      <c r="F1069" s="207" t="s">
        <v>1530</v>
      </c>
      <c r="G1069" s="207" t="s">
        <v>1494</v>
      </c>
      <c r="H1069" s="207" t="s">
        <v>520</v>
      </c>
      <c r="I1069" s="207">
        <v>2</v>
      </c>
      <c r="J1069" s="334">
        <v>316</v>
      </c>
      <c r="K1069" s="334">
        <v>632</v>
      </c>
      <c r="L1069" s="334">
        <v>158</v>
      </c>
      <c r="M1069" s="336">
        <v>316</v>
      </c>
    </row>
    <row r="1070" spans="4:13">
      <c r="D1070" s="226">
        <v>1896</v>
      </c>
      <c r="E1070" s="224">
        <v>44520</v>
      </c>
      <c r="F1070" s="207" t="s">
        <v>1534</v>
      </c>
      <c r="G1070" s="207" t="s">
        <v>1503</v>
      </c>
      <c r="H1070" s="207" t="s">
        <v>530</v>
      </c>
      <c r="I1070" s="207">
        <v>6</v>
      </c>
      <c r="J1070" s="334">
        <v>21</v>
      </c>
      <c r="K1070" s="334">
        <v>126</v>
      </c>
      <c r="L1070" s="334">
        <v>10.5</v>
      </c>
      <c r="M1070" s="336">
        <v>63</v>
      </c>
    </row>
    <row r="1071" spans="4:13">
      <c r="D1071" s="226">
        <v>1897</v>
      </c>
      <c r="E1071" s="224">
        <v>44522</v>
      </c>
      <c r="F1071" s="207" t="s">
        <v>1530</v>
      </c>
      <c r="G1071" s="207" t="s">
        <v>1494</v>
      </c>
      <c r="H1071" s="207" t="s">
        <v>530</v>
      </c>
      <c r="I1071" s="207">
        <v>1</v>
      </c>
      <c r="J1071" s="334">
        <v>32</v>
      </c>
      <c r="K1071" s="334">
        <v>32</v>
      </c>
      <c r="L1071" s="334">
        <v>16</v>
      </c>
      <c r="M1071" s="336">
        <v>16</v>
      </c>
    </row>
    <row r="1072" spans="4:13">
      <c r="D1072" s="226">
        <v>1898</v>
      </c>
      <c r="E1072" s="224">
        <v>44522</v>
      </c>
      <c r="F1072" s="207" t="s">
        <v>1531</v>
      </c>
      <c r="G1072" s="207" t="s">
        <v>1497</v>
      </c>
      <c r="H1072" s="207" t="s">
        <v>518</v>
      </c>
      <c r="I1072" s="207">
        <v>6</v>
      </c>
      <c r="J1072" s="334">
        <v>73</v>
      </c>
      <c r="K1072" s="334">
        <v>438</v>
      </c>
      <c r="L1072" s="334">
        <v>36.5</v>
      </c>
      <c r="M1072" s="336">
        <v>219</v>
      </c>
    </row>
    <row r="1073" spans="4:13">
      <c r="D1073" s="226">
        <v>1899</v>
      </c>
      <c r="E1073" s="224">
        <v>44523</v>
      </c>
      <c r="F1073" s="207" t="s">
        <v>1532</v>
      </c>
      <c r="G1073" s="207" t="s">
        <v>1499</v>
      </c>
      <c r="H1073" s="207" t="s">
        <v>534</v>
      </c>
      <c r="I1073" s="207">
        <v>9</v>
      </c>
      <c r="J1073" s="334">
        <v>9</v>
      </c>
      <c r="K1073" s="334">
        <v>81</v>
      </c>
      <c r="L1073" s="334">
        <v>4.5</v>
      </c>
      <c r="M1073" s="336">
        <v>40.5</v>
      </c>
    </row>
    <row r="1074" spans="4:13">
      <c r="D1074" s="226">
        <v>1900</v>
      </c>
      <c r="E1074" s="224">
        <v>44524</v>
      </c>
      <c r="F1074" s="207" t="s">
        <v>1534</v>
      </c>
      <c r="G1074" s="207" t="s">
        <v>1503</v>
      </c>
      <c r="H1074" s="207" t="s">
        <v>530</v>
      </c>
      <c r="I1074" s="207">
        <v>3</v>
      </c>
      <c r="J1074" s="334">
        <v>33</v>
      </c>
      <c r="K1074" s="334">
        <v>99</v>
      </c>
      <c r="L1074" s="334">
        <v>16.5</v>
      </c>
      <c r="M1074" s="336">
        <v>49.5</v>
      </c>
    </row>
    <row r="1075" spans="4:13">
      <c r="D1075" s="226">
        <v>1901</v>
      </c>
      <c r="E1075" s="224">
        <v>44525</v>
      </c>
      <c r="F1075" s="207" t="s">
        <v>1532</v>
      </c>
      <c r="G1075" s="207" t="s">
        <v>1499</v>
      </c>
      <c r="H1075" s="207" t="s">
        <v>530</v>
      </c>
      <c r="I1075" s="207">
        <v>7</v>
      </c>
      <c r="J1075" s="334">
        <v>49</v>
      </c>
      <c r="K1075" s="334">
        <v>343</v>
      </c>
      <c r="L1075" s="334">
        <v>24.5</v>
      </c>
      <c r="M1075" s="336">
        <v>171.5</v>
      </c>
    </row>
    <row r="1076" spans="4:13">
      <c r="D1076" s="226">
        <v>1902</v>
      </c>
      <c r="E1076" s="224">
        <v>44525</v>
      </c>
      <c r="F1076" s="207" t="s">
        <v>1531</v>
      </c>
      <c r="G1076" s="207" t="s">
        <v>1497</v>
      </c>
      <c r="H1076" s="207" t="s">
        <v>534</v>
      </c>
      <c r="I1076" s="207">
        <v>4</v>
      </c>
      <c r="J1076" s="334">
        <v>7</v>
      </c>
      <c r="K1076" s="334">
        <v>28</v>
      </c>
      <c r="L1076" s="334">
        <v>3.5</v>
      </c>
      <c r="M1076" s="336">
        <v>14</v>
      </c>
    </row>
    <row r="1077" spans="4:13">
      <c r="D1077" s="226">
        <v>1903</v>
      </c>
      <c r="E1077" s="224">
        <v>44527</v>
      </c>
      <c r="F1077" s="207" t="s">
        <v>1533</v>
      </c>
      <c r="G1077" s="207" t="s">
        <v>1502</v>
      </c>
      <c r="H1077" s="207" t="s">
        <v>525</v>
      </c>
      <c r="I1077" s="207">
        <v>5</v>
      </c>
      <c r="J1077" s="334">
        <v>20</v>
      </c>
      <c r="K1077" s="334">
        <v>100</v>
      </c>
      <c r="L1077" s="334">
        <v>10</v>
      </c>
      <c r="M1077" s="336">
        <v>50</v>
      </c>
    </row>
    <row r="1078" spans="4:13">
      <c r="D1078" s="226">
        <v>1904</v>
      </c>
      <c r="E1078" s="224">
        <v>44527</v>
      </c>
      <c r="F1078" s="207" t="s">
        <v>1530</v>
      </c>
      <c r="G1078" s="207" t="s">
        <v>1494</v>
      </c>
      <c r="H1078" s="207" t="s">
        <v>525</v>
      </c>
      <c r="I1078" s="207">
        <v>8</v>
      </c>
      <c r="J1078" s="334">
        <v>22</v>
      </c>
      <c r="K1078" s="334">
        <v>176</v>
      </c>
      <c r="L1078" s="334">
        <v>11</v>
      </c>
      <c r="M1078" s="336">
        <v>88</v>
      </c>
    </row>
    <row r="1079" spans="4:13">
      <c r="D1079" s="226">
        <v>1905</v>
      </c>
      <c r="E1079" s="224">
        <v>44528</v>
      </c>
      <c r="F1079" s="207" t="s">
        <v>1533</v>
      </c>
      <c r="G1079" s="207" t="s">
        <v>1502</v>
      </c>
      <c r="H1079" s="207" t="s">
        <v>525</v>
      </c>
      <c r="I1079" s="207">
        <v>20</v>
      </c>
      <c r="J1079" s="334">
        <v>21</v>
      </c>
      <c r="K1079" s="334">
        <v>420</v>
      </c>
      <c r="L1079" s="334">
        <v>10.5</v>
      </c>
      <c r="M1079" s="336">
        <v>210</v>
      </c>
    </row>
    <row r="1080" spans="4:13">
      <c r="D1080" s="226">
        <v>1906</v>
      </c>
      <c r="E1080" s="224">
        <v>44528</v>
      </c>
      <c r="F1080" s="207" t="s">
        <v>1533</v>
      </c>
      <c r="G1080" s="207" t="s">
        <v>1502</v>
      </c>
      <c r="H1080" s="207" t="s">
        <v>525</v>
      </c>
      <c r="I1080" s="207">
        <v>15</v>
      </c>
      <c r="J1080" s="334">
        <v>15</v>
      </c>
      <c r="K1080" s="334">
        <v>225</v>
      </c>
      <c r="L1080" s="334">
        <v>7.5</v>
      </c>
      <c r="M1080" s="336">
        <v>112.5</v>
      </c>
    </row>
    <row r="1081" spans="4:13">
      <c r="D1081" s="226">
        <v>1907</v>
      </c>
      <c r="E1081" s="224">
        <v>44529</v>
      </c>
      <c r="F1081" s="207" t="s">
        <v>1530</v>
      </c>
      <c r="G1081" s="207" t="s">
        <v>1494</v>
      </c>
      <c r="H1081" s="207" t="s">
        <v>534</v>
      </c>
      <c r="I1081" s="207">
        <v>7</v>
      </c>
      <c r="J1081" s="334">
        <v>6</v>
      </c>
      <c r="K1081" s="334">
        <v>42</v>
      </c>
      <c r="L1081" s="334">
        <v>3</v>
      </c>
      <c r="M1081" s="336">
        <v>21</v>
      </c>
    </row>
    <row r="1082" spans="4:13">
      <c r="D1082" s="226">
        <v>1908</v>
      </c>
      <c r="E1082" s="224">
        <v>44533</v>
      </c>
      <c r="F1082" s="207" t="s">
        <v>1533</v>
      </c>
      <c r="G1082" s="207" t="s">
        <v>1502</v>
      </c>
      <c r="H1082" s="207" t="s">
        <v>530</v>
      </c>
      <c r="I1082" s="207">
        <v>4</v>
      </c>
      <c r="J1082" s="334">
        <v>50</v>
      </c>
      <c r="K1082" s="334">
        <v>200</v>
      </c>
      <c r="L1082" s="334">
        <v>25</v>
      </c>
      <c r="M1082" s="336">
        <v>100</v>
      </c>
    </row>
    <row r="1083" spans="4:13">
      <c r="D1083" s="226">
        <v>1909</v>
      </c>
      <c r="E1083" s="224">
        <v>44534</v>
      </c>
      <c r="F1083" s="207" t="s">
        <v>1530</v>
      </c>
      <c r="G1083" s="207" t="s">
        <v>1494</v>
      </c>
      <c r="H1083" s="207" t="s">
        <v>518</v>
      </c>
      <c r="I1083" s="207">
        <v>2</v>
      </c>
      <c r="J1083" s="334">
        <v>80</v>
      </c>
      <c r="K1083" s="334">
        <v>160</v>
      </c>
      <c r="L1083" s="334">
        <v>40</v>
      </c>
      <c r="M1083" s="336">
        <v>80</v>
      </c>
    </row>
    <row r="1084" spans="4:13">
      <c r="D1084" s="226">
        <v>1910</v>
      </c>
      <c r="E1084" s="224">
        <v>44534</v>
      </c>
      <c r="F1084" s="207" t="s">
        <v>1534</v>
      </c>
      <c r="G1084" s="207" t="s">
        <v>1503</v>
      </c>
      <c r="H1084" s="207" t="s">
        <v>518</v>
      </c>
      <c r="I1084" s="207">
        <v>5</v>
      </c>
      <c r="J1084" s="334">
        <v>68</v>
      </c>
      <c r="K1084" s="334">
        <v>340</v>
      </c>
      <c r="L1084" s="334">
        <v>34</v>
      </c>
      <c r="M1084" s="336">
        <v>170</v>
      </c>
    </row>
    <row r="1085" spans="4:13">
      <c r="D1085" s="226">
        <v>1911</v>
      </c>
      <c r="E1085" s="224">
        <v>44535</v>
      </c>
      <c r="F1085" s="207" t="s">
        <v>1533</v>
      </c>
      <c r="G1085" s="207" t="s">
        <v>1502</v>
      </c>
      <c r="H1085" s="207" t="s">
        <v>520</v>
      </c>
      <c r="I1085" s="207">
        <v>1</v>
      </c>
      <c r="J1085" s="334">
        <v>257</v>
      </c>
      <c r="K1085" s="334">
        <v>257</v>
      </c>
      <c r="L1085" s="334">
        <v>128.5</v>
      </c>
      <c r="M1085" s="336">
        <v>128.5</v>
      </c>
    </row>
    <row r="1086" spans="4:13">
      <c r="D1086" s="226">
        <v>1912</v>
      </c>
      <c r="E1086" s="224">
        <v>44535</v>
      </c>
      <c r="F1086" s="207" t="s">
        <v>1530</v>
      </c>
      <c r="G1086" s="207" t="s">
        <v>1494</v>
      </c>
      <c r="H1086" s="207" t="s">
        <v>530</v>
      </c>
      <c r="I1086" s="207">
        <v>6</v>
      </c>
      <c r="J1086" s="334">
        <v>21</v>
      </c>
      <c r="K1086" s="334">
        <v>126</v>
      </c>
      <c r="L1086" s="334">
        <v>10.5</v>
      </c>
      <c r="M1086" s="336">
        <v>63</v>
      </c>
    </row>
    <row r="1087" spans="4:13">
      <c r="D1087" s="226">
        <v>1913</v>
      </c>
      <c r="E1087" s="224">
        <v>44535</v>
      </c>
      <c r="F1087" s="207" t="s">
        <v>1534</v>
      </c>
      <c r="G1087" s="207" t="s">
        <v>1503</v>
      </c>
      <c r="H1087" s="207" t="s">
        <v>518</v>
      </c>
      <c r="I1087" s="207">
        <v>9</v>
      </c>
      <c r="J1087" s="334">
        <v>67</v>
      </c>
      <c r="K1087" s="334">
        <v>603</v>
      </c>
      <c r="L1087" s="334">
        <v>33.5</v>
      </c>
      <c r="M1087" s="336">
        <v>301.5</v>
      </c>
    </row>
    <row r="1088" spans="4:13">
      <c r="D1088" s="226">
        <v>1914</v>
      </c>
      <c r="E1088" s="224">
        <v>44535</v>
      </c>
      <c r="F1088" s="207" t="s">
        <v>1534</v>
      </c>
      <c r="G1088" s="207" t="s">
        <v>1503</v>
      </c>
      <c r="H1088" s="207" t="s">
        <v>530</v>
      </c>
      <c r="I1088" s="207">
        <v>4</v>
      </c>
      <c r="J1088" s="334">
        <v>24</v>
      </c>
      <c r="K1088" s="334">
        <v>96</v>
      </c>
      <c r="L1088" s="334">
        <v>12</v>
      </c>
      <c r="M1088" s="336">
        <v>48</v>
      </c>
    </row>
    <row r="1089" spans="4:13">
      <c r="D1089" s="226">
        <v>1915</v>
      </c>
      <c r="E1089" s="224">
        <v>44538</v>
      </c>
      <c r="F1089" s="207" t="s">
        <v>1531</v>
      </c>
      <c r="G1089" s="207" t="s">
        <v>1497</v>
      </c>
      <c r="H1089" s="207" t="s">
        <v>525</v>
      </c>
      <c r="I1089" s="207">
        <v>1</v>
      </c>
      <c r="J1089" s="334">
        <v>17</v>
      </c>
      <c r="K1089" s="334">
        <v>17</v>
      </c>
      <c r="L1089" s="334">
        <v>8.5</v>
      </c>
      <c r="M1089" s="336">
        <v>8.5</v>
      </c>
    </row>
    <row r="1090" spans="4:13">
      <c r="D1090" s="226">
        <v>1916</v>
      </c>
      <c r="E1090" s="224">
        <v>44542</v>
      </c>
      <c r="F1090" s="207" t="s">
        <v>1530</v>
      </c>
      <c r="G1090" s="207" t="s">
        <v>1494</v>
      </c>
      <c r="H1090" s="207" t="s">
        <v>520</v>
      </c>
      <c r="I1090" s="207">
        <v>1</v>
      </c>
      <c r="J1090" s="334">
        <v>364</v>
      </c>
      <c r="K1090" s="334">
        <v>364</v>
      </c>
      <c r="L1090" s="334">
        <v>182</v>
      </c>
      <c r="M1090" s="336">
        <v>182</v>
      </c>
    </row>
    <row r="1091" spans="4:13">
      <c r="D1091" s="226">
        <v>1917</v>
      </c>
      <c r="E1091" s="224">
        <v>44544</v>
      </c>
      <c r="F1091" s="207" t="s">
        <v>1533</v>
      </c>
      <c r="G1091" s="207" t="s">
        <v>1502</v>
      </c>
      <c r="H1091" s="207" t="s">
        <v>518</v>
      </c>
      <c r="I1091" s="207">
        <v>5</v>
      </c>
      <c r="J1091" s="334">
        <v>71</v>
      </c>
      <c r="K1091" s="334">
        <v>355</v>
      </c>
      <c r="L1091" s="334">
        <v>35.5</v>
      </c>
      <c r="M1091" s="336">
        <v>177.5</v>
      </c>
    </row>
    <row r="1092" spans="4:13">
      <c r="D1092" s="226">
        <v>1918</v>
      </c>
      <c r="E1092" s="224">
        <v>44545</v>
      </c>
      <c r="F1092" s="207" t="s">
        <v>1534</v>
      </c>
      <c r="G1092" s="207" t="s">
        <v>1503</v>
      </c>
      <c r="H1092" s="207" t="s">
        <v>525</v>
      </c>
      <c r="I1092" s="207">
        <v>11</v>
      </c>
      <c r="J1092" s="334">
        <v>13</v>
      </c>
      <c r="K1092" s="334">
        <v>143</v>
      </c>
      <c r="L1092" s="334">
        <v>6.5</v>
      </c>
      <c r="M1092" s="336">
        <v>71.5</v>
      </c>
    </row>
    <row r="1093" spans="4:13">
      <c r="D1093" s="226">
        <v>1919</v>
      </c>
      <c r="E1093" s="224">
        <v>44545</v>
      </c>
      <c r="F1093" s="207" t="s">
        <v>1532</v>
      </c>
      <c r="G1093" s="207" t="s">
        <v>1499</v>
      </c>
      <c r="H1093" s="207" t="s">
        <v>525</v>
      </c>
      <c r="I1093" s="207">
        <v>11</v>
      </c>
      <c r="J1093" s="334">
        <v>22</v>
      </c>
      <c r="K1093" s="334">
        <v>242</v>
      </c>
      <c r="L1093" s="334">
        <v>11</v>
      </c>
      <c r="M1093" s="336">
        <v>121</v>
      </c>
    </row>
    <row r="1094" spans="4:13">
      <c r="D1094" s="226">
        <v>1920</v>
      </c>
      <c r="E1094" s="224">
        <v>44547</v>
      </c>
      <c r="F1094" s="207" t="s">
        <v>1531</v>
      </c>
      <c r="G1094" s="207" t="s">
        <v>1497</v>
      </c>
      <c r="H1094" s="207" t="s">
        <v>530</v>
      </c>
      <c r="I1094" s="207">
        <v>4</v>
      </c>
      <c r="J1094" s="334">
        <v>32</v>
      </c>
      <c r="K1094" s="334">
        <v>128</v>
      </c>
      <c r="L1094" s="334">
        <v>16</v>
      </c>
      <c r="M1094" s="336">
        <v>64</v>
      </c>
    </row>
    <row r="1095" spans="4:13">
      <c r="D1095" s="226">
        <v>1921</v>
      </c>
      <c r="E1095" s="224">
        <v>44548</v>
      </c>
      <c r="F1095" s="207" t="s">
        <v>1530</v>
      </c>
      <c r="G1095" s="207" t="s">
        <v>1494</v>
      </c>
      <c r="H1095" s="207" t="s">
        <v>518</v>
      </c>
      <c r="I1095" s="207">
        <v>7</v>
      </c>
      <c r="J1095" s="334">
        <v>67</v>
      </c>
      <c r="K1095" s="334">
        <v>469</v>
      </c>
      <c r="L1095" s="334">
        <v>33.5</v>
      </c>
      <c r="M1095" s="336">
        <v>234.5</v>
      </c>
    </row>
    <row r="1096" spans="4:13">
      <c r="D1096" s="226">
        <v>1922</v>
      </c>
      <c r="E1096" s="224">
        <v>44549</v>
      </c>
      <c r="F1096" s="207" t="s">
        <v>1532</v>
      </c>
      <c r="G1096" s="207" t="s">
        <v>1499</v>
      </c>
      <c r="H1096" s="207" t="s">
        <v>530</v>
      </c>
      <c r="I1096" s="207">
        <v>5</v>
      </c>
      <c r="J1096" s="334">
        <v>43</v>
      </c>
      <c r="K1096" s="334">
        <v>215</v>
      </c>
      <c r="L1096" s="334">
        <v>21.5</v>
      </c>
      <c r="M1096" s="336">
        <v>107.5</v>
      </c>
    </row>
    <row r="1097" spans="4:13">
      <c r="D1097" s="226">
        <v>1923</v>
      </c>
      <c r="E1097" s="224">
        <v>44549</v>
      </c>
      <c r="F1097" s="207" t="s">
        <v>1534</v>
      </c>
      <c r="G1097" s="207" t="s">
        <v>1503</v>
      </c>
      <c r="H1097" s="207" t="s">
        <v>530</v>
      </c>
      <c r="I1097" s="207">
        <v>4</v>
      </c>
      <c r="J1097" s="334">
        <v>44</v>
      </c>
      <c r="K1097" s="334">
        <v>176</v>
      </c>
      <c r="L1097" s="334">
        <v>22</v>
      </c>
      <c r="M1097" s="336">
        <v>88</v>
      </c>
    </row>
    <row r="1098" spans="4:13">
      <c r="D1098" s="226">
        <v>1924</v>
      </c>
      <c r="E1098" s="224">
        <v>44550</v>
      </c>
      <c r="F1098" s="207" t="s">
        <v>1531</v>
      </c>
      <c r="G1098" s="207" t="s">
        <v>1497</v>
      </c>
      <c r="H1098" s="207" t="s">
        <v>525</v>
      </c>
      <c r="I1098" s="207">
        <v>1</v>
      </c>
      <c r="J1098" s="334">
        <v>19</v>
      </c>
      <c r="K1098" s="334">
        <v>19</v>
      </c>
      <c r="L1098" s="334">
        <v>9.5</v>
      </c>
      <c r="M1098" s="336">
        <v>9.5</v>
      </c>
    </row>
    <row r="1099" spans="4:13">
      <c r="D1099" s="226">
        <v>1925</v>
      </c>
      <c r="E1099" s="224">
        <v>44551</v>
      </c>
      <c r="F1099" s="207" t="s">
        <v>1530</v>
      </c>
      <c r="G1099" s="207" t="s">
        <v>1494</v>
      </c>
      <c r="H1099" s="207" t="s">
        <v>520</v>
      </c>
      <c r="I1099" s="207">
        <v>1</v>
      </c>
      <c r="J1099" s="334">
        <v>254</v>
      </c>
      <c r="K1099" s="334">
        <v>254</v>
      </c>
      <c r="L1099" s="334">
        <v>127</v>
      </c>
      <c r="M1099" s="336">
        <v>127</v>
      </c>
    </row>
    <row r="1100" spans="4:13">
      <c r="D1100" s="226">
        <v>1926</v>
      </c>
      <c r="E1100" s="224">
        <v>44551</v>
      </c>
      <c r="F1100" s="207" t="s">
        <v>1530</v>
      </c>
      <c r="G1100" s="207" t="s">
        <v>1494</v>
      </c>
      <c r="H1100" s="207" t="s">
        <v>530</v>
      </c>
      <c r="I1100" s="207">
        <v>2</v>
      </c>
      <c r="J1100" s="334">
        <v>24</v>
      </c>
      <c r="K1100" s="334">
        <v>48</v>
      </c>
      <c r="L1100" s="334">
        <v>12</v>
      </c>
      <c r="M1100" s="336">
        <v>24</v>
      </c>
    </row>
    <row r="1101" spans="4:13">
      <c r="D1101" s="226">
        <v>1927</v>
      </c>
      <c r="E1101" s="224">
        <v>44552</v>
      </c>
      <c r="F1101" s="207" t="s">
        <v>1533</v>
      </c>
      <c r="G1101" s="207" t="s">
        <v>1502</v>
      </c>
      <c r="H1101" s="207" t="s">
        <v>525</v>
      </c>
      <c r="I1101" s="207">
        <v>11</v>
      </c>
      <c r="J1101" s="334">
        <v>19</v>
      </c>
      <c r="K1101" s="334">
        <v>209</v>
      </c>
      <c r="L1101" s="334">
        <v>9.5</v>
      </c>
      <c r="M1101" s="336">
        <v>104.5</v>
      </c>
    </row>
    <row r="1102" spans="4:13">
      <c r="D1102" s="226">
        <v>1928</v>
      </c>
      <c r="E1102" s="224">
        <v>44552</v>
      </c>
      <c r="F1102" s="207" t="s">
        <v>1533</v>
      </c>
      <c r="G1102" s="207" t="s">
        <v>1502</v>
      </c>
      <c r="H1102" s="207" t="s">
        <v>534</v>
      </c>
      <c r="I1102" s="207">
        <v>2</v>
      </c>
      <c r="J1102" s="334">
        <v>10</v>
      </c>
      <c r="K1102" s="334">
        <v>20</v>
      </c>
      <c r="L1102" s="334">
        <v>5</v>
      </c>
      <c r="M1102" s="336">
        <v>10</v>
      </c>
    </row>
    <row r="1103" spans="4:13">
      <c r="D1103" s="226">
        <v>1929</v>
      </c>
      <c r="E1103" s="224">
        <v>44553</v>
      </c>
      <c r="F1103" s="207" t="s">
        <v>1530</v>
      </c>
      <c r="G1103" s="207" t="s">
        <v>1494</v>
      </c>
      <c r="H1103" s="207" t="s">
        <v>520</v>
      </c>
      <c r="I1103" s="207">
        <v>2</v>
      </c>
      <c r="J1103" s="334">
        <v>241</v>
      </c>
      <c r="K1103" s="334">
        <v>482</v>
      </c>
      <c r="L1103" s="334">
        <v>120.5</v>
      </c>
      <c r="M1103" s="336">
        <v>241</v>
      </c>
    </row>
    <row r="1104" spans="4:13">
      <c r="D1104" s="226">
        <v>1930</v>
      </c>
      <c r="E1104" s="224">
        <v>44554</v>
      </c>
      <c r="F1104" s="207" t="s">
        <v>1530</v>
      </c>
      <c r="G1104" s="207" t="s">
        <v>1494</v>
      </c>
      <c r="H1104" s="207" t="s">
        <v>525</v>
      </c>
      <c r="I1104" s="207">
        <v>18</v>
      </c>
      <c r="J1104" s="334">
        <v>23</v>
      </c>
      <c r="K1104" s="334">
        <v>414</v>
      </c>
      <c r="L1104" s="334">
        <v>11.5</v>
      </c>
      <c r="M1104" s="336">
        <v>207</v>
      </c>
    </row>
    <row r="1105" spans="4:13">
      <c r="D1105" s="226">
        <v>1931</v>
      </c>
      <c r="E1105" s="224">
        <v>44558</v>
      </c>
      <c r="F1105" s="207" t="s">
        <v>1534</v>
      </c>
      <c r="G1105" s="207" t="s">
        <v>1503</v>
      </c>
      <c r="H1105" s="207" t="s">
        <v>520</v>
      </c>
      <c r="I1105" s="207">
        <v>2</v>
      </c>
      <c r="J1105" s="334">
        <v>379</v>
      </c>
      <c r="K1105" s="334">
        <v>758</v>
      </c>
      <c r="L1105" s="334">
        <v>189.5</v>
      </c>
      <c r="M1105" s="336">
        <v>379</v>
      </c>
    </row>
    <row r="1106" spans="4:13">
      <c r="D1106" s="226">
        <v>1932</v>
      </c>
      <c r="E1106" s="224">
        <v>44558</v>
      </c>
      <c r="F1106" s="207" t="s">
        <v>1534</v>
      </c>
      <c r="G1106" s="207" t="s">
        <v>1503</v>
      </c>
      <c r="H1106" s="207" t="s">
        <v>525</v>
      </c>
      <c r="I1106" s="207">
        <v>1</v>
      </c>
      <c r="J1106" s="334">
        <v>10</v>
      </c>
      <c r="K1106" s="334">
        <v>10</v>
      </c>
      <c r="L1106" s="334">
        <v>5</v>
      </c>
      <c r="M1106" s="336">
        <v>5</v>
      </c>
    </row>
    <row r="1107" spans="4:13">
      <c r="D1107" s="231">
        <v>1933</v>
      </c>
      <c r="E1107" s="232">
        <v>44558</v>
      </c>
      <c r="F1107" s="233" t="s">
        <v>1532</v>
      </c>
      <c r="G1107" s="233" t="s">
        <v>1499</v>
      </c>
      <c r="H1107" s="233" t="s">
        <v>520</v>
      </c>
      <c r="I1107" s="233">
        <v>1</v>
      </c>
      <c r="J1107" s="340">
        <v>285</v>
      </c>
      <c r="K1107" s="340">
        <v>285</v>
      </c>
      <c r="L1107" s="340">
        <v>142.5</v>
      </c>
      <c r="M1107" s="341">
        <v>142.5</v>
      </c>
    </row>
  </sheetData>
  <sheetProtection selectLockedCells="1" pivotTables="0"/>
  <mergeCells count="4">
    <mergeCell ref="C5:I5"/>
    <mergeCell ref="K112:R113"/>
    <mergeCell ref="D159:M170"/>
    <mergeCell ref="U173:AD174"/>
  </mergeCells>
  <conditionalFormatting sqref="K2:K111">
    <cfRule type="duplicateValues" dxfId="44" priority="1"/>
  </conditionalFormatting>
  <dataValidations count="3">
    <dataValidation type="custom" allowBlank="1" showInputMessage="1" showErrorMessage="1" errorTitle="no se puede " sqref="R108:R111 R114:R117" xr:uid="{D959D9B6-3A1A-4466-8FA9-947DEAC90B92}">
      <formula1>$R108&gt;2</formula1>
    </dataValidation>
    <dataValidation type="custom" allowBlank="1" showInputMessage="1" showErrorMessage="1" errorTitle="duplicado" sqref="K108:K112 K171:K173 K1108:K1048576 K114:K158" xr:uid="{5C44FBC2-AC6D-437E-90CD-F4C6706DC46A}">
      <formula1>$R108&lt;2</formula1>
    </dataValidation>
    <dataValidation type="custom" allowBlank="1" showInputMessage="1" showErrorMessage="1" errorTitle="NO SE PUEDE PONER DUPLICADOS" error="factura duplicada" sqref="R118:R176 R1186:R1048576" xr:uid="{3ABF46F7-E52E-4330-810A-C352591E6AA9}">
      <formula1>R$109</formula1>
    </dataValidation>
  </dataValidations>
  <pageMargins left="0.7" right="0.7" top="0.75" bottom="0.75" header="0.3" footer="0.3"/>
  <drawing r:id="rId6"/>
  <tableParts count="2">
    <tablePart r:id="rId7"/>
    <tablePart r:id="rId8"/>
  </tableParts>
  <extLst>
    <ext xmlns:x14="http://schemas.microsoft.com/office/spreadsheetml/2009/9/main" uri="{A8765BA9-456A-4dab-B4F3-ACF838C121DE}">
      <x14:slicerList>
        <x14:slicer r:id="rId9"/>
      </x14:slicerList>
    </ext>
    <ext xmlns:x15="http://schemas.microsoft.com/office/spreadsheetml/2010/11/main" uri="{7E03D99C-DC04-49d9-9315-930204A7B6E9}">
      <x15:timelineRefs>
        <x15:timelineRef r:id="rId10"/>
      </x15:timelineRef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E35E4-ED9C-4810-A9AD-754EAA3351A8}">
  <dimension ref="A1:E14"/>
  <sheetViews>
    <sheetView workbookViewId="0">
      <selection activeCell="F20" sqref="F20"/>
    </sheetView>
  </sheetViews>
  <sheetFormatPr baseColWidth="10" defaultRowHeight="15"/>
  <cols>
    <col min="1" max="1" width="18" customWidth="1"/>
    <col min="4" max="4" width="27.42578125" customWidth="1"/>
    <col min="5" max="5" width="28.140625" customWidth="1"/>
  </cols>
  <sheetData>
    <row r="1" spans="1:5">
      <c r="A1" t="s">
        <v>1606</v>
      </c>
      <c r="B1" t="s">
        <v>1607</v>
      </c>
      <c r="C1" t="s">
        <v>1608</v>
      </c>
      <c r="D1" t="s">
        <v>1609</v>
      </c>
      <c r="E1" t="s">
        <v>1610</v>
      </c>
    </row>
    <row r="2" spans="1:5">
      <c r="A2" s="210">
        <v>45658</v>
      </c>
      <c r="B2">
        <v>538.25000000000011</v>
      </c>
    </row>
    <row r="3" spans="1:5">
      <c r="A3" s="210">
        <v>45689</v>
      </c>
      <c r="B3">
        <v>536.65000000000009</v>
      </c>
    </row>
    <row r="4" spans="1:5">
      <c r="A4" s="210">
        <v>45717</v>
      </c>
      <c r="B4">
        <v>275.96000000000004</v>
      </c>
    </row>
    <row r="5" spans="1:5">
      <c r="A5" s="210">
        <v>45748</v>
      </c>
      <c r="B5">
        <v>458.81</v>
      </c>
    </row>
    <row r="6" spans="1:5">
      <c r="A6" s="210">
        <v>45778</v>
      </c>
      <c r="B6">
        <v>462.63</v>
      </c>
    </row>
    <row r="7" spans="1:5">
      <c r="A7" s="210">
        <v>45809</v>
      </c>
      <c r="B7">
        <v>398.03</v>
      </c>
    </row>
    <row r="8" spans="1:5">
      <c r="A8" s="210">
        <v>45839</v>
      </c>
      <c r="B8">
        <v>376.33</v>
      </c>
    </row>
    <row r="9" spans="1:5">
      <c r="A9" s="210">
        <v>45870</v>
      </c>
      <c r="B9">
        <v>284.19</v>
      </c>
    </row>
    <row r="10" spans="1:5">
      <c r="A10" s="210">
        <v>45901</v>
      </c>
      <c r="B10">
        <v>326.52</v>
      </c>
    </row>
    <row r="11" spans="1:5">
      <c r="A11" s="210">
        <v>45931</v>
      </c>
      <c r="B11">
        <v>605.21</v>
      </c>
    </row>
    <row r="12" spans="1:5">
      <c r="A12" s="210">
        <v>45962</v>
      </c>
      <c r="B12">
        <v>475.56</v>
      </c>
    </row>
    <row r="13" spans="1:5">
      <c r="A13" s="210">
        <v>45992</v>
      </c>
      <c r="B13">
        <v>446.1</v>
      </c>
      <c r="C13">
        <v>446.1</v>
      </c>
      <c r="D13" s="332">
        <v>446.1</v>
      </c>
      <c r="E13" s="332">
        <v>446.1</v>
      </c>
    </row>
    <row r="14" spans="1:5">
      <c r="A14" s="210">
        <v>46022</v>
      </c>
      <c r="C14">
        <f>_xlfn.FORECAST.ETS(A14,$B$2:$B$13,$A$2:$A$13,1,1)</f>
        <v>437.32876694714469</v>
      </c>
      <c r="D14" s="332">
        <f>C14-_xlfn.FORECAST.ETS.CONFINT(A14,$B$2:$B$13,$A$2:$A$13,0.95,1,1)</f>
        <v>216.74322833239495</v>
      </c>
      <c r="E14" s="332">
        <f>C14+_xlfn.FORECAST.ETS.CONFINT(A14,$B$2:$B$13,$A$2:$A$13,0.95,1,1)</f>
        <v>657.91430556189448</v>
      </c>
    </row>
  </sheetData>
  <pageMargins left="0.7" right="0.7" top="0.75" bottom="0.75" header="0.3" footer="0.3"/>
  <drawing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AB242-BFA7-4FD4-9FEB-4FF96520A617}">
  <dimension ref="A1:AL369"/>
  <sheetViews>
    <sheetView topLeftCell="N1" workbookViewId="0">
      <selection activeCell="O4" sqref="O4:Q15"/>
    </sheetView>
  </sheetViews>
  <sheetFormatPr baseColWidth="10" defaultRowHeight="15"/>
  <cols>
    <col min="1" max="1" width="4.7109375" bestFit="1" customWidth="1"/>
    <col min="2" max="2" width="11.85546875" bestFit="1" customWidth="1"/>
    <col min="16" max="16" width="21.5703125" bestFit="1" customWidth="1"/>
    <col min="21" max="21" width="16.7109375" bestFit="1" customWidth="1"/>
  </cols>
  <sheetData>
    <row r="1" spans="1:38">
      <c r="A1" t="s">
        <v>1591</v>
      </c>
      <c r="B1" t="s">
        <v>1591</v>
      </c>
      <c r="C1" s="141" t="s">
        <v>512</v>
      </c>
      <c r="D1" s="141" t="s">
        <v>1538</v>
      </c>
      <c r="E1" s="141" t="s">
        <v>1539</v>
      </c>
      <c r="F1" s="141" t="s">
        <v>1540</v>
      </c>
      <c r="G1" s="141" t="s">
        <v>1541</v>
      </c>
      <c r="H1" s="141" t="s">
        <v>1542</v>
      </c>
      <c r="I1" s="141" t="s">
        <v>1543</v>
      </c>
      <c r="J1" s="141" t="s">
        <v>1487</v>
      </c>
      <c r="K1" s="141" t="s">
        <v>1544</v>
      </c>
      <c r="L1" s="141" t="s">
        <v>1545</v>
      </c>
    </row>
    <row r="2" spans="1:38">
      <c r="A2">
        <f>MONTH(C2)</f>
        <v>1</v>
      </c>
      <c r="B2" t="str">
        <f>CHOOSE(MONTH(C2),"enero","febrero","marzo","abril","mayo","junio","julio","agosto","septiembre","octubre","noviembre","diciembre")</f>
        <v>enero</v>
      </c>
      <c r="C2" s="55">
        <v>44197</v>
      </c>
      <c r="D2" s="43" t="s">
        <v>1546</v>
      </c>
      <c r="E2" s="43" t="s">
        <v>1547</v>
      </c>
      <c r="F2" s="43" t="s">
        <v>1548</v>
      </c>
      <c r="G2" s="43" t="s">
        <v>1549</v>
      </c>
      <c r="H2" s="43" t="s">
        <v>1550</v>
      </c>
      <c r="I2" s="43" t="s">
        <v>1551</v>
      </c>
      <c r="J2" s="43">
        <v>19.829999999999998</v>
      </c>
      <c r="K2" s="43">
        <v>9.91</v>
      </c>
      <c r="L2" s="43">
        <v>9.91</v>
      </c>
      <c r="O2" s="43"/>
      <c r="P2" s="43"/>
      <c r="Q2" s="245" t="s">
        <v>1603</v>
      </c>
      <c r="R2" s="43"/>
      <c r="S2" s="43"/>
      <c r="T2" s="43"/>
      <c r="U2" s="245" t="s">
        <v>1605</v>
      </c>
      <c r="V2" s="43"/>
      <c r="W2" s="43"/>
      <c r="X2" s="43"/>
      <c r="Y2" s="43"/>
      <c r="Z2" s="43"/>
      <c r="AA2" s="43"/>
      <c r="AB2" s="43"/>
      <c r="AC2" s="43"/>
      <c r="AD2" s="43"/>
      <c r="AE2" s="43"/>
      <c r="AF2" s="43"/>
      <c r="AG2" s="43"/>
      <c r="AH2" s="43"/>
      <c r="AI2" s="43"/>
      <c r="AJ2" s="43"/>
      <c r="AK2" s="43"/>
      <c r="AL2" s="43"/>
    </row>
    <row r="3" spans="1:38">
      <c r="A3">
        <f t="shared" ref="A3:A66" si="0">MONTH(C3)</f>
        <v>1</v>
      </c>
      <c r="B3" t="str">
        <f t="shared" ref="B3:B66" si="1">CHOOSE(MONTH(C3),"enero","febrero","marzo","abril","mayo","junio","julio","agosto","septiembre","octubre","noviembre","diciembre")</f>
        <v>enero</v>
      </c>
      <c r="C3" s="55">
        <v>44197</v>
      </c>
      <c r="D3" s="43" t="s">
        <v>1552</v>
      </c>
      <c r="E3" s="43" t="s">
        <v>1547</v>
      </c>
      <c r="F3" s="43" t="s">
        <v>1553</v>
      </c>
      <c r="G3" s="43" t="s">
        <v>1554</v>
      </c>
      <c r="H3" s="43" t="s">
        <v>1555</v>
      </c>
      <c r="I3" s="43" t="s">
        <v>1551</v>
      </c>
      <c r="J3" s="43">
        <v>66.930000000000007</v>
      </c>
      <c r="K3" s="43">
        <v>33.47</v>
      </c>
      <c r="L3" s="43">
        <v>33.47</v>
      </c>
      <c r="O3" s="43"/>
      <c r="P3" s="43"/>
      <c r="Q3" s="242" t="s">
        <v>1545</v>
      </c>
      <c r="R3" s="43"/>
      <c r="S3" s="43"/>
      <c r="T3" s="43"/>
      <c r="U3" s="242" t="s">
        <v>1592</v>
      </c>
      <c r="V3" s="43"/>
      <c r="W3" s="43"/>
      <c r="X3" s="43"/>
      <c r="Y3" s="242" t="s">
        <v>417</v>
      </c>
      <c r="Z3" s="242" t="s">
        <v>416</v>
      </c>
      <c r="AA3" s="242" t="s">
        <v>418</v>
      </c>
      <c r="AB3" s="242" t="s">
        <v>1593</v>
      </c>
      <c r="AC3" s="242" t="s">
        <v>1594</v>
      </c>
      <c r="AD3" s="242" t="s">
        <v>1595</v>
      </c>
      <c r="AE3" s="242" t="s">
        <v>1596</v>
      </c>
      <c r="AF3" s="242" t="s">
        <v>1597</v>
      </c>
      <c r="AG3" s="242" t="s">
        <v>1598</v>
      </c>
      <c r="AH3" s="242" t="s">
        <v>1599</v>
      </c>
      <c r="AI3" s="242" t="s">
        <v>1600</v>
      </c>
      <c r="AJ3" s="242" t="s">
        <v>1601</v>
      </c>
      <c r="AK3" s="243" t="s">
        <v>1489</v>
      </c>
      <c r="AL3" s="43"/>
    </row>
    <row r="4" spans="1:38">
      <c r="A4">
        <f t="shared" si="0"/>
        <v>1</v>
      </c>
      <c r="B4" t="str">
        <f t="shared" si="1"/>
        <v>enero</v>
      </c>
      <c r="C4" s="55">
        <v>44198</v>
      </c>
      <c r="D4" s="43" t="s">
        <v>1556</v>
      </c>
      <c r="E4" s="43" t="s">
        <v>1557</v>
      </c>
      <c r="F4" s="43" t="s">
        <v>1558</v>
      </c>
      <c r="G4" s="43" t="s">
        <v>1554</v>
      </c>
      <c r="H4" s="43" t="s">
        <v>1559</v>
      </c>
      <c r="I4" s="43" t="s">
        <v>1560</v>
      </c>
      <c r="J4" s="43">
        <v>15.69</v>
      </c>
      <c r="K4" s="43">
        <v>7.85</v>
      </c>
      <c r="L4" s="43">
        <v>7.85</v>
      </c>
      <c r="O4" s="55">
        <v>45658</v>
      </c>
      <c r="P4" s="242" t="s">
        <v>1602</v>
      </c>
      <c r="Q4" s="24">
        <f>SUMIF($B2:$B369,$P4,L2:L369)</f>
        <v>538.25000000000011</v>
      </c>
      <c r="R4" s="43"/>
      <c r="S4" s="43"/>
      <c r="T4" s="242" t="s">
        <v>1547</v>
      </c>
      <c r="U4" s="24">
        <f>COUNTIF($E2:$E369,$T4)</f>
        <v>192</v>
      </c>
      <c r="V4" s="43"/>
      <c r="W4" s="43"/>
      <c r="X4" s="242" t="s">
        <v>1548</v>
      </c>
      <c r="Y4" s="24">
        <f>COUNTIFS($B$2:$B$369,Y$3,$F$2:$F$369,$X4)</f>
        <v>6</v>
      </c>
      <c r="Z4" s="24">
        <f t="shared" ref="Z4:AJ12" si="2">COUNTIFS($B$2:$B$369,Z$3,$F$2:$F$369,$X4)</f>
        <v>2</v>
      </c>
      <c r="AA4" s="24">
        <f t="shared" si="2"/>
        <v>2</v>
      </c>
      <c r="AB4" s="24">
        <f t="shared" si="2"/>
        <v>2</v>
      </c>
      <c r="AC4" s="24">
        <f t="shared" si="2"/>
        <v>5</v>
      </c>
      <c r="AD4" s="24">
        <f t="shared" si="2"/>
        <v>5</v>
      </c>
      <c r="AE4" s="24">
        <f t="shared" si="2"/>
        <v>1</v>
      </c>
      <c r="AF4" s="24">
        <f t="shared" si="2"/>
        <v>2</v>
      </c>
      <c r="AG4" s="24">
        <f t="shared" si="2"/>
        <v>1</v>
      </c>
      <c r="AH4" s="24">
        <f t="shared" si="2"/>
        <v>3</v>
      </c>
      <c r="AI4" s="24">
        <f t="shared" si="2"/>
        <v>4</v>
      </c>
      <c r="AJ4" s="24">
        <f t="shared" si="2"/>
        <v>3</v>
      </c>
      <c r="AK4" s="243">
        <f>SUM(Y4:AJ4)</f>
        <v>36</v>
      </c>
      <c r="AL4" s="43"/>
    </row>
    <row r="5" spans="1:38">
      <c r="A5">
        <f t="shared" si="0"/>
        <v>1</v>
      </c>
      <c r="B5" t="str">
        <f t="shared" si="1"/>
        <v>enero</v>
      </c>
      <c r="C5" s="55">
        <v>44198</v>
      </c>
      <c r="D5" s="43" t="s">
        <v>1546</v>
      </c>
      <c r="E5" s="43" t="s">
        <v>1557</v>
      </c>
      <c r="F5" s="43" t="s">
        <v>1561</v>
      </c>
      <c r="G5" s="43" t="s">
        <v>1562</v>
      </c>
      <c r="H5" s="43" t="s">
        <v>1563</v>
      </c>
      <c r="I5" s="43" t="s">
        <v>1564</v>
      </c>
      <c r="J5" s="43">
        <v>26.44</v>
      </c>
      <c r="K5" s="43">
        <v>13.22</v>
      </c>
      <c r="L5" s="43">
        <v>13.22</v>
      </c>
      <c r="O5" s="55">
        <v>45689</v>
      </c>
      <c r="P5" s="242" t="s">
        <v>416</v>
      </c>
      <c r="Q5" s="24">
        <f t="shared" ref="Q5:Q15" si="3">SUMIF($B3:$B370,$P5,L3:L370)</f>
        <v>536.65000000000009</v>
      </c>
      <c r="R5" s="43"/>
      <c r="S5" s="43"/>
      <c r="T5" s="242" t="s">
        <v>1557</v>
      </c>
      <c r="U5" s="24">
        <f>COUNTIF($E3:$E370,$T5)</f>
        <v>176</v>
      </c>
      <c r="V5" s="43"/>
      <c r="W5" s="43"/>
      <c r="X5" s="242" t="s">
        <v>1553</v>
      </c>
      <c r="Y5" s="24">
        <f t="shared" ref="Y5:Y12" si="4">COUNTIFS($B$2:$B$369,Y$3,$F$2:$F$369,$X5)</f>
        <v>4</v>
      </c>
      <c r="Z5" s="24">
        <f t="shared" si="2"/>
        <v>4</v>
      </c>
      <c r="AA5" s="24">
        <f t="shared" si="2"/>
        <v>1</v>
      </c>
      <c r="AB5" s="24">
        <f t="shared" si="2"/>
        <v>3</v>
      </c>
      <c r="AC5" s="24">
        <f t="shared" si="2"/>
        <v>0</v>
      </c>
      <c r="AD5" s="24">
        <f t="shared" si="2"/>
        <v>0</v>
      </c>
      <c r="AE5" s="24">
        <f t="shared" si="2"/>
        <v>0</v>
      </c>
      <c r="AF5" s="24">
        <f t="shared" si="2"/>
        <v>0</v>
      </c>
      <c r="AG5" s="24">
        <f t="shared" si="2"/>
        <v>1</v>
      </c>
      <c r="AH5" s="24">
        <f t="shared" si="2"/>
        <v>8</v>
      </c>
      <c r="AI5" s="24">
        <f t="shared" si="2"/>
        <v>4</v>
      </c>
      <c r="AJ5" s="24">
        <f t="shared" si="2"/>
        <v>5</v>
      </c>
      <c r="AK5" s="243">
        <f>SUM(Y5:AJ5)</f>
        <v>30</v>
      </c>
      <c r="AL5" s="43"/>
    </row>
    <row r="6" spans="1:38">
      <c r="A6">
        <f t="shared" si="0"/>
        <v>1</v>
      </c>
      <c r="B6" t="str">
        <f t="shared" si="1"/>
        <v>enero</v>
      </c>
      <c r="C6" s="55">
        <v>44198</v>
      </c>
      <c r="D6" s="43" t="s">
        <v>1565</v>
      </c>
      <c r="E6" s="43" t="s">
        <v>1547</v>
      </c>
      <c r="F6" s="43" t="s">
        <v>1566</v>
      </c>
      <c r="G6" s="43" t="s">
        <v>1549</v>
      </c>
      <c r="H6" s="43" t="s">
        <v>1567</v>
      </c>
      <c r="I6" s="43" t="s">
        <v>1560</v>
      </c>
      <c r="J6" s="43">
        <v>31.4</v>
      </c>
      <c r="K6" s="43">
        <v>15.7</v>
      </c>
      <c r="L6" s="43">
        <v>15.7</v>
      </c>
      <c r="O6" s="55">
        <v>45717</v>
      </c>
      <c r="P6" s="242" t="s">
        <v>418</v>
      </c>
      <c r="Q6" s="24">
        <f t="shared" si="3"/>
        <v>275.96000000000004</v>
      </c>
      <c r="R6" s="43"/>
      <c r="S6" s="43"/>
      <c r="T6" s="43"/>
      <c r="U6" s="43">
        <f>SUM(U4:U5)</f>
        <v>368</v>
      </c>
      <c r="V6" s="43"/>
      <c r="W6" s="43"/>
      <c r="X6" s="242" t="s">
        <v>1558</v>
      </c>
      <c r="Y6" s="24">
        <f t="shared" si="4"/>
        <v>4</v>
      </c>
      <c r="Z6" s="24">
        <f t="shared" si="2"/>
        <v>10</v>
      </c>
      <c r="AA6" s="24">
        <f t="shared" si="2"/>
        <v>4</v>
      </c>
      <c r="AB6" s="24">
        <f t="shared" si="2"/>
        <v>1</v>
      </c>
      <c r="AC6" s="24">
        <f t="shared" si="2"/>
        <v>5</v>
      </c>
      <c r="AD6" s="24">
        <f t="shared" si="2"/>
        <v>4</v>
      </c>
      <c r="AE6" s="24">
        <f t="shared" si="2"/>
        <v>6</v>
      </c>
      <c r="AF6" s="24">
        <f t="shared" si="2"/>
        <v>3</v>
      </c>
      <c r="AG6" s="24">
        <f t="shared" si="2"/>
        <v>6</v>
      </c>
      <c r="AH6" s="24">
        <f t="shared" si="2"/>
        <v>2</v>
      </c>
      <c r="AI6" s="24">
        <f t="shared" si="2"/>
        <v>12</v>
      </c>
      <c r="AJ6" s="24">
        <f t="shared" si="2"/>
        <v>8</v>
      </c>
      <c r="AK6" s="243">
        <f>SUM(Y6:AJ6)</f>
        <v>65</v>
      </c>
      <c r="AL6" s="43"/>
    </row>
    <row r="7" spans="1:38">
      <c r="A7">
        <f t="shared" si="0"/>
        <v>1</v>
      </c>
      <c r="B7" t="str">
        <f t="shared" si="1"/>
        <v>enero</v>
      </c>
      <c r="C7" s="55">
        <v>44200</v>
      </c>
      <c r="D7" s="43" t="s">
        <v>1556</v>
      </c>
      <c r="E7" s="43" t="s">
        <v>1557</v>
      </c>
      <c r="F7" s="43" t="s">
        <v>1561</v>
      </c>
      <c r="G7" s="43" t="s">
        <v>1568</v>
      </c>
      <c r="H7" s="43" t="s">
        <v>1569</v>
      </c>
      <c r="I7" s="43" t="s">
        <v>1560</v>
      </c>
      <c r="J7" s="43">
        <v>29.74</v>
      </c>
      <c r="K7" s="43">
        <v>14.87</v>
      </c>
      <c r="L7" s="43">
        <v>14.87</v>
      </c>
      <c r="O7" s="55">
        <v>45748</v>
      </c>
      <c r="P7" s="242" t="s">
        <v>1593</v>
      </c>
      <c r="Q7" s="24">
        <f t="shared" si="3"/>
        <v>458.81</v>
      </c>
      <c r="R7" s="43"/>
      <c r="S7" s="43"/>
      <c r="T7" s="43"/>
      <c r="U7" s="43"/>
      <c r="V7" s="43"/>
      <c r="W7" s="43"/>
      <c r="X7" s="242" t="s">
        <v>1561</v>
      </c>
      <c r="Y7" s="24">
        <f t="shared" si="4"/>
        <v>7</v>
      </c>
      <c r="Z7" s="24">
        <f t="shared" si="2"/>
        <v>2</v>
      </c>
      <c r="AA7" s="24">
        <f t="shared" si="2"/>
        <v>1</v>
      </c>
      <c r="AB7" s="24">
        <f t="shared" si="2"/>
        <v>7</v>
      </c>
      <c r="AC7" s="24">
        <f t="shared" si="2"/>
        <v>8</v>
      </c>
      <c r="AD7" s="24">
        <f t="shared" si="2"/>
        <v>8</v>
      </c>
      <c r="AE7" s="24">
        <f t="shared" si="2"/>
        <v>11</v>
      </c>
      <c r="AF7" s="24">
        <f t="shared" si="2"/>
        <v>4</v>
      </c>
      <c r="AG7" s="24">
        <f t="shared" si="2"/>
        <v>9</v>
      </c>
      <c r="AH7" s="24">
        <f t="shared" si="2"/>
        <v>9</v>
      </c>
      <c r="AI7" s="24">
        <f t="shared" si="2"/>
        <v>3</v>
      </c>
      <c r="AJ7" s="24">
        <f t="shared" si="2"/>
        <v>3</v>
      </c>
      <c r="AK7" s="243">
        <f>SUM(Y7:AJ7)</f>
        <v>72</v>
      </c>
      <c r="AL7" s="43"/>
    </row>
    <row r="8" spans="1:38">
      <c r="A8">
        <f t="shared" si="0"/>
        <v>1</v>
      </c>
      <c r="B8" t="str">
        <f t="shared" si="1"/>
        <v>enero</v>
      </c>
      <c r="C8" s="55">
        <v>44200</v>
      </c>
      <c r="D8" s="43" t="s">
        <v>1570</v>
      </c>
      <c r="E8" s="43" t="s">
        <v>1557</v>
      </c>
      <c r="F8" s="43" t="s">
        <v>1548</v>
      </c>
      <c r="G8" s="43" t="s">
        <v>1568</v>
      </c>
      <c r="H8" s="43" t="s">
        <v>1563</v>
      </c>
      <c r="I8" s="43" t="s">
        <v>1560</v>
      </c>
      <c r="J8" s="43">
        <v>30.57</v>
      </c>
      <c r="K8" s="43">
        <v>15.29</v>
      </c>
      <c r="L8" s="43">
        <v>15.29</v>
      </c>
      <c r="O8" s="55">
        <v>45778</v>
      </c>
      <c r="P8" s="242" t="s">
        <v>1594</v>
      </c>
      <c r="Q8" s="24">
        <f t="shared" si="3"/>
        <v>462.63</v>
      </c>
      <c r="R8" s="43"/>
      <c r="S8" s="43"/>
      <c r="T8" s="43"/>
      <c r="U8" s="43"/>
      <c r="V8" s="43"/>
      <c r="W8" s="43"/>
      <c r="X8" s="242" t="s">
        <v>1566</v>
      </c>
      <c r="Y8" s="24">
        <f t="shared" si="4"/>
        <v>6</v>
      </c>
      <c r="Z8" s="24">
        <f t="shared" si="2"/>
        <v>2</v>
      </c>
      <c r="AA8" s="24">
        <f t="shared" si="2"/>
        <v>4</v>
      </c>
      <c r="AB8" s="24">
        <f t="shared" si="2"/>
        <v>5</v>
      </c>
      <c r="AC8" s="24">
        <f t="shared" si="2"/>
        <v>2</v>
      </c>
      <c r="AD8" s="24">
        <f t="shared" si="2"/>
        <v>4</v>
      </c>
      <c r="AE8" s="24">
        <f t="shared" si="2"/>
        <v>4</v>
      </c>
      <c r="AF8" s="24">
        <f t="shared" si="2"/>
        <v>1</v>
      </c>
      <c r="AG8" s="24">
        <f t="shared" si="2"/>
        <v>1</v>
      </c>
      <c r="AH8" s="24">
        <f t="shared" si="2"/>
        <v>5</v>
      </c>
      <c r="AI8" s="24">
        <f t="shared" si="2"/>
        <v>4</v>
      </c>
      <c r="AJ8" s="24">
        <f t="shared" si="2"/>
        <v>0</v>
      </c>
      <c r="AK8" s="243">
        <f>SUM(Y8:AJ8)</f>
        <v>38</v>
      </c>
      <c r="AL8" s="43"/>
    </row>
    <row r="9" spans="1:38">
      <c r="A9">
        <f t="shared" si="0"/>
        <v>1</v>
      </c>
      <c r="B9" t="str">
        <f t="shared" si="1"/>
        <v>enero</v>
      </c>
      <c r="C9" s="55">
        <v>44201</v>
      </c>
      <c r="D9" s="43" t="s">
        <v>1571</v>
      </c>
      <c r="E9" s="43" t="s">
        <v>1557</v>
      </c>
      <c r="F9" s="43" t="s">
        <v>1561</v>
      </c>
      <c r="G9" s="43" t="s">
        <v>1554</v>
      </c>
      <c r="H9" s="43" t="s">
        <v>1572</v>
      </c>
      <c r="I9" s="43" t="s">
        <v>1564</v>
      </c>
      <c r="J9" s="43">
        <v>4.95</v>
      </c>
      <c r="K9" s="43">
        <v>2.48</v>
      </c>
      <c r="L9" s="43">
        <v>2.48</v>
      </c>
      <c r="O9" s="55">
        <v>45809</v>
      </c>
      <c r="P9" s="242" t="s">
        <v>1595</v>
      </c>
      <c r="Q9" s="24">
        <f t="shared" si="3"/>
        <v>398.03</v>
      </c>
      <c r="R9" s="43"/>
      <c r="S9" s="43"/>
      <c r="T9" s="43"/>
      <c r="U9" s="43"/>
      <c r="V9" s="43"/>
      <c r="W9" s="43"/>
      <c r="X9" s="242" t="s">
        <v>1575</v>
      </c>
      <c r="Y9" s="24">
        <f t="shared" si="4"/>
        <v>3</v>
      </c>
      <c r="Z9" s="24">
        <f t="shared" si="2"/>
        <v>3</v>
      </c>
      <c r="AA9" s="24">
        <f t="shared" si="2"/>
        <v>5</v>
      </c>
      <c r="AB9" s="24">
        <f t="shared" si="2"/>
        <v>4</v>
      </c>
      <c r="AC9" s="24">
        <f t="shared" si="2"/>
        <v>7</v>
      </c>
      <c r="AD9" s="24">
        <f t="shared" si="2"/>
        <v>5</v>
      </c>
      <c r="AE9" s="24">
        <f t="shared" si="2"/>
        <v>5</v>
      </c>
      <c r="AF9" s="24">
        <f t="shared" si="2"/>
        <v>2</v>
      </c>
      <c r="AG9" s="24">
        <f t="shared" si="2"/>
        <v>1</v>
      </c>
      <c r="AH9" s="24">
        <f t="shared" si="2"/>
        <v>2</v>
      </c>
      <c r="AI9" s="24">
        <f t="shared" si="2"/>
        <v>3</v>
      </c>
      <c r="AJ9" s="24">
        <f t="shared" si="2"/>
        <v>3</v>
      </c>
      <c r="AK9" s="243">
        <f>SUM(Y9:AJ9)</f>
        <v>43</v>
      </c>
      <c r="AL9" s="43"/>
    </row>
    <row r="10" spans="1:38">
      <c r="A10">
        <f t="shared" si="0"/>
        <v>1</v>
      </c>
      <c r="B10" t="str">
        <f t="shared" si="1"/>
        <v>enero</v>
      </c>
      <c r="C10" s="55">
        <v>44202</v>
      </c>
      <c r="D10" s="43" t="s">
        <v>1570</v>
      </c>
      <c r="E10" s="43" t="s">
        <v>1547</v>
      </c>
      <c r="F10" s="43" t="s">
        <v>1548</v>
      </c>
      <c r="G10" s="43" t="s">
        <v>1568</v>
      </c>
      <c r="H10" s="43" t="s">
        <v>1550</v>
      </c>
      <c r="I10" s="43" t="s">
        <v>1551</v>
      </c>
      <c r="J10" s="43">
        <v>23.96</v>
      </c>
      <c r="K10" s="43">
        <v>11.98</v>
      </c>
      <c r="L10" s="43">
        <v>11.98</v>
      </c>
      <c r="O10" s="55">
        <v>45839</v>
      </c>
      <c r="P10" s="242" t="s">
        <v>1596</v>
      </c>
      <c r="Q10" s="24">
        <f t="shared" si="3"/>
        <v>376.33</v>
      </c>
      <c r="R10" s="43"/>
      <c r="S10" s="43"/>
      <c r="T10" s="43"/>
      <c r="U10" s="43"/>
      <c r="V10" s="43"/>
      <c r="W10" s="43"/>
      <c r="X10" s="242" t="s">
        <v>1577</v>
      </c>
      <c r="Y10" s="24">
        <f t="shared" si="4"/>
        <v>4</v>
      </c>
      <c r="Z10" s="24">
        <f t="shared" si="2"/>
        <v>4</v>
      </c>
      <c r="AA10" s="24">
        <f t="shared" si="2"/>
        <v>2</v>
      </c>
      <c r="AB10" s="24">
        <f t="shared" si="2"/>
        <v>3</v>
      </c>
      <c r="AC10" s="24">
        <f t="shared" si="2"/>
        <v>2</v>
      </c>
      <c r="AD10" s="24">
        <f t="shared" si="2"/>
        <v>2</v>
      </c>
      <c r="AE10" s="24">
        <f t="shared" si="2"/>
        <v>0</v>
      </c>
      <c r="AF10" s="24">
        <f t="shared" si="2"/>
        <v>6</v>
      </c>
      <c r="AG10" s="24">
        <f t="shared" si="2"/>
        <v>1</v>
      </c>
      <c r="AH10" s="24">
        <f t="shared" si="2"/>
        <v>2</v>
      </c>
      <c r="AI10" s="24">
        <f t="shared" si="2"/>
        <v>3</v>
      </c>
      <c r="AJ10" s="24">
        <f t="shared" si="2"/>
        <v>4</v>
      </c>
      <c r="AK10" s="243">
        <f>SUM(Y10:AJ10)</f>
        <v>33</v>
      </c>
      <c r="AL10" s="43"/>
    </row>
    <row r="11" spans="1:38">
      <c r="A11">
        <f t="shared" si="0"/>
        <v>1</v>
      </c>
      <c r="B11" t="str">
        <f t="shared" si="1"/>
        <v>enero</v>
      </c>
      <c r="C11" s="55">
        <v>44203</v>
      </c>
      <c r="D11" s="43" t="s">
        <v>1573</v>
      </c>
      <c r="E11" s="43" t="s">
        <v>1547</v>
      </c>
      <c r="F11" s="43" t="s">
        <v>1566</v>
      </c>
      <c r="G11" s="43" t="s">
        <v>1568</v>
      </c>
      <c r="H11" s="43" t="s">
        <v>1559</v>
      </c>
      <c r="I11" s="43" t="s">
        <v>1560</v>
      </c>
      <c r="J11" s="43">
        <v>14</v>
      </c>
      <c r="K11" s="43">
        <v>7</v>
      </c>
      <c r="L11" s="43">
        <v>7</v>
      </c>
      <c r="O11" s="55">
        <v>45870</v>
      </c>
      <c r="P11" s="242" t="s">
        <v>1597</v>
      </c>
      <c r="Q11" s="24">
        <f t="shared" si="3"/>
        <v>284.19</v>
      </c>
      <c r="R11" s="43"/>
      <c r="S11" s="43"/>
      <c r="T11" s="43"/>
      <c r="U11" s="43"/>
      <c r="V11" s="43"/>
      <c r="W11" s="43"/>
      <c r="X11" s="242" t="s">
        <v>1580</v>
      </c>
      <c r="Y11" s="24">
        <f t="shared" si="4"/>
        <v>2</v>
      </c>
      <c r="Z11" s="24">
        <f t="shared" si="2"/>
        <v>4</v>
      </c>
      <c r="AA11" s="24">
        <f t="shared" si="2"/>
        <v>1</v>
      </c>
      <c r="AB11" s="24">
        <f t="shared" si="2"/>
        <v>2</v>
      </c>
      <c r="AC11" s="24">
        <f t="shared" si="2"/>
        <v>2</v>
      </c>
      <c r="AD11" s="24">
        <f t="shared" si="2"/>
        <v>1</v>
      </c>
      <c r="AE11" s="24">
        <f t="shared" si="2"/>
        <v>1</v>
      </c>
      <c r="AF11" s="24">
        <f t="shared" si="2"/>
        <v>3</v>
      </c>
      <c r="AG11" s="24">
        <f t="shared" si="2"/>
        <v>1</v>
      </c>
      <c r="AH11" s="24">
        <f t="shared" si="2"/>
        <v>1</v>
      </c>
      <c r="AI11" s="24">
        <f t="shared" si="2"/>
        <v>1</v>
      </c>
      <c r="AJ11" s="24">
        <f t="shared" si="2"/>
        <v>1</v>
      </c>
      <c r="AK11" s="243">
        <f>SUM(Y11:AJ11)</f>
        <v>20</v>
      </c>
      <c r="AL11" s="43"/>
    </row>
    <row r="12" spans="1:38">
      <c r="A12">
        <f t="shared" si="0"/>
        <v>1</v>
      </c>
      <c r="B12" t="str">
        <f t="shared" si="1"/>
        <v>enero</v>
      </c>
      <c r="C12" s="55">
        <v>44204</v>
      </c>
      <c r="D12" s="43" t="s">
        <v>1574</v>
      </c>
      <c r="E12" s="43" t="s">
        <v>1547</v>
      </c>
      <c r="F12" s="43" t="s">
        <v>1548</v>
      </c>
      <c r="G12" s="43" t="s">
        <v>1549</v>
      </c>
      <c r="H12" s="43" t="s">
        <v>1572</v>
      </c>
      <c r="I12" s="43" t="s">
        <v>1560</v>
      </c>
      <c r="J12" s="43">
        <v>18.170000000000002</v>
      </c>
      <c r="K12" s="43">
        <v>9.09</v>
      </c>
      <c r="L12" s="43">
        <v>9.09</v>
      </c>
      <c r="O12" s="55">
        <v>45901</v>
      </c>
      <c r="P12" s="242" t="s">
        <v>1598</v>
      </c>
      <c r="Q12" s="24">
        <f t="shared" si="3"/>
        <v>326.52</v>
      </c>
      <c r="R12" s="43"/>
      <c r="S12" s="43"/>
      <c r="T12" s="43"/>
      <c r="U12" s="43"/>
      <c r="V12" s="43"/>
      <c r="W12" s="43"/>
      <c r="X12" s="242" t="s">
        <v>1590</v>
      </c>
      <c r="Y12" s="24">
        <f>COUNTIFS($B$2:$B$369,Y$3,$F$2:$F$369,$X12)</f>
        <v>0</v>
      </c>
      <c r="Z12" s="24">
        <f t="shared" si="2"/>
        <v>0</v>
      </c>
      <c r="AA12" s="24">
        <f t="shared" si="2"/>
        <v>0</v>
      </c>
      <c r="AB12" s="24">
        <f t="shared" si="2"/>
        <v>2</v>
      </c>
      <c r="AC12" s="24">
        <f t="shared" si="2"/>
        <v>5</v>
      </c>
      <c r="AD12" s="24">
        <f t="shared" si="2"/>
        <v>4</v>
      </c>
      <c r="AE12" s="24">
        <f t="shared" si="2"/>
        <v>6</v>
      </c>
      <c r="AF12" s="24">
        <f t="shared" si="2"/>
        <v>4</v>
      </c>
      <c r="AG12" s="24">
        <f t="shared" si="2"/>
        <v>5</v>
      </c>
      <c r="AH12" s="24">
        <f t="shared" si="2"/>
        <v>5</v>
      </c>
      <c r="AI12" s="24">
        <f t="shared" si="2"/>
        <v>0</v>
      </c>
      <c r="AJ12" s="24">
        <f t="shared" si="2"/>
        <v>0</v>
      </c>
      <c r="AK12" s="243">
        <f>SUM(Y12:AJ12)</f>
        <v>31</v>
      </c>
      <c r="AL12" s="43"/>
    </row>
    <row r="13" spans="1:38">
      <c r="A13">
        <f t="shared" si="0"/>
        <v>1</v>
      </c>
      <c r="B13" t="str">
        <f t="shared" si="1"/>
        <v>enero</v>
      </c>
      <c r="C13" s="55">
        <v>44204</v>
      </c>
      <c r="D13" s="43" t="s">
        <v>1573</v>
      </c>
      <c r="E13" s="43" t="s">
        <v>1557</v>
      </c>
      <c r="F13" s="43" t="s">
        <v>1575</v>
      </c>
      <c r="G13" s="43" t="s">
        <v>1549</v>
      </c>
      <c r="H13" s="43" t="s">
        <v>1569</v>
      </c>
      <c r="I13" s="43" t="s">
        <v>1560</v>
      </c>
      <c r="J13" s="43">
        <v>32.22</v>
      </c>
      <c r="K13" s="43">
        <v>16.11</v>
      </c>
      <c r="L13" s="43">
        <v>16.11</v>
      </c>
      <c r="O13" s="55">
        <v>45931</v>
      </c>
      <c r="P13" s="242" t="s">
        <v>1599</v>
      </c>
      <c r="Q13" s="24">
        <f t="shared" si="3"/>
        <v>605.21</v>
      </c>
      <c r="R13" s="43"/>
      <c r="S13" s="43"/>
      <c r="T13" s="43"/>
      <c r="U13" s="43"/>
      <c r="V13" s="43"/>
      <c r="W13" s="43"/>
      <c r="X13" s="244" t="s">
        <v>1489</v>
      </c>
      <c r="Y13" s="243">
        <f>SUM(Y4:Y12)</f>
        <v>36</v>
      </c>
      <c r="Z13" s="243">
        <f>SUM(Z4:Z12)</f>
        <v>31</v>
      </c>
      <c r="AA13" s="243">
        <f>SUM(AA4:AA12)</f>
        <v>20</v>
      </c>
      <c r="AB13" s="243">
        <f>SUM(AB4:AB12)</f>
        <v>29</v>
      </c>
      <c r="AC13" s="243">
        <f>SUM(AC4:AC12)</f>
        <v>36</v>
      </c>
      <c r="AD13" s="243">
        <f>SUM(AD4:AD12)</f>
        <v>33</v>
      </c>
      <c r="AE13" s="243">
        <f>SUM(AE4:AE12)</f>
        <v>34</v>
      </c>
      <c r="AF13" s="243">
        <f>SUM(AF4:AF12)</f>
        <v>25</v>
      </c>
      <c r="AG13" s="243">
        <f>SUM(AG4:AG12)</f>
        <v>26</v>
      </c>
      <c r="AH13" s="243">
        <f>SUM(AH4:AH12)</f>
        <v>37</v>
      </c>
      <c r="AI13" s="243">
        <f>SUM(AI4:AI12)</f>
        <v>34</v>
      </c>
      <c r="AJ13" s="243">
        <f>SUM(AJ4:AJ12)</f>
        <v>27</v>
      </c>
      <c r="AK13" s="243">
        <f>SUM(Y13:AJ13)</f>
        <v>368</v>
      </c>
      <c r="AL13" s="43"/>
    </row>
    <row r="14" spans="1:38">
      <c r="A14">
        <f t="shared" si="0"/>
        <v>1</v>
      </c>
      <c r="B14" t="str">
        <f t="shared" si="1"/>
        <v>enero</v>
      </c>
      <c r="C14" s="55">
        <v>44209</v>
      </c>
      <c r="D14" s="43" t="s">
        <v>1576</v>
      </c>
      <c r="E14" s="43" t="s">
        <v>1547</v>
      </c>
      <c r="F14" s="43" t="s">
        <v>1577</v>
      </c>
      <c r="G14" s="43" t="s">
        <v>1562</v>
      </c>
      <c r="H14" s="43" t="s">
        <v>1578</v>
      </c>
      <c r="I14" s="43" t="s">
        <v>1560</v>
      </c>
      <c r="J14" s="43">
        <v>5.78</v>
      </c>
      <c r="K14" s="43">
        <v>2.89</v>
      </c>
      <c r="L14" s="43">
        <v>2.89</v>
      </c>
      <c r="O14" s="55">
        <v>45962</v>
      </c>
      <c r="P14" s="242" t="s">
        <v>1600</v>
      </c>
      <c r="Q14" s="24">
        <f t="shared" si="3"/>
        <v>475.56</v>
      </c>
      <c r="R14" s="43"/>
      <c r="S14" s="43"/>
      <c r="T14" s="43"/>
      <c r="U14" s="43"/>
      <c r="V14" s="43"/>
      <c r="W14" s="43"/>
      <c r="X14" s="43"/>
      <c r="Y14" s="43"/>
      <c r="Z14" s="43"/>
      <c r="AA14" s="43"/>
      <c r="AB14" s="43"/>
      <c r="AC14" s="43"/>
      <c r="AD14" s="43"/>
      <c r="AE14" s="43"/>
      <c r="AF14" s="43"/>
      <c r="AG14" s="43"/>
      <c r="AH14" s="43"/>
      <c r="AI14" s="43"/>
      <c r="AJ14" s="43"/>
      <c r="AK14" s="43"/>
      <c r="AL14" s="43"/>
    </row>
    <row r="15" spans="1:38">
      <c r="A15">
        <f t="shared" si="0"/>
        <v>1</v>
      </c>
      <c r="B15" t="str">
        <f t="shared" si="1"/>
        <v>enero</v>
      </c>
      <c r="C15" s="55">
        <v>44211</v>
      </c>
      <c r="D15" s="43" t="s">
        <v>1579</v>
      </c>
      <c r="E15" s="43" t="s">
        <v>1557</v>
      </c>
      <c r="F15" s="43" t="s">
        <v>1580</v>
      </c>
      <c r="G15" s="43" t="s">
        <v>1549</v>
      </c>
      <c r="H15" s="43" t="s">
        <v>1563</v>
      </c>
      <c r="I15" s="43" t="s">
        <v>1564</v>
      </c>
      <c r="J15" s="43">
        <v>55.36</v>
      </c>
      <c r="K15" s="43">
        <v>27.68</v>
      </c>
      <c r="L15" s="43">
        <v>27.68</v>
      </c>
      <c r="O15" s="55">
        <v>45992</v>
      </c>
      <c r="P15" s="242" t="s">
        <v>1601</v>
      </c>
      <c r="Q15" s="24">
        <f t="shared" si="3"/>
        <v>446.1</v>
      </c>
      <c r="R15" s="43"/>
      <c r="S15" s="43"/>
      <c r="T15" s="43"/>
      <c r="U15" s="43"/>
      <c r="V15" s="43"/>
      <c r="W15" s="43"/>
      <c r="X15" s="43"/>
      <c r="Y15" s="43"/>
      <c r="Z15" s="43"/>
      <c r="AA15" s="43"/>
      <c r="AB15" s="43"/>
      <c r="AC15" s="43"/>
      <c r="AD15" s="43"/>
      <c r="AE15" s="43"/>
      <c r="AF15" s="43"/>
      <c r="AG15" s="43"/>
      <c r="AH15" s="43"/>
      <c r="AI15" s="43"/>
      <c r="AJ15" s="43"/>
      <c r="AK15" s="43"/>
      <c r="AL15" s="43"/>
    </row>
    <row r="16" spans="1:38">
      <c r="A16">
        <f t="shared" si="0"/>
        <v>1</v>
      </c>
      <c r="B16" t="str">
        <f t="shared" si="1"/>
        <v>enero</v>
      </c>
      <c r="C16" s="55">
        <v>44212</v>
      </c>
      <c r="D16" s="43" t="s">
        <v>1570</v>
      </c>
      <c r="E16" s="43" t="s">
        <v>1547</v>
      </c>
      <c r="F16" s="43" t="s">
        <v>1577</v>
      </c>
      <c r="G16" s="43" t="s">
        <v>1562</v>
      </c>
      <c r="H16" s="43" t="s">
        <v>1563</v>
      </c>
      <c r="I16" s="43" t="s">
        <v>1551</v>
      </c>
      <c r="J16" s="43">
        <v>7.43</v>
      </c>
      <c r="K16" s="43">
        <v>3.71</v>
      </c>
      <c r="L16" s="43">
        <v>3.71</v>
      </c>
      <c r="O16" s="43"/>
      <c r="P16" s="79" t="s">
        <v>1489</v>
      </c>
      <c r="Q16" s="79">
        <f>SUM(Q4:Q15)</f>
        <v>5184.2400000000007</v>
      </c>
      <c r="R16" s="43"/>
      <c r="S16" s="43"/>
      <c r="T16" s="43"/>
      <c r="U16" s="43"/>
      <c r="V16" s="43"/>
      <c r="W16" s="43"/>
      <c r="X16" s="43"/>
      <c r="Y16" s="43"/>
      <c r="Z16" s="43"/>
      <c r="AA16" s="43"/>
      <c r="AB16" s="43"/>
      <c r="AC16" s="43"/>
      <c r="AD16" s="43"/>
      <c r="AE16" s="43"/>
      <c r="AF16" s="43"/>
      <c r="AG16" s="43"/>
      <c r="AH16" s="43"/>
      <c r="AI16" s="43"/>
      <c r="AJ16" s="43"/>
      <c r="AK16" s="43"/>
      <c r="AL16" s="43"/>
    </row>
    <row r="17" spans="1:38">
      <c r="A17">
        <f t="shared" si="0"/>
        <v>1</v>
      </c>
      <c r="B17" t="str">
        <f t="shared" si="1"/>
        <v>enero</v>
      </c>
      <c r="C17" s="55">
        <v>44212</v>
      </c>
      <c r="D17" s="43" t="s">
        <v>1581</v>
      </c>
      <c r="E17" s="43" t="s">
        <v>1547</v>
      </c>
      <c r="F17" s="43" t="s">
        <v>1566</v>
      </c>
      <c r="G17" s="43" t="s">
        <v>1568</v>
      </c>
      <c r="H17" s="43" t="s">
        <v>1559</v>
      </c>
      <c r="I17" s="43" t="s">
        <v>1560</v>
      </c>
      <c r="J17" s="43">
        <v>30.57</v>
      </c>
      <c r="K17" s="43">
        <v>15.29</v>
      </c>
      <c r="L17" s="43">
        <v>15.29</v>
      </c>
      <c r="O17" s="43"/>
      <c r="P17" s="43"/>
      <c r="Q17" s="43"/>
      <c r="R17" s="43"/>
      <c r="S17" s="43"/>
      <c r="T17" s="43"/>
      <c r="U17" s="43"/>
      <c r="V17" s="43"/>
      <c r="W17" s="43"/>
      <c r="X17" s="43"/>
      <c r="Y17" s="43"/>
      <c r="Z17" s="43"/>
      <c r="AA17" s="43"/>
      <c r="AB17" s="43"/>
      <c r="AC17" s="43"/>
      <c r="AD17" s="43"/>
      <c r="AE17" s="43"/>
      <c r="AF17" s="43"/>
      <c r="AG17" s="43"/>
      <c r="AH17" s="43"/>
      <c r="AI17" s="43"/>
      <c r="AJ17" s="43"/>
      <c r="AK17" s="43"/>
      <c r="AL17" s="43"/>
    </row>
    <row r="18" spans="1:38">
      <c r="A18">
        <f t="shared" si="0"/>
        <v>1</v>
      </c>
      <c r="B18" t="str">
        <f t="shared" si="1"/>
        <v>enero</v>
      </c>
      <c r="C18" s="55">
        <v>44213</v>
      </c>
      <c r="D18" s="43" t="s">
        <v>1582</v>
      </c>
      <c r="E18" s="43" t="s">
        <v>1557</v>
      </c>
      <c r="F18" s="43" t="s">
        <v>1553</v>
      </c>
      <c r="G18" s="43" t="s">
        <v>1554</v>
      </c>
      <c r="H18" s="43" t="s">
        <v>1569</v>
      </c>
      <c r="I18" s="43" t="s">
        <v>1560</v>
      </c>
      <c r="J18" s="43">
        <v>80.98</v>
      </c>
      <c r="K18" s="43">
        <v>40.49</v>
      </c>
      <c r="L18" s="43">
        <v>40.49</v>
      </c>
      <c r="O18" s="43"/>
      <c r="P18" s="43"/>
      <c r="Q18" s="245" t="s">
        <v>1604</v>
      </c>
      <c r="R18" s="43"/>
      <c r="S18" s="43"/>
      <c r="T18" s="43"/>
      <c r="U18" s="43"/>
      <c r="V18" s="43"/>
      <c r="W18" s="43"/>
      <c r="X18" s="43"/>
      <c r="Y18" s="242" t="s">
        <v>417</v>
      </c>
      <c r="Z18" s="242" t="s">
        <v>416</v>
      </c>
      <c r="AA18" s="242" t="s">
        <v>418</v>
      </c>
      <c r="AB18" s="242" t="s">
        <v>1593</v>
      </c>
      <c r="AC18" s="242" t="s">
        <v>1594</v>
      </c>
      <c r="AD18" s="242" t="s">
        <v>1595</v>
      </c>
      <c r="AE18" s="242" t="s">
        <v>1596</v>
      </c>
      <c r="AF18" s="242" t="s">
        <v>1597</v>
      </c>
      <c r="AG18" s="242" t="s">
        <v>1598</v>
      </c>
      <c r="AH18" s="242" t="s">
        <v>1599</v>
      </c>
      <c r="AI18" s="242" t="s">
        <v>1600</v>
      </c>
      <c r="AJ18" s="242" t="s">
        <v>1601</v>
      </c>
      <c r="AK18" s="243" t="s">
        <v>1489</v>
      </c>
      <c r="AL18" s="43"/>
    </row>
    <row r="19" spans="1:38">
      <c r="A19">
        <f t="shared" si="0"/>
        <v>1</v>
      </c>
      <c r="B19" t="str">
        <f t="shared" si="1"/>
        <v>enero</v>
      </c>
      <c r="C19" s="55">
        <v>44214</v>
      </c>
      <c r="D19" s="43" t="s">
        <v>1581</v>
      </c>
      <c r="E19" s="43" t="s">
        <v>1557</v>
      </c>
      <c r="F19" s="43" t="s">
        <v>1558</v>
      </c>
      <c r="G19" s="43" t="s">
        <v>1568</v>
      </c>
      <c r="H19" s="43" t="s">
        <v>1555</v>
      </c>
      <c r="I19" s="43" t="s">
        <v>1564</v>
      </c>
      <c r="J19" s="43">
        <v>9.91</v>
      </c>
      <c r="K19" s="43">
        <v>4.95</v>
      </c>
      <c r="L19" s="43">
        <v>4.95</v>
      </c>
      <c r="O19" s="43"/>
      <c r="P19" s="43"/>
      <c r="Q19" s="242" t="s">
        <v>1545</v>
      </c>
      <c r="R19" s="43"/>
      <c r="S19" s="43"/>
      <c r="T19" s="43"/>
      <c r="U19" s="43"/>
      <c r="V19" s="43"/>
      <c r="W19" s="43"/>
      <c r="X19" s="242" t="s">
        <v>1548</v>
      </c>
      <c r="Y19" s="246">
        <f>IFERROR(AVERAGEIFS($L$2:$L$369,$B$2:$B$369,Y$18,$F$2:$F$369,$X19),0)</f>
        <v>13.013333333333334</v>
      </c>
      <c r="Z19" s="246">
        <f t="shared" ref="Z19:AJ27" si="5">IFERROR(AVERAGEIFS($L$2:$L$369,$B$2:$B$369,Z$18,$F$2:$F$369,$X19),0)</f>
        <v>11.155000000000001</v>
      </c>
      <c r="AA19" s="246">
        <f t="shared" si="5"/>
        <v>10.535</v>
      </c>
      <c r="AB19" s="246">
        <f t="shared" si="5"/>
        <v>10.535</v>
      </c>
      <c r="AC19" s="246">
        <f t="shared" si="5"/>
        <v>12.556000000000001</v>
      </c>
      <c r="AD19" s="246">
        <f t="shared" si="5"/>
        <v>12.972</v>
      </c>
      <c r="AE19" s="246">
        <f t="shared" si="5"/>
        <v>9.5</v>
      </c>
      <c r="AF19" s="246">
        <f t="shared" si="5"/>
        <v>9.91</v>
      </c>
      <c r="AG19" s="246">
        <f t="shared" si="5"/>
        <v>8.67</v>
      </c>
      <c r="AH19" s="246">
        <f t="shared" si="5"/>
        <v>11.430000000000001</v>
      </c>
      <c r="AI19" s="246">
        <f t="shared" si="5"/>
        <v>10.637499999999999</v>
      </c>
      <c r="AJ19" s="246">
        <f t="shared" si="5"/>
        <v>12.666666666666666</v>
      </c>
      <c r="AK19" s="247">
        <f>SUM(Y19:AJ19)</f>
        <v>133.5805</v>
      </c>
      <c r="AL19" s="43"/>
    </row>
    <row r="20" spans="1:38">
      <c r="A20">
        <f t="shared" si="0"/>
        <v>1</v>
      </c>
      <c r="B20" t="str">
        <f t="shared" si="1"/>
        <v>enero</v>
      </c>
      <c r="C20" s="55">
        <v>44215</v>
      </c>
      <c r="D20" s="43" t="s">
        <v>1583</v>
      </c>
      <c r="E20" s="43" t="s">
        <v>1557</v>
      </c>
      <c r="F20" s="43" t="s">
        <v>1561</v>
      </c>
      <c r="G20" s="43" t="s">
        <v>1549</v>
      </c>
      <c r="H20" s="43" t="s">
        <v>1569</v>
      </c>
      <c r="I20" s="43" t="s">
        <v>1560</v>
      </c>
      <c r="J20" s="43">
        <v>22.31</v>
      </c>
      <c r="K20" s="43">
        <v>11.15</v>
      </c>
      <c r="L20" s="43">
        <v>11.15</v>
      </c>
      <c r="O20" s="43"/>
      <c r="P20" s="242" t="s">
        <v>1546</v>
      </c>
      <c r="Q20" s="24">
        <f>AVERAGEIF($D2:$D369,P20,$L2:$L369)</f>
        <v>15.112916666666671</v>
      </c>
      <c r="R20" s="43"/>
      <c r="S20" s="43"/>
      <c r="T20" s="43"/>
      <c r="U20" s="43"/>
      <c r="V20" s="43"/>
      <c r="W20" s="43"/>
      <c r="X20" s="242" t="s">
        <v>1553</v>
      </c>
      <c r="Y20" s="246">
        <f t="shared" ref="Y20:Y27" si="6">IFERROR(AVERAGEIFS($L$2:$L$369,$B$2:$B$369,Y$18,$F$2:$F$369,$X20),0)</f>
        <v>40.905000000000001</v>
      </c>
      <c r="Z20" s="246">
        <f t="shared" si="5"/>
        <v>42.87</v>
      </c>
      <c r="AA20" s="246">
        <f t="shared" si="5"/>
        <v>60</v>
      </c>
      <c r="AB20" s="246">
        <f t="shared" si="5"/>
        <v>38.839999999999996</v>
      </c>
      <c r="AC20" s="246">
        <f t="shared" si="5"/>
        <v>0</v>
      </c>
      <c r="AD20" s="246">
        <f t="shared" si="5"/>
        <v>0</v>
      </c>
      <c r="AE20" s="246">
        <f t="shared" si="5"/>
        <v>0</v>
      </c>
      <c r="AF20" s="246">
        <f t="shared" si="5"/>
        <v>0</v>
      </c>
      <c r="AG20" s="246">
        <f t="shared" si="5"/>
        <v>31.4</v>
      </c>
      <c r="AH20" s="246">
        <f t="shared" si="5"/>
        <v>29.491250000000001</v>
      </c>
      <c r="AI20" s="246">
        <f t="shared" si="5"/>
        <v>36.155000000000001</v>
      </c>
      <c r="AJ20" s="246">
        <f t="shared" si="5"/>
        <v>38.755999999999993</v>
      </c>
      <c r="AK20" s="247">
        <f>SUM(Y20:AJ20)</f>
        <v>318.41724999999997</v>
      </c>
      <c r="AL20" s="43"/>
    </row>
    <row r="21" spans="1:38">
      <c r="A21">
        <f t="shared" si="0"/>
        <v>1</v>
      </c>
      <c r="B21" t="str">
        <f t="shared" si="1"/>
        <v>enero</v>
      </c>
      <c r="C21" s="55">
        <v>44216</v>
      </c>
      <c r="D21" s="43" t="s">
        <v>1565</v>
      </c>
      <c r="E21" s="43" t="s">
        <v>1547</v>
      </c>
      <c r="F21" s="43" t="s">
        <v>1566</v>
      </c>
      <c r="G21" s="43" t="s">
        <v>1562</v>
      </c>
      <c r="H21" s="43" t="s">
        <v>1563</v>
      </c>
      <c r="I21" s="43" t="s">
        <v>1560</v>
      </c>
      <c r="J21" s="43">
        <v>19</v>
      </c>
      <c r="K21" s="43">
        <v>9.5</v>
      </c>
      <c r="L21" s="43">
        <v>9.5</v>
      </c>
      <c r="O21" s="43"/>
      <c r="P21" s="242" t="s">
        <v>1552</v>
      </c>
      <c r="Q21" s="24">
        <f t="shared" ref="Q21:Q38" si="7">AVERAGEIF($D3:$D370,P21,$L3:$L370)</f>
        <v>17.143478260869564</v>
      </c>
      <c r="R21" s="43"/>
      <c r="S21" s="43"/>
      <c r="T21" s="43"/>
      <c r="U21" s="43"/>
      <c r="V21" s="43"/>
      <c r="W21" s="43"/>
      <c r="X21" s="242" t="s">
        <v>1558</v>
      </c>
      <c r="Y21" s="246">
        <f t="shared" si="6"/>
        <v>6.2949999999999999</v>
      </c>
      <c r="Z21" s="246">
        <f t="shared" si="5"/>
        <v>6.1929999999999996</v>
      </c>
      <c r="AA21" s="246">
        <f t="shared" si="5"/>
        <v>6.2949999999999999</v>
      </c>
      <c r="AB21" s="246">
        <f t="shared" si="5"/>
        <v>6.61</v>
      </c>
      <c r="AC21" s="246">
        <f t="shared" si="5"/>
        <v>6.8539999999999992</v>
      </c>
      <c r="AD21" s="246">
        <f t="shared" si="5"/>
        <v>5.5750000000000002</v>
      </c>
      <c r="AE21" s="246">
        <f t="shared" si="5"/>
        <v>6.4016666666666664</v>
      </c>
      <c r="AF21" s="246">
        <f t="shared" si="5"/>
        <v>7.9866666666666672</v>
      </c>
      <c r="AG21" s="246">
        <f t="shared" si="5"/>
        <v>6.6400000000000006</v>
      </c>
      <c r="AH21" s="246">
        <f t="shared" si="5"/>
        <v>8.26</v>
      </c>
      <c r="AI21" s="246">
        <f t="shared" si="5"/>
        <v>6.8199999999999994</v>
      </c>
      <c r="AJ21" s="246">
        <f t="shared" si="5"/>
        <v>7.7349999999999994</v>
      </c>
      <c r="AK21" s="247">
        <f>SUM(Y21:AJ21)</f>
        <v>81.665333333333322</v>
      </c>
      <c r="AL21" s="43"/>
    </row>
    <row r="22" spans="1:38">
      <c r="A22">
        <f t="shared" si="0"/>
        <v>1</v>
      </c>
      <c r="B22" t="str">
        <f t="shared" si="1"/>
        <v>enero</v>
      </c>
      <c r="C22" s="55">
        <v>44216</v>
      </c>
      <c r="D22" s="43" t="s">
        <v>1565</v>
      </c>
      <c r="E22" s="43" t="s">
        <v>1547</v>
      </c>
      <c r="F22" s="43" t="s">
        <v>1566</v>
      </c>
      <c r="G22" s="43" t="s">
        <v>1568</v>
      </c>
      <c r="H22" s="43" t="s">
        <v>1567</v>
      </c>
      <c r="I22" s="43" t="s">
        <v>1560</v>
      </c>
      <c r="J22" s="43">
        <v>21.48</v>
      </c>
      <c r="K22" s="43">
        <v>10.74</v>
      </c>
      <c r="L22" s="43">
        <v>10.74</v>
      </c>
      <c r="O22" s="43"/>
      <c r="P22" s="242" t="s">
        <v>1556</v>
      </c>
      <c r="Q22" s="24">
        <f t="shared" si="7"/>
        <v>16.494705882352942</v>
      </c>
      <c r="R22" s="43"/>
      <c r="S22" s="43"/>
      <c r="T22" s="43"/>
      <c r="U22" s="43"/>
      <c r="V22" s="43"/>
      <c r="W22" s="43"/>
      <c r="X22" s="242" t="s">
        <v>1561</v>
      </c>
      <c r="Y22" s="246">
        <f t="shared" si="6"/>
        <v>9.9128571428571437</v>
      </c>
      <c r="Z22" s="246">
        <f t="shared" si="5"/>
        <v>9.7100000000000009</v>
      </c>
      <c r="AA22" s="246">
        <f t="shared" si="5"/>
        <v>10.74</v>
      </c>
      <c r="AB22" s="246">
        <f t="shared" si="5"/>
        <v>9.7957142857142863</v>
      </c>
      <c r="AC22" s="246">
        <f t="shared" si="5"/>
        <v>10.843749999999998</v>
      </c>
      <c r="AD22" s="246">
        <f t="shared" si="5"/>
        <v>11.824999999999999</v>
      </c>
      <c r="AE22" s="246">
        <f t="shared" si="5"/>
        <v>11.82909090909091</v>
      </c>
      <c r="AF22" s="246">
        <f t="shared" si="5"/>
        <v>9.7074999999999996</v>
      </c>
      <c r="AG22" s="246">
        <f t="shared" si="5"/>
        <v>12.346666666666666</v>
      </c>
      <c r="AH22" s="246">
        <f t="shared" si="5"/>
        <v>10.373333333333331</v>
      </c>
      <c r="AI22" s="246">
        <f t="shared" si="5"/>
        <v>11.703333333333333</v>
      </c>
      <c r="AJ22" s="246">
        <f t="shared" si="5"/>
        <v>10.603333333333333</v>
      </c>
      <c r="AK22" s="247">
        <f>SUM(Y22:AJ22)</f>
        <v>129.390579004329</v>
      </c>
      <c r="AL22" s="43"/>
    </row>
    <row r="23" spans="1:38">
      <c r="A23">
        <f t="shared" si="0"/>
        <v>1</v>
      </c>
      <c r="B23" t="str">
        <f t="shared" si="1"/>
        <v>enero</v>
      </c>
      <c r="C23" s="55">
        <v>44217</v>
      </c>
      <c r="D23" s="43" t="s">
        <v>1556</v>
      </c>
      <c r="E23" s="43" t="s">
        <v>1557</v>
      </c>
      <c r="F23" s="43" t="s">
        <v>1575</v>
      </c>
      <c r="G23" s="43" t="s">
        <v>1568</v>
      </c>
      <c r="H23" s="43" t="s">
        <v>1572</v>
      </c>
      <c r="I23" s="43" t="s">
        <v>1564</v>
      </c>
      <c r="J23" s="43">
        <v>22.31</v>
      </c>
      <c r="K23" s="43">
        <v>11.15</v>
      </c>
      <c r="L23" s="43">
        <v>11.15</v>
      </c>
      <c r="O23" s="43"/>
      <c r="P23" s="242" t="s">
        <v>1565</v>
      </c>
      <c r="Q23" s="24">
        <f t="shared" si="7"/>
        <v>14.211500000000001</v>
      </c>
      <c r="R23" s="43"/>
      <c r="S23" s="43"/>
      <c r="T23" s="43"/>
      <c r="U23" s="43"/>
      <c r="V23" s="43"/>
      <c r="W23" s="43"/>
      <c r="X23" s="242" t="s">
        <v>1566</v>
      </c>
      <c r="Y23" s="246">
        <f t="shared" si="6"/>
        <v>11.701666666666666</v>
      </c>
      <c r="Z23" s="246">
        <f t="shared" si="5"/>
        <v>19.829999999999998</v>
      </c>
      <c r="AA23" s="246">
        <f t="shared" si="5"/>
        <v>11.342499999999999</v>
      </c>
      <c r="AB23" s="246">
        <f t="shared" si="5"/>
        <v>12.11</v>
      </c>
      <c r="AC23" s="246">
        <f t="shared" si="5"/>
        <v>13.63</v>
      </c>
      <c r="AD23" s="246">
        <f t="shared" si="5"/>
        <v>15.1325</v>
      </c>
      <c r="AE23" s="246">
        <f t="shared" si="5"/>
        <v>12.7075</v>
      </c>
      <c r="AF23" s="246">
        <f t="shared" si="5"/>
        <v>10.74</v>
      </c>
      <c r="AG23" s="246">
        <f t="shared" si="5"/>
        <v>19</v>
      </c>
      <c r="AH23" s="246">
        <f t="shared" si="5"/>
        <v>16.110000000000003</v>
      </c>
      <c r="AI23" s="246">
        <f t="shared" si="5"/>
        <v>13.6325</v>
      </c>
      <c r="AJ23" s="246">
        <f t="shared" si="5"/>
        <v>0</v>
      </c>
      <c r="AK23" s="247">
        <f>SUM(Y23:AJ23)</f>
        <v>155.93666666666667</v>
      </c>
      <c r="AL23" s="43"/>
    </row>
    <row r="24" spans="1:38">
      <c r="A24">
        <f t="shared" si="0"/>
        <v>1</v>
      </c>
      <c r="B24" t="str">
        <f t="shared" si="1"/>
        <v>enero</v>
      </c>
      <c r="C24" s="55">
        <v>44217</v>
      </c>
      <c r="D24" s="43" t="s">
        <v>1584</v>
      </c>
      <c r="E24" s="43" t="s">
        <v>1547</v>
      </c>
      <c r="F24" s="43" t="s">
        <v>1577</v>
      </c>
      <c r="G24" s="43" t="s">
        <v>1562</v>
      </c>
      <c r="H24" s="43" t="s">
        <v>1550</v>
      </c>
      <c r="I24" s="43" t="s">
        <v>1551</v>
      </c>
      <c r="J24" s="43">
        <v>14.87</v>
      </c>
      <c r="K24" s="43">
        <v>7.43</v>
      </c>
      <c r="L24" s="43">
        <v>7.43</v>
      </c>
      <c r="O24" s="43"/>
      <c r="P24" s="242" t="s">
        <v>1570</v>
      </c>
      <c r="Q24" s="24">
        <f t="shared" si="7"/>
        <v>12.062000000000001</v>
      </c>
      <c r="R24" s="43"/>
      <c r="S24" s="43"/>
      <c r="T24" s="43"/>
      <c r="U24" s="43"/>
      <c r="V24" s="43"/>
      <c r="W24" s="43"/>
      <c r="X24" s="242" t="s">
        <v>1575</v>
      </c>
      <c r="Y24" s="246">
        <f t="shared" si="6"/>
        <v>15.973333333333334</v>
      </c>
      <c r="Z24" s="246">
        <f t="shared" si="5"/>
        <v>16.25</v>
      </c>
      <c r="AA24" s="246">
        <f t="shared" si="5"/>
        <v>15.036000000000001</v>
      </c>
      <c r="AB24" s="246">
        <f t="shared" si="5"/>
        <v>15.489999999999998</v>
      </c>
      <c r="AC24" s="246">
        <f t="shared" si="5"/>
        <v>16.701428571428572</v>
      </c>
      <c r="AD24" s="246">
        <f t="shared" si="5"/>
        <v>15.120000000000001</v>
      </c>
      <c r="AE24" s="246">
        <f t="shared" si="5"/>
        <v>14.128</v>
      </c>
      <c r="AF24" s="246">
        <f t="shared" si="5"/>
        <v>11.565000000000001</v>
      </c>
      <c r="AG24" s="246">
        <f t="shared" si="5"/>
        <v>14.46</v>
      </c>
      <c r="AH24" s="246">
        <f t="shared" si="5"/>
        <v>19</v>
      </c>
      <c r="AI24" s="246">
        <f t="shared" si="5"/>
        <v>16.8</v>
      </c>
      <c r="AJ24" s="246">
        <f t="shared" si="5"/>
        <v>17.213333333333335</v>
      </c>
      <c r="AK24" s="247">
        <f>SUM(Y24:AJ24)</f>
        <v>187.73709523809526</v>
      </c>
      <c r="AL24" s="43"/>
    </row>
    <row r="25" spans="1:38">
      <c r="A25">
        <f t="shared" si="0"/>
        <v>1</v>
      </c>
      <c r="B25" t="str">
        <f t="shared" si="1"/>
        <v>enero</v>
      </c>
      <c r="C25" s="55">
        <v>44218</v>
      </c>
      <c r="D25" s="43" t="s">
        <v>1546</v>
      </c>
      <c r="E25" s="43" t="s">
        <v>1557</v>
      </c>
      <c r="F25" s="43" t="s">
        <v>1575</v>
      </c>
      <c r="G25" s="43" t="s">
        <v>1562</v>
      </c>
      <c r="H25" s="43" t="s">
        <v>1563</v>
      </c>
      <c r="I25" s="43" t="s">
        <v>1560</v>
      </c>
      <c r="J25" s="43">
        <v>41.31</v>
      </c>
      <c r="K25" s="43">
        <v>20.66</v>
      </c>
      <c r="L25" s="43">
        <v>20.66</v>
      </c>
      <c r="O25" s="43"/>
      <c r="P25" s="242" t="s">
        <v>1571</v>
      </c>
      <c r="Q25" s="24">
        <f t="shared" si="7"/>
        <v>12.552777777777779</v>
      </c>
      <c r="R25" s="43"/>
      <c r="S25" s="43"/>
      <c r="T25" s="43"/>
      <c r="U25" s="43"/>
      <c r="V25" s="43"/>
      <c r="W25" s="43"/>
      <c r="X25" s="242" t="s">
        <v>1577</v>
      </c>
      <c r="Y25" s="246">
        <f t="shared" si="6"/>
        <v>5.47</v>
      </c>
      <c r="Z25" s="246">
        <f t="shared" si="5"/>
        <v>5.0549999999999997</v>
      </c>
      <c r="AA25" s="246">
        <f t="shared" si="5"/>
        <v>2.8899999999999997</v>
      </c>
      <c r="AB25" s="246">
        <f t="shared" si="5"/>
        <v>3.5766666666666667</v>
      </c>
      <c r="AC25" s="246">
        <f t="shared" si="5"/>
        <v>5.57</v>
      </c>
      <c r="AD25" s="246">
        <f t="shared" si="5"/>
        <v>2.89</v>
      </c>
      <c r="AE25" s="246">
        <f t="shared" si="5"/>
        <v>0</v>
      </c>
      <c r="AF25" s="246">
        <f t="shared" si="5"/>
        <v>4.4016666666666664</v>
      </c>
      <c r="AG25" s="246">
        <f t="shared" si="5"/>
        <v>4.54</v>
      </c>
      <c r="AH25" s="246">
        <f t="shared" si="5"/>
        <v>5.9849999999999994</v>
      </c>
      <c r="AI25" s="246">
        <f t="shared" si="5"/>
        <v>6.47</v>
      </c>
      <c r="AJ25" s="246">
        <f t="shared" si="5"/>
        <v>5.8849999999999998</v>
      </c>
      <c r="AK25" s="247">
        <f>SUM(Y25:AJ25)</f>
        <v>52.733333333333334</v>
      </c>
      <c r="AL25" s="43"/>
    </row>
    <row r="26" spans="1:38">
      <c r="A26">
        <f t="shared" si="0"/>
        <v>1</v>
      </c>
      <c r="B26" t="str">
        <f t="shared" si="1"/>
        <v>enero</v>
      </c>
      <c r="C26" s="55">
        <v>44218</v>
      </c>
      <c r="D26" s="43" t="s">
        <v>1579</v>
      </c>
      <c r="E26" s="43" t="s">
        <v>1547</v>
      </c>
      <c r="F26" s="43" t="s">
        <v>1577</v>
      </c>
      <c r="G26" s="43" t="s">
        <v>1554</v>
      </c>
      <c r="H26" s="43" t="s">
        <v>1578</v>
      </c>
      <c r="I26" s="43" t="s">
        <v>1551</v>
      </c>
      <c r="J26" s="43">
        <v>15.69</v>
      </c>
      <c r="K26" s="43">
        <v>7.85</v>
      </c>
      <c r="L26" s="43">
        <v>7.85</v>
      </c>
      <c r="O26" s="43"/>
      <c r="P26" s="242" t="s">
        <v>1573</v>
      </c>
      <c r="Q26" s="24">
        <f t="shared" si="7"/>
        <v>11.148999999999999</v>
      </c>
      <c r="R26" s="43"/>
      <c r="S26" s="43"/>
      <c r="T26" s="43"/>
      <c r="U26" s="43"/>
      <c r="V26" s="43"/>
      <c r="W26" s="43"/>
      <c r="X26" s="242" t="s">
        <v>1580</v>
      </c>
      <c r="Y26" s="246">
        <f t="shared" si="6"/>
        <v>30.984999999999999</v>
      </c>
      <c r="Z26" s="246">
        <f t="shared" si="5"/>
        <v>38.22</v>
      </c>
      <c r="AA26" s="246">
        <f t="shared" si="5"/>
        <v>32.64</v>
      </c>
      <c r="AB26" s="246">
        <f t="shared" si="5"/>
        <v>45.45</v>
      </c>
      <c r="AC26" s="246">
        <f t="shared" si="5"/>
        <v>34.909999999999997</v>
      </c>
      <c r="AD26" s="246">
        <f t="shared" si="5"/>
        <v>30.57</v>
      </c>
      <c r="AE26" s="246">
        <f t="shared" si="5"/>
        <v>25.62</v>
      </c>
      <c r="AF26" s="246">
        <f t="shared" si="5"/>
        <v>34.983333333333334</v>
      </c>
      <c r="AG26" s="246">
        <f t="shared" si="5"/>
        <v>46.28</v>
      </c>
      <c r="AH26" s="246">
        <f t="shared" si="5"/>
        <v>45.86</v>
      </c>
      <c r="AI26" s="246">
        <f t="shared" si="5"/>
        <v>47.1</v>
      </c>
      <c r="AJ26" s="246">
        <f t="shared" si="5"/>
        <v>45.45</v>
      </c>
      <c r="AK26" s="247">
        <f>SUM(Y26:AJ26)</f>
        <v>458.06833333333333</v>
      </c>
      <c r="AL26" s="43"/>
    </row>
    <row r="27" spans="1:38">
      <c r="A27">
        <f t="shared" si="0"/>
        <v>1</v>
      </c>
      <c r="B27" t="str">
        <f t="shared" si="1"/>
        <v>enero</v>
      </c>
      <c r="C27" s="55">
        <v>44220</v>
      </c>
      <c r="D27" s="43" t="s">
        <v>1585</v>
      </c>
      <c r="E27" s="43" t="s">
        <v>1547</v>
      </c>
      <c r="F27" s="43" t="s">
        <v>1566</v>
      </c>
      <c r="G27" s="43" t="s">
        <v>1562</v>
      </c>
      <c r="H27" s="43" t="s">
        <v>1563</v>
      </c>
      <c r="I27" s="43" t="s">
        <v>1551</v>
      </c>
      <c r="J27" s="43">
        <v>23.96</v>
      </c>
      <c r="K27" s="43">
        <v>11.98</v>
      </c>
      <c r="L27" s="43">
        <v>11.98</v>
      </c>
      <c r="O27" s="43"/>
      <c r="P27" s="242" t="s">
        <v>1574</v>
      </c>
      <c r="Q27" s="24">
        <f t="shared" si="7"/>
        <v>14.251250000000001</v>
      </c>
      <c r="R27" s="43"/>
      <c r="S27" s="43"/>
      <c r="T27" s="43"/>
      <c r="U27" s="43"/>
      <c r="V27" s="43"/>
      <c r="W27" s="43"/>
      <c r="X27" s="242" t="s">
        <v>1590</v>
      </c>
      <c r="Y27" s="246">
        <f t="shared" si="6"/>
        <v>0</v>
      </c>
      <c r="Z27" s="246">
        <f t="shared" si="5"/>
        <v>0</v>
      </c>
      <c r="AA27" s="246">
        <f t="shared" si="5"/>
        <v>0</v>
      </c>
      <c r="AB27" s="246">
        <f t="shared" si="5"/>
        <v>10.95</v>
      </c>
      <c r="AC27" s="246">
        <f t="shared" si="5"/>
        <v>10.74</v>
      </c>
      <c r="AD27" s="246">
        <f t="shared" si="5"/>
        <v>10.947500000000002</v>
      </c>
      <c r="AE27" s="246">
        <f t="shared" si="5"/>
        <v>8.5350000000000001</v>
      </c>
      <c r="AF27" s="246">
        <f t="shared" si="5"/>
        <v>9.0875000000000004</v>
      </c>
      <c r="AG27" s="246">
        <f t="shared" si="5"/>
        <v>10.242000000000001</v>
      </c>
      <c r="AH27" s="246">
        <f t="shared" si="5"/>
        <v>9.7460000000000004</v>
      </c>
      <c r="AI27" s="246">
        <f t="shared" si="5"/>
        <v>0</v>
      </c>
      <c r="AJ27" s="246">
        <f t="shared" si="5"/>
        <v>0</v>
      </c>
      <c r="AK27" s="247">
        <f>SUM(Y27:AJ27)</f>
        <v>70.24799999999999</v>
      </c>
      <c r="AL27" s="43"/>
    </row>
    <row r="28" spans="1:38">
      <c r="A28">
        <f t="shared" si="0"/>
        <v>1</v>
      </c>
      <c r="B28" t="str">
        <f t="shared" si="1"/>
        <v>enero</v>
      </c>
      <c r="C28" s="55">
        <v>44221</v>
      </c>
      <c r="D28" s="43" t="s">
        <v>1570</v>
      </c>
      <c r="E28" s="43" t="s">
        <v>1557</v>
      </c>
      <c r="F28" s="43" t="s">
        <v>1553</v>
      </c>
      <c r="G28" s="43" t="s">
        <v>1568</v>
      </c>
      <c r="H28" s="43" t="s">
        <v>1567</v>
      </c>
      <c r="I28" s="43" t="s">
        <v>1564</v>
      </c>
      <c r="J28" s="43">
        <v>96.69</v>
      </c>
      <c r="K28" s="43">
        <v>48.34</v>
      </c>
      <c r="L28" s="43">
        <v>48.34</v>
      </c>
      <c r="O28" s="43"/>
      <c r="P28" s="242" t="s">
        <v>1576</v>
      </c>
      <c r="Q28" s="24">
        <f t="shared" si="7"/>
        <v>12.289375</v>
      </c>
      <c r="R28" s="43"/>
      <c r="S28" s="43"/>
      <c r="T28" s="43"/>
      <c r="U28" s="43"/>
      <c r="V28" s="43"/>
      <c r="W28" s="43"/>
      <c r="X28" s="244" t="s">
        <v>1489</v>
      </c>
      <c r="Y28" s="247">
        <f>SUM(Y19:Y27)</f>
        <v>134.25619047619048</v>
      </c>
      <c r="Z28" s="247">
        <f>SUM(Z19:Z27)</f>
        <v>149.28299999999999</v>
      </c>
      <c r="AA28" s="247">
        <f>SUM(AA19:AA27)</f>
        <v>149.4785</v>
      </c>
      <c r="AB28" s="247">
        <f>SUM(AB19:AB27)</f>
        <v>153.35738095238094</v>
      </c>
      <c r="AC28" s="247">
        <f>SUM(AC19:AC27)</f>
        <v>111.80517857142856</v>
      </c>
      <c r="AD28" s="247">
        <f>SUM(AD19:AD27)</f>
        <v>105.032</v>
      </c>
      <c r="AE28" s="247">
        <f>SUM(AE19:AE27)</f>
        <v>88.721257575757576</v>
      </c>
      <c r="AF28" s="247">
        <f>SUM(AF19:AF27)</f>
        <v>98.381666666666661</v>
      </c>
      <c r="AG28" s="247">
        <f>SUM(AG19:AG27)</f>
        <v>153.57866666666669</v>
      </c>
      <c r="AH28" s="247">
        <f>SUM(AH19:AH27)</f>
        <v>156.25558333333333</v>
      </c>
      <c r="AI28" s="247">
        <f>SUM(AI19:AI27)</f>
        <v>149.31833333333333</v>
      </c>
      <c r="AJ28" s="247">
        <f>SUM(AJ19:AJ27)</f>
        <v>138.30933333333334</v>
      </c>
      <c r="AK28" s="247">
        <f>SUM(Y28:AJ28)</f>
        <v>1587.7770909090909</v>
      </c>
      <c r="AL28" s="43"/>
    </row>
    <row r="29" spans="1:38">
      <c r="A29">
        <f t="shared" si="0"/>
        <v>1</v>
      </c>
      <c r="B29" t="str">
        <f t="shared" si="1"/>
        <v>enero</v>
      </c>
      <c r="C29" s="55">
        <v>44222</v>
      </c>
      <c r="D29" s="43" t="s">
        <v>1586</v>
      </c>
      <c r="E29" s="43" t="s">
        <v>1557</v>
      </c>
      <c r="F29" s="43" t="s">
        <v>1561</v>
      </c>
      <c r="G29" s="43" t="s">
        <v>1562</v>
      </c>
      <c r="H29" s="43" t="s">
        <v>1555</v>
      </c>
      <c r="I29" s="43" t="s">
        <v>1564</v>
      </c>
      <c r="J29" s="43">
        <v>19</v>
      </c>
      <c r="K29" s="43">
        <v>9.5</v>
      </c>
      <c r="L29" s="43">
        <v>9.5</v>
      </c>
      <c r="O29" s="43"/>
      <c r="P29" s="242" t="s">
        <v>1579</v>
      </c>
      <c r="Q29" s="24">
        <f t="shared" si="7"/>
        <v>16.391851851851854</v>
      </c>
      <c r="R29" s="43"/>
      <c r="S29" s="43"/>
      <c r="T29" s="43"/>
      <c r="U29" s="43"/>
      <c r="V29" s="43"/>
      <c r="W29" s="43"/>
      <c r="X29" s="43"/>
      <c r="Y29" s="43"/>
      <c r="Z29" s="43"/>
      <c r="AA29" s="43"/>
      <c r="AB29" s="43"/>
      <c r="AC29" s="43"/>
      <c r="AD29" s="43"/>
      <c r="AE29" s="43"/>
      <c r="AF29" s="43"/>
      <c r="AG29" s="43"/>
      <c r="AH29" s="43"/>
      <c r="AI29" s="43"/>
      <c r="AJ29" s="43"/>
      <c r="AK29" s="43"/>
      <c r="AL29" s="43"/>
    </row>
    <row r="30" spans="1:38">
      <c r="A30">
        <f t="shared" si="0"/>
        <v>1</v>
      </c>
      <c r="B30" t="str">
        <f t="shared" si="1"/>
        <v>enero</v>
      </c>
      <c r="C30" s="55">
        <v>44224</v>
      </c>
      <c r="D30" s="43" t="s">
        <v>1582</v>
      </c>
      <c r="E30" s="43" t="s">
        <v>1557</v>
      </c>
      <c r="F30" s="43" t="s">
        <v>1561</v>
      </c>
      <c r="G30" s="43" t="s">
        <v>1568</v>
      </c>
      <c r="H30" s="43" t="s">
        <v>1569</v>
      </c>
      <c r="I30" s="43" t="s">
        <v>1564</v>
      </c>
      <c r="J30" s="43">
        <v>17.350000000000001</v>
      </c>
      <c r="K30" s="43">
        <v>8.67</v>
      </c>
      <c r="L30" s="43">
        <v>8.67</v>
      </c>
      <c r="O30" s="43"/>
      <c r="P30" s="242" t="s">
        <v>1581</v>
      </c>
      <c r="Q30" s="24">
        <f t="shared" si="7"/>
        <v>11.787200000000002</v>
      </c>
      <c r="R30" s="43"/>
      <c r="S30" s="43"/>
      <c r="T30" s="43"/>
      <c r="U30" s="43"/>
      <c r="V30" s="43"/>
      <c r="W30" s="43"/>
      <c r="X30" s="43"/>
      <c r="Y30" s="43"/>
      <c r="Z30" s="43"/>
      <c r="AA30" s="43"/>
      <c r="AB30" s="43"/>
      <c r="AC30" s="43"/>
      <c r="AD30" s="43"/>
      <c r="AE30" s="43"/>
      <c r="AF30" s="43"/>
      <c r="AG30" s="43"/>
      <c r="AH30" s="43"/>
      <c r="AI30" s="43"/>
      <c r="AJ30" s="43"/>
      <c r="AK30" s="43"/>
      <c r="AL30" s="43"/>
    </row>
    <row r="31" spans="1:38">
      <c r="A31">
        <f t="shared" si="0"/>
        <v>1</v>
      </c>
      <c r="B31" t="str">
        <f t="shared" si="1"/>
        <v>enero</v>
      </c>
      <c r="C31" s="55">
        <v>44225</v>
      </c>
      <c r="D31" s="43" t="s">
        <v>1570</v>
      </c>
      <c r="E31" s="43" t="s">
        <v>1557</v>
      </c>
      <c r="F31" s="43" t="s">
        <v>1580</v>
      </c>
      <c r="G31" s="43" t="s">
        <v>1554</v>
      </c>
      <c r="H31" s="43" t="s">
        <v>1578</v>
      </c>
      <c r="I31" s="43" t="s">
        <v>1564</v>
      </c>
      <c r="J31" s="43">
        <v>68.59</v>
      </c>
      <c r="K31" s="43">
        <v>34.29</v>
      </c>
      <c r="L31" s="43">
        <v>34.29</v>
      </c>
      <c r="O31" s="43"/>
      <c r="P31" s="242" t="s">
        <v>1582</v>
      </c>
      <c r="Q31" s="24">
        <f t="shared" si="7"/>
        <v>12.801176470588235</v>
      </c>
      <c r="R31" s="43"/>
      <c r="S31" s="43"/>
      <c r="T31" s="43"/>
      <c r="U31" s="43"/>
      <c r="V31" s="43"/>
      <c r="W31" s="43"/>
      <c r="X31" s="43"/>
      <c r="Y31" s="43"/>
      <c r="Z31" s="43"/>
      <c r="AA31" s="43"/>
      <c r="AB31" s="43"/>
      <c r="AC31" s="43"/>
      <c r="AD31" s="43"/>
      <c r="AE31" s="43"/>
      <c r="AF31" s="43"/>
      <c r="AG31" s="43"/>
      <c r="AH31" s="43"/>
      <c r="AI31" s="43"/>
      <c r="AJ31" s="43"/>
      <c r="AK31" s="43"/>
      <c r="AL31" s="43"/>
    </row>
    <row r="32" spans="1:38">
      <c r="A32">
        <f t="shared" si="0"/>
        <v>1</v>
      </c>
      <c r="B32" t="str">
        <f t="shared" si="1"/>
        <v>enero</v>
      </c>
      <c r="C32" s="55">
        <v>44225</v>
      </c>
      <c r="D32" s="43" t="s">
        <v>1584</v>
      </c>
      <c r="E32" s="43" t="s">
        <v>1557</v>
      </c>
      <c r="F32" s="43" t="s">
        <v>1561</v>
      </c>
      <c r="G32" s="43" t="s">
        <v>1568</v>
      </c>
      <c r="H32" s="43" t="s">
        <v>1555</v>
      </c>
      <c r="I32" s="43" t="s">
        <v>1560</v>
      </c>
      <c r="J32" s="43">
        <v>19</v>
      </c>
      <c r="K32" s="43">
        <v>9.5</v>
      </c>
      <c r="L32" s="43">
        <v>9.5</v>
      </c>
      <c r="O32" s="43"/>
      <c r="P32" s="242" t="s">
        <v>1583</v>
      </c>
      <c r="Q32" s="24">
        <f t="shared" si="7"/>
        <v>16.352499999999999</v>
      </c>
      <c r="R32" s="43"/>
      <c r="S32" s="43"/>
      <c r="T32" s="43"/>
      <c r="U32" s="43"/>
      <c r="V32" s="43"/>
      <c r="W32" s="43"/>
      <c r="X32" s="43"/>
      <c r="Y32" s="43"/>
      <c r="Z32" s="43"/>
      <c r="AA32" s="43"/>
      <c r="AB32" s="43"/>
      <c r="AC32" s="43"/>
      <c r="AD32" s="43"/>
      <c r="AE32" s="43"/>
      <c r="AF32" s="43"/>
      <c r="AG32" s="43"/>
      <c r="AH32" s="43"/>
      <c r="AI32" s="43"/>
      <c r="AJ32" s="43"/>
      <c r="AK32" s="43"/>
      <c r="AL32" s="43"/>
    </row>
    <row r="33" spans="1:38">
      <c r="A33">
        <f t="shared" si="0"/>
        <v>1</v>
      </c>
      <c r="B33" t="str">
        <f t="shared" si="1"/>
        <v>enero</v>
      </c>
      <c r="C33" s="55">
        <v>44225</v>
      </c>
      <c r="D33" s="43" t="s">
        <v>1579</v>
      </c>
      <c r="E33" s="43" t="s">
        <v>1557</v>
      </c>
      <c r="F33" s="43" t="s">
        <v>1553</v>
      </c>
      <c r="G33" s="43" t="s">
        <v>1562</v>
      </c>
      <c r="H33" s="43" t="s">
        <v>1550</v>
      </c>
      <c r="I33" s="43" t="s">
        <v>1564</v>
      </c>
      <c r="J33" s="43">
        <v>82.64</v>
      </c>
      <c r="K33" s="43">
        <v>41.32</v>
      </c>
      <c r="L33" s="43">
        <v>41.32</v>
      </c>
      <c r="O33" s="43"/>
      <c r="P33" s="242" t="s">
        <v>1584</v>
      </c>
      <c r="Q33" s="24">
        <f t="shared" si="7"/>
        <v>11.536428571428571</v>
      </c>
      <c r="R33" s="43"/>
      <c r="S33" s="43"/>
      <c r="T33" s="43"/>
      <c r="U33" s="43"/>
      <c r="V33" s="43"/>
      <c r="W33" s="43"/>
      <c r="X33" s="43"/>
      <c r="Y33" s="43"/>
      <c r="Z33" s="43"/>
      <c r="AA33" s="43"/>
      <c r="AB33" s="43"/>
      <c r="AC33" s="43"/>
      <c r="AD33" s="43"/>
      <c r="AE33" s="43"/>
      <c r="AF33" s="43"/>
      <c r="AG33" s="43"/>
      <c r="AH33" s="43"/>
      <c r="AI33" s="43"/>
      <c r="AJ33" s="43"/>
      <c r="AK33" s="43"/>
      <c r="AL33" s="43"/>
    </row>
    <row r="34" spans="1:38">
      <c r="A34">
        <f t="shared" si="0"/>
        <v>1</v>
      </c>
      <c r="B34" t="str">
        <f t="shared" si="1"/>
        <v>enero</v>
      </c>
      <c r="C34" s="55">
        <v>44225</v>
      </c>
      <c r="D34" s="43" t="s">
        <v>1552</v>
      </c>
      <c r="E34" s="43" t="s">
        <v>1547</v>
      </c>
      <c r="F34" s="43" t="s">
        <v>1548</v>
      </c>
      <c r="G34" s="43" t="s">
        <v>1554</v>
      </c>
      <c r="H34" s="43" t="s">
        <v>1555</v>
      </c>
      <c r="I34" s="43" t="s">
        <v>1560</v>
      </c>
      <c r="J34" s="43">
        <v>33.880000000000003</v>
      </c>
      <c r="K34" s="43">
        <v>16.940000000000001</v>
      </c>
      <c r="L34" s="43">
        <v>16.940000000000001</v>
      </c>
      <c r="O34" s="43"/>
      <c r="P34" s="242" t="s">
        <v>1585</v>
      </c>
      <c r="Q34" s="24">
        <f t="shared" si="7"/>
        <v>14.894210526315787</v>
      </c>
      <c r="R34" s="43"/>
      <c r="S34" s="43"/>
      <c r="T34" s="43"/>
      <c r="U34" s="43"/>
      <c r="V34" s="43"/>
      <c r="W34" s="43"/>
      <c r="X34" s="43"/>
      <c r="Y34" s="43"/>
      <c r="Z34" s="43"/>
      <c r="AA34" s="43"/>
      <c r="AB34" s="43"/>
      <c r="AC34" s="43"/>
      <c r="AD34" s="43"/>
      <c r="AE34" s="43"/>
      <c r="AF34" s="43"/>
      <c r="AG34" s="43"/>
      <c r="AH34" s="43"/>
      <c r="AI34" s="43"/>
      <c r="AJ34" s="43"/>
      <c r="AK34" s="43"/>
      <c r="AL34" s="43"/>
    </row>
    <row r="35" spans="1:38">
      <c r="A35">
        <f t="shared" si="0"/>
        <v>1</v>
      </c>
      <c r="B35" t="str">
        <f t="shared" si="1"/>
        <v>enero</v>
      </c>
      <c r="C35" s="55">
        <v>44227</v>
      </c>
      <c r="D35" s="43" t="s">
        <v>1587</v>
      </c>
      <c r="E35" s="43" t="s">
        <v>1557</v>
      </c>
      <c r="F35" s="43" t="s">
        <v>1558</v>
      </c>
      <c r="G35" s="43" t="s">
        <v>1568</v>
      </c>
      <c r="H35" s="43" t="s">
        <v>1555</v>
      </c>
      <c r="I35" s="43" t="s">
        <v>1564</v>
      </c>
      <c r="J35" s="43">
        <v>14.87</v>
      </c>
      <c r="K35" s="43">
        <v>7.43</v>
      </c>
      <c r="L35" s="43">
        <v>7.43</v>
      </c>
      <c r="O35" s="43"/>
      <c r="P35" s="242" t="s">
        <v>1586</v>
      </c>
      <c r="Q35" s="24">
        <f t="shared" si="7"/>
        <v>13.791599999999999</v>
      </c>
      <c r="R35" s="43"/>
      <c r="S35" s="43"/>
      <c r="T35" s="43"/>
      <c r="U35" s="43"/>
      <c r="V35" s="43"/>
      <c r="W35" s="43"/>
      <c r="X35" s="43"/>
      <c r="Y35" s="43"/>
      <c r="Z35" s="43"/>
      <c r="AA35" s="43"/>
      <c r="AB35" s="43"/>
      <c r="AC35" s="43"/>
      <c r="AD35" s="43"/>
      <c r="AE35" s="43"/>
      <c r="AF35" s="43"/>
      <c r="AG35" s="43"/>
      <c r="AH35" s="43"/>
      <c r="AI35" s="43"/>
      <c r="AJ35" s="43"/>
      <c r="AK35" s="43"/>
      <c r="AL35" s="43"/>
    </row>
    <row r="36" spans="1:38">
      <c r="A36">
        <f t="shared" si="0"/>
        <v>1</v>
      </c>
      <c r="B36" t="str">
        <f t="shared" si="1"/>
        <v>enero</v>
      </c>
      <c r="C36" s="55">
        <v>44227</v>
      </c>
      <c r="D36" s="43" t="s">
        <v>1581</v>
      </c>
      <c r="E36" s="43" t="s">
        <v>1557</v>
      </c>
      <c r="F36" s="43" t="s">
        <v>1558</v>
      </c>
      <c r="G36" s="43" t="s">
        <v>1568</v>
      </c>
      <c r="H36" s="43" t="s">
        <v>1550</v>
      </c>
      <c r="I36" s="43" t="s">
        <v>1560</v>
      </c>
      <c r="J36" s="43">
        <v>9.91</v>
      </c>
      <c r="K36" s="43">
        <v>4.95</v>
      </c>
      <c r="L36" s="43">
        <v>4.95</v>
      </c>
      <c r="O36" s="43"/>
      <c r="P36" s="242" t="s">
        <v>1587</v>
      </c>
      <c r="Q36" s="24">
        <f t="shared" si="7"/>
        <v>13.553333333333333</v>
      </c>
      <c r="R36" s="43"/>
      <c r="S36" s="43"/>
      <c r="T36" s="43"/>
      <c r="U36" s="43"/>
      <c r="V36" s="43"/>
      <c r="W36" s="43"/>
      <c r="X36" s="43"/>
      <c r="Y36" s="43"/>
      <c r="Z36" s="43"/>
      <c r="AA36" s="43"/>
      <c r="AB36" s="43"/>
      <c r="AC36" s="43"/>
      <c r="AD36" s="43"/>
      <c r="AE36" s="43"/>
      <c r="AF36" s="43"/>
      <c r="AG36" s="43"/>
      <c r="AH36" s="43"/>
      <c r="AI36" s="43"/>
      <c r="AJ36" s="43"/>
      <c r="AK36" s="43"/>
      <c r="AL36" s="43"/>
    </row>
    <row r="37" spans="1:38">
      <c r="A37">
        <f t="shared" si="0"/>
        <v>1</v>
      </c>
      <c r="B37" t="str">
        <f t="shared" si="1"/>
        <v>enero</v>
      </c>
      <c r="C37" s="55">
        <v>44227</v>
      </c>
      <c r="D37" s="43" t="s">
        <v>1570</v>
      </c>
      <c r="E37" s="43" t="s">
        <v>1547</v>
      </c>
      <c r="F37" s="43" t="s">
        <v>1548</v>
      </c>
      <c r="G37" s="43" t="s">
        <v>1568</v>
      </c>
      <c r="H37" s="43" t="s">
        <v>1550</v>
      </c>
      <c r="I37" s="43" t="s">
        <v>1551</v>
      </c>
      <c r="J37" s="43">
        <v>29.74</v>
      </c>
      <c r="K37" s="43">
        <v>14.87</v>
      </c>
      <c r="L37" s="43">
        <v>14.87</v>
      </c>
      <c r="O37" s="43"/>
      <c r="P37" s="242" t="s">
        <v>1588</v>
      </c>
      <c r="Q37" s="24">
        <f t="shared" si="7"/>
        <v>12.658571428571431</v>
      </c>
      <c r="R37" s="43"/>
      <c r="S37" s="43"/>
      <c r="T37" s="43"/>
      <c r="U37" s="43"/>
      <c r="V37" s="43"/>
      <c r="W37" s="43"/>
      <c r="X37" s="43"/>
      <c r="Y37" s="43"/>
      <c r="Z37" s="43"/>
      <c r="AA37" s="43"/>
      <c r="AB37" s="43"/>
      <c r="AC37" s="43"/>
      <c r="AD37" s="43"/>
      <c r="AE37" s="43"/>
      <c r="AF37" s="43"/>
      <c r="AG37" s="43"/>
      <c r="AH37" s="43"/>
      <c r="AI37" s="43"/>
      <c r="AJ37" s="43"/>
      <c r="AK37" s="43"/>
      <c r="AL37" s="43"/>
    </row>
    <row r="38" spans="1:38">
      <c r="A38">
        <f t="shared" si="0"/>
        <v>2</v>
      </c>
      <c r="B38" t="str">
        <f t="shared" si="1"/>
        <v>febrero</v>
      </c>
      <c r="C38" s="55">
        <v>44228</v>
      </c>
      <c r="D38" s="43" t="s">
        <v>1583</v>
      </c>
      <c r="E38" s="43" t="s">
        <v>1557</v>
      </c>
      <c r="F38" s="43" t="s">
        <v>1580</v>
      </c>
      <c r="G38" s="43" t="s">
        <v>1562</v>
      </c>
      <c r="H38" s="43" t="s">
        <v>1563</v>
      </c>
      <c r="I38" s="43" t="s">
        <v>1564</v>
      </c>
      <c r="J38" s="43">
        <v>76.02</v>
      </c>
      <c r="K38" s="43">
        <v>38.01</v>
      </c>
      <c r="L38" s="43">
        <v>38.01</v>
      </c>
      <c r="O38" s="43"/>
      <c r="P38" s="242" t="s">
        <v>1589</v>
      </c>
      <c r="Q38" s="24">
        <f t="shared" si="7"/>
        <v>15.776190476190477</v>
      </c>
      <c r="R38" s="43"/>
      <c r="S38" s="43"/>
      <c r="T38" s="43"/>
      <c r="U38" s="43"/>
      <c r="V38" s="43"/>
      <c r="W38" s="43"/>
      <c r="X38" s="43"/>
      <c r="Y38" s="43"/>
      <c r="Z38" s="43"/>
      <c r="AA38" s="43"/>
      <c r="AB38" s="43"/>
      <c r="AC38" s="43"/>
      <c r="AD38" s="43"/>
      <c r="AE38" s="43"/>
      <c r="AF38" s="43"/>
      <c r="AG38" s="43"/>
      <c r="AH38" s="43"/>
      <c r="AI38" s="43"/>
      <c r="AJ38" s="43"/>
      <c r="AK38" s="43"/>
      <c r="AL38" s="43"/>
    </row>
    <row r="39" spans="1:38">
      <c r="A39">
        <f t="shared" si="0"/>
        <v>2</v>
      </c>
      <c r="B39" t="str">
        <f t="shared" si="1"/>
        <v>febrero</v>
      </c>
      <c r="C39" s="55">
        <v>44229</v>
      </c>
      <c r="D39" s="43" t="s">
        <v>1552</v>
      </c>
      <c r="E39" s="43" t="s">
        <v>1547</v>
      </c>
      <c r="F39" s="43" t="s">
        <v>1553</v>
      </c>
      <c r="G39" s="43" t="s">
        <v>1554</v>
      </c>
      <c r="H39" s="43" t="s">
        <v>1578</v>
      </c>
      <c r="I39" s="43" t="s">
        <v>1551</v>
      </c>
      <c r="J39" s="43">
        <v>99.17</v>
      </c>
      <c r="K39" s="43">
        <v>49.58</v>
      </c>
      <c r="L39" s="43">
        <v>49.58</v>
      </c>
    </row>
    <row r="40" spans="1:38">
      <c r="A40">
        <f t="shared" si="0"/>
        <v>2</v>
      </c>
      <c r="B40" t="str">
        <f t="shared" si="1"/>
        <v>febrero</v>
      </c>
      <c r="C40" s="55">
        <v>44230</v>
      </c>
      <c r="D40" s="43" t="s">
        <v>1584</v>
      </c>
      <c r="E40" s="43" t="s">
        <v>1547</v>
      </c>
      <c r="F40" s="43" t="s">
        <v>1575</v>
      </c>
      <c r="G40" s="43" t="s">
        <v>1549</v>
      </c>
      <c r="H40" s="43" t="s">
        <v>1572</v>
      </c>
      <c r="I40" s="43" t="s">
        <v>1560</v>
      </c>
      <c r="J40" s="43">
        <v>38.83</v>
      </c>
      <c r="K40" s="43">
        <v>19.420000000000002</v>
      </c>
      <c r="L40" s="43">
        <v>19.420000000000002</v>
      </c>
    </row>
    <row r="41" spans="1:38">
      <c r="A41">
        <f t="shared" si="0"/>
        <v>2</v>
      </c>
      <c r="B41" t="str">
        <f t="shared" si="1"/>
        <v>febrero</v>
      </c>
      <c r="C41" s="55">
        <v>44230</v>
      </c>
      <c r="D41" s="43" t="s">
        <v>1546</v>
      </c>
      <c r="E41" s="43" t="s">
        <v>1547</v>
      </c>
      <c r="F41" s="43" t="s">
        <v>1558</v>
      </c>
      <c r="G41" s="43" t="s">
        <v>1554</v>
      </c>
      <c r="H41" s="43" t="s">
        <v>1559</v>
      </c>
      <c r="I41" s="43" t="s">
        <v>1560</v>
      </c>
      <c r="J41" s="43">
        <v>13.21</v>
      </c>
      <c r="K41" s="43">
        <v>6.61</v>
      </c>
      <c r="L41" s="43">
        <v>6.61</v>
      </c>
    </row>
    <row r="42" spans="1:38">
      <c r="A42">
        <f t="shared" si="0"/>
        <v>2</v>
      </c>
      <c r="B42" t="str">
        <f t="shared" si="1"/>
        <v>febrero</v>
      </c>
      <c r="C42" s="55">
        <v>44231</v>
      </c>
      <c r="D42" s="43" t="s">
        <v>1570</v>
      </c>
      <c r="E42" s="43" t="s">
        <v>1547</v>
      </c>
      <c r="F42" s="43" t="s">
        <v>1577</v>
      </c>
      <c r="G42" s="43" t="s">
        <v>1562</v>
      </c>
      <c r="H42" s="43" t="s">
        <v>1563</v>
      </c>
      <c r="I42" s="43" t="s">
        <v>1551</v>
      </c>
      <c r="J42" s="43">
        <v>12.39</v>
      </c>
      <c r="K42" s="43">
        <v>6.19</v>
      </c>
      <c r="L42" s="43">
        <v>6.19</v>
      </c>
    </row>
    <row r="43" spans="1:38">
      <c r="A43">
        <f t="shared" si="0"/>
        <v>2</v>
      </c>
      <c r="B43" t="str">
        <f t="shared" si="1"/>
        <v>febrero</v>
      </c>
      <c r="C43" s="55">
        <v>44232</v>
      </c>
      <c r="D43" s="43" t="s">
        <v>1581</v>
      </c>
      <c r="E43" s="43" t="s">
        <v>1547</v>
      </c>
      <c r="F43" s="43" t="s">
        <v>1558</v>
      </c>
      <c r="G43" s="43" t="s">
        <v>1549</v>
      </c>
      <c r="H43" s="43" t="s">
        <v>1567</v>
      </c>
      <c r="I43" s="43" t="s">
        <v>1551</v>
      </c>
      <c r="J43" s="43">
        <v>12.39</v>
      </c>
      <c r="K43" s="43">
        <v>6.19</v>
      </c>
      <c r="L43" s="43">
        <v>6.19</v>
      </c>
    </row>
    <row r="44" spans="1:38">
      <c r="A44">
        <f t="shared" si="0"/>
        <v>2</v>
      </c>
      <c r="B44" t="str">
        <f t="shared" si="1"/>
        <v>febrero</v>
      </c>
      <c r="C44" s="55">
        <v>44234</v>
      </c>
      <c r="D44" s="43" t="s">
        <v>1583</v>
      </c>
      <c r="E44" s="43" t="s">
        <v>1547</v>
      </c>
      <c r="F44" s="43" t="s">
        <v>1558</v>
      </c>
      <c r="G44" s="43" t="s">
        <v>1568</v>
      </c>
      <c r="H44" s="43" t="s">
        <v>1555</v>
      </c>
      <c r="I44" s="43" t="s">
        <v>1560</v>
      </c>
      <c r="J44" s="43">
        <v>10.74</v>
      </c>
      <c r="K44" s="43">
        <v>5.37</v>
      </c>
      <c r="L44" s="43">
        <v>5.37</v>
      </c>
    </row>
    <row r="45" spans="1:38">
      <c r="A45">
        <f t="shared" si="0"/>
        <v>2</v>
      </c>
      <c r="B45" t="str">
        <f t="shared" si="1"/>
        <v>febrero</v>
      </c>
      <c r="C45" s="55">
        <v>44235</v>
      </c>
      <c r="D45" s="43" t="s">
        <v>1588</v>
      </c>
      <c r="E45" s="43" t="s">
        <v>1547</v>
      </c>
      <c r="F45" s="43" t="s">
        <v>1577</v>
      </c>
      <c r="G45" s="43" t="s">
        <v>1562</v>
      </c>
      <c r="H45" s="43" t="s">
        <v>1572</v>
      </c>
      <c r="I45" s="43" t="s">
        <v>1551</v>
      </c>
      <c r="J45" s="43">
        <v>7.43</v>
      </c>
      <c r="K45" s="43">
        <v>3.71</v>
      </c>
      <c r="L45" s="43">
        <v>3.71</v>
      </c>
    </row>
    <row r="46" spans="1:38">
      <c r="A46">
        <f t="shared" si="0"/>
        <v>2</v>
      </c>
      <c r="B46" t="str">
        <f t="shared" si="1"/>
        <v>febrero</v>
      </c>
      <c r="C46" s="55">
        <v>44235</v>
      </c>
      <c r="D46" s="43" t="s">
        <v>1574</v>
      </c>
      <c r="E46" s="43" t="s">
        <v>1547</v>
      </c>
      <c r="F46" s="43" t="s">
        <v>1566</v>
      </c>
      <c r="G46" s="43" t="s">
        <v>1549</v>
      </c>
      <c r="H46" s="43" t="s">
        <v>1572</v>
      </c>
      <c r="I46" s="43" t="s">
        <v>1560</v>
      </c>
      <c r="J46" s="43">
        <v>40.49</v>
      </c>
      <c r="K46" s="43">
        <v>20.239999999999998</v>
      </c>
      <c r="L46" s="43">
        <v>20.239999999999998</v>
      </c>
    </row>
    <row r="47" spans="1:38">
      <c r="A47">
        <f t="shared" si="0"/>
        <v>2</v>
      </c>
      <c r="B47" t="str">
        <f t="shared" si="1"/>
        <v>febrero</v>
      </c>
      <c r="C47" s="55">
        <v>44237</v>
      </c>
      <c r="D47" s="43" t="s">
        <v>1574</v>
      </c>
      <c r="E47" s="43" t="s">
        <v>1547</v>
      </c>
      <c r="F47" s="43" t="s">
        <v>1558</v>
      </c>
      <c r="G47" s="43" t="s">
        <v>1554</v>
      </c>
      <c r="H47" s="43" t="s">
        <v>1563</v>
      </c>
      <c r="I47" s="43" t="s">
        <v>1551</v>
      </c>
      <c r="J47" s="43">
        <v>9.91</v>
      </c>
      <c r="K47" s="43">
        <v>4.95</v>
      </c>
      <c r="L47" s="43">
        <v>4.95</v>
      </c>
    </row>
    <row r="48" spans="1:38">
      <c r="A48">
        <f t="shared" si="0"/>
        <v>2</v>
      </c>
      <c r="B48" t="str">
        <f t="shared" si="1"/>
        <v>febrero</v>
      </c>
      <c r="C48" s="55">
        <v>44237</v>
      </c>
      <c r="D48" s="43" t="s">
        <v>1552</v>
      </c>
      <c r="E48" s="43" t="s">
        <v>1557</v>
      </c>
      <c r="F48" s="43" t="s">
        <v>1553</v>
      </c>
      <c r="G48" s="43" t="s">
        <v>1554</v>
      </c>
      <c r="H48" s="43" t="s">
        <v>1555</v>
      </c>
      <c r="I48" s="43" t="s">
        <v>1564</v>
      </c>
      <c r="J48" s="43">
        <v>56.19</v>
      </c>
      <c r="K48" s="43">
        <v>28.1</v>
      </c>
      <c r="L48" s="43">
        <v>28.1</v>
      </c>
    </row>
    <row r="49" spans="1:12">
      <c r="A49">
        <f t="shared" si="0"/>
        <v>2</v>
      </c>
      <c r="B49" t="str">
        <f t="shared" si="1"/>
        <v>febrero</v>
      </c>
      <c r="C49" s="55">
        <v>44240</v>
      </c>
      <c r="D49" s="43" t="s">
        <v>1579</v>
      </c>
      <c r="E49" s="43" t="s">
        <v>1547</v>
      </c>
      <c r="F49" s="43" t="s">
        <v>1558</v>
      </c>
      <c r="G49" s="43" t="s">
        <v>1554</v>
      </c>
      <c r="H49" s="43" t="s">
        <v>1578</v>
      </c>
      <c r="I49" s="43" t="s">
        <v>1551</v>
      </c>
      <c r="J49" s="43">
        <v>14.04</v>
      </c>
      <c r="K49" s="43">
        <v>7.02</v>
      </c>
      <c r="L49" s="43">
        <v>7.02</v>
      </c>
    </row>
    <row r="50" spans="1:12">
      <c r="A50">
        <f t="shared" si="0"/>
        <v>2</v>
      </c>
      <c r="B50" t="str">
        <f t="shared" si="1"/>
        <v>febrero</v>
      </c>
      <c r="C50" s="55">
        <v>44240</v>
      </c>
      <c r="D50" s="43" t="s">
        <v>1546</v>
      </c>
      <c r="E50" s="43" t="s">
        <v>1547</v>
      </c>
      <c r="F50" s="43" t="s">
        <v>1566</v>
      </c>
      <c r="G50" s="43" t="s">
        <v>1554</v>
      </c>
      <c r="H50" s="43" t="s">
        <v>1578</v>
      </c>
      <c r="I50" s="43" t="s">
        <v>1551</v>
      </c>
      <c r="J50" s="43">
        <v>38.83</v>
      </c>
      <c r="K50" s="43">
        <v>19.420000000000002</v>
      </c>
      <c r="L50" s="43">
        <v>19.420000000000002</v>
      </c>
    </row>
    <row r="51" spans="1:12">
      <c r="A51">
        <f t="shared" si="0"/>
        <v>2</v>
      </c>
      <c r="B51" t="str">
        <f t="shared" si="1"/>
        <v>febrero</v>
      </c>
      <c r="C51" s="55">
        <v>44240</v>
      </c>
      <c r="D51" s="43" t="s">
        <v>1579</v>
      </c>
      <c r="E51" s="43" t="s">
        <v>1557</v>
      </c>
      <c r="F51" s="43" t="s">
        <v>1558</v>
      </c>
      <c r="G51" s="43" t="s">
        <v>1549</v>
      </c>
      <c r="H51" s="43" t="s">
        <v>1559</v>
      </c>
      <c r="I51" s="43" t="s">
        <v>1564</v>
      </c>
      <c r="J51" s="43">
        <v>13.21</v>
      </c>
      <c r="K51" s="43">
        <v>6.61</v>
      </c>
      <c r="L51" s="43">
        <v>6.61</v>
      </c>
    </row>
    <row r="52" spans="1:12">
      <c r="A52">
        <f t="shared" si="0"/>
        <v>2</v>
      </c>
      <c r="B52" t="str">
        <f t="shared" si="1"/>
        <v>febrero</v>
      </c>
      <c r="C52" s="55">
        <v>44241</v>
      </c>
      <c r="D52" s="43" t="s">
        <v>1583</v>
      </c>
      <c r="E52" s="43" t="s">
        <v>1547</v>
      </c>
      <c r="F52" s="43" t="s">
        <v>1548</v>
      </c>
      <c r="G52" s="43" t="s">
        <v>1554</v>
      </c>
      <c r="H52" s="43" t="s">
        <v>1550</v>
      </c>
      <c r="I52" s="43" t="s">
        <v>1551</v>
      </c>
      <c r="J52" s="43">
        <v>18.170000000000002</v>
      </c>
      <c r="K52" s="43">
        <v>9.09</v>
      </c>
      <c r="L52" s="43">
        <v>9.09</v>
      </c>
    </row>
    <row r="53" spans="1:12">
      <c r="A53">
        <f t="shared" si="0"/>
        <v>2</v>
      </c>
      <c r="B53" t="str">
        <f t="shared" si="1"/>
        <v>febrero</v>
      </c>
      <c r="C53" s="55">
        <v>44242</v>
      </c>
      <c r="D53" s="43" t="s">
        <v>1581</v>
      </c>
      <c r="E53" s="43" t="s">
        <v>1557</v>
      </c>
      <c r="F53" s="43" t="s">
        <v>1580</v>
      </c>
      <c r="G53" s="43" t="s">
        <v>1568</v>
      </c>
      <c r="H53" s="43" t="s">
        <v>1563</v>
      </c>
      <c r="I53" s="43" t="s">
        <v>1564</v>
      </c>
      <c r="J53" s="43">
        <v>90.07</v>
      </c>
      <c r="K53" s="43">
        <v>45.04</v>
      </c>
      <c r="L53" s="43">
        <v>45.04</v>
      </c>
    </row>
    <row r="54" spans="1:12">
      <c r="A54">
        <f t="shared" si="0"/>
        <v>2</v>
      </c>
      <c r="B54" t="str">
        <f t="shared" si="1"/>
        <v>febrero</v>
      </c>
      <c r="C54" s="55">
        <v>44242</v>
      </c>
      <c r="D54" s="43" t="s">
        <v>1574</v>
      </c>
      <c r="E54" s="43" t="s">
        <v>1547</v>
      </c>
      <c r="F54" s="43" t="s">
        <v>1558</v>
      </c>
      <c r="G54" s="43" t="s">
        <v>1568</v>
      </c>
      <c r="H54" s="43" t="s">
        <v>1563</v>
      </c>
      <c r="I54" s="43" t="s">
        <v>1560</v>
      </c>
      <c r="J54" s="43">
        <v>14.87</v>
      </c>
      <c r="K54" s="43">
        <v>7.43</v>
      </c>
      <c r="L54" s="43">
        <v>7.43</v>
      </c>
    </row>
    <row r="55" spans="1:12">
      <c r="A55">
        <f t="shared" si="0"/>
        <v>2</v>
      </c>
      <c r="B55" t="str">
        <f t="shared" si="1"/>
        <v>febrero</v>
      </c>
      <c r="C55" s="55">
        <v>44242</v>
      </c>
      <c r="D55" s="43" t="s">
        <v>1571</v>
      </c>
      <c r="E55" s="43" t="s">
        <v>1547</v>
      </c>
      <c r="F55" s="43" t="s">
        <v>1575</v>
      </c>
      <c r="G55" s="43" t="s">
        <v>1549</v>
      </c>
      <c r="H55" s="43" t="s">
        <v>1559</v>
      </c>
      <c r="I55" s="43" t="s">
        <v>1560</v>
      </c>
      <c r="J55" s="43">
        <v>23.13</v>
      </c>
      <c r="K55" s="43">
        <v>11.57</v>
      </c>
      <c r="L55" s="43">
        <v>11.57</v>
      </c>
    </row>
    <row r="56" spans="1:12">
      <c r="A56">
        <f t="shared" si="0"/>
        <v>2</v>
      </c>
      <c r="B56" t="str">
        <f t="shared" si="1"/>
        <v>febrero</v>
      </c>
      <c r="C56" s="55">
        <v>44243</v>
      </c>
      <c r="D56" s="43" t="s">
        <v>1546</v>
      </c>
      <c r="E56" s="43" t="s">
        <v>1557</v>
      </c>
      <c r="F56" s="43" t="s">
        <v>1575</v>
      </c>
      <c r="G56" s="43" t="s">
        <v>1568</v>
      </c>
      <c r="H56" s="43" t="s">
        <v>1555</v>
      </c>
      <c r="I56" s="43" t="s">
        <v>1560</v>
      </c>
      <c r="J56" s="43">
        <v>35.53</v>
      </c>
      <c r="K56" s="43">
        <v>17.760000000000002</v>
      </c>
      <c r="L56" s="43">
        <v>17.760000000000002</v>
      </c>
    </row>
    <row r="57" spans="1:12">
      <c r="A57">
        <f t="shared" si="0"/>
        <v>2</v>
      </c>
      <c r="B57" t="str">
        <f t="shared" si="1"/>
        <v>febrero</v>
      </c>
      <c r="C57" s="55">
        <v>44243</v>
      </c>
      <c r="D57" s="43" t="s">
        <v>1581</v>
      </c>
      <c r="E57" s="43" t="s">
        <v>1557</v>
      </c>
      <c r="F57" s="43" t="s">
        <v>1558</v>
      </c>
      <c r="G57" s="43" t="s">
        <v>1568</v>
      </c>
      <c r="H57" s="43" t="s">
        <v>1572</v>
      </c>
      <c r="I57" s="43" t="s">
        <v>1564</v>
      </c>
      <c r="J57" s="43">
        <v>10.74</v>
      </c>
      <c r="K57" s="43">
        <v>5.37</v>
      </c>
      <c r="L57" s="43">
        <v>5.37</v>
      </c>
    </row>
    <row r="58" spans="1:12">
      <c r="A58">
        <f t="shared" si="0"/>
        <v>2</v>
      </c>
      <c r="B58" t="str">
        <f t="shared" si="1"/>
        <v>febrero</v>
      </c>
      <c r="C58" s="55">
        <v>44244</v>
      </c>
      <c r="D58" s="43" t="s">
        <v>1574</v>
      </c>
      <c r="E58" s="43" t="s">
        <v>1557</v>
      </c>
      <c r="F58" s="43" t="s">
        <v>1580</v>
      </c>
      <c r="G58" s="43" t="s">
        <v>1554</v>
      </c>
      <c r="H58" s="43" t="s">
        <v>1572</v>
      </c>
      <c r="I58" s="43" t="s">
        <v>1564</v>
      </c>
      <c r="J58" s="43">
        <v>66.930000000000007</v>
      </c>
      <c r="K58" s="43">
        <v>33.47</v>
      </c>
      <c r="L58" s="43">
        <v>33.47</v>
      </c>
    </row>
    <row r="59" spans="1:12">
      <c r="A59">
        <f t="shared" si="0"/>
        <v>2</v>
      </c>
      <c r="B59" t="str">
        <f t="shared" si="1"/>
        <v>febrero</v>
      </c>
      <c r="C59" s="55">
        <v>44246</v>
      </c>
      <c r="D59" s="43" t="s">
        <v>1585</v>
      </c>
      <c r="E59" s="43" t="s">
        <v>1547</v>
      </c>
      <c r="F59" s="43" t="s">
        <v>1577</v>
      </c>
      <c r="G59" s="43" t="s">
        <v>1554</v>
      </c>
      <c r="H59" s="43" t="s">
        <v>1563</v>
      </c>
      <c r="I59" s="43" t="s">
        <v>1560</v>
      </c>
      <c r="J59" s="43">
        <v>6.6</v>
      </c>
      <c r="K59" s="43">
        <v>3.3</v>
      </c>
      <c r="L59" s="43">
        <v>3.3</v>
      </c>
    </row>
    <row r="60" spans="1:12">
      <c r="A60">
        <f t="shared" si="0"/>
        <v>2</v>
      </c>
      <c r="B60" t="str">
        <f t="shared" si="1"/>
        <v>febrero</v>
      </c>
      <c r="C60" s="55">
        <v>44249</v>
      </c>
      <c r="D60" s="43" t="s">
        <v>1579</v>
      </c>
      <c r="E60" s="43" t="s">
        <v>1557</v>
      </c>
      <c r="F60" s="43" t="s">
        <v>1553</v>
      </c>
      <c r="G60" s="43" t="s">
        <v>1554</v>
      </c>
      <c r="H60" s="43" t="s">
        <v>1550</v>
      </c>
      <c r="I60" s="43" t="s">
        <v>1564</v>
      </c>
      <c r="J60" s="43">
        <v>90.07</v>
      </c>
      <c r="K60" s="43">
        <v>45.04</v>
      </c>
      <c r="L60" s="43">
        <v>45.04</v>
      </c>
    </row>
    <row r="61" spans="1:12">
      <c r="A61">
        <f t="shared" si="0"/>
        <v>2</v>
      </c>
      <c r="B61" t="str">
        <f t="shared" si="1"/>
        <v>febrero</v>
      </c>
      <c r="C61" s="55">
        <v>44250</v>
      </c>
      <c r="D61" s="43" t="s">
        <v>1583</v>
      </c>
      <c r="E61" s="43" t="s">
        <v>1547</v>
      </c>
      <c r="F61" s="43" t="s">
        <v>1561</v>
      </c>
      <c r="G61" s="43" t="s">
        <v>1568</v>
      </c>
      <c r="H61" s="43" t="s">
        <v>1567</v>
      </c>
      <c r="I61" s="43" t="s">
        <v>1560</v>
      </c>
      <c r="J61" s="43">
        <v>15.69</v>
      </c>
      <c r="K61" s="43">
        <v>7.85</v>
      </c>
      <c r="L61" s="43">
        <v>7.85</v>
      </c>
    </row>
    <row r="62" spans="1:12">
      <c r="A62">
        <f t="shared" si="0"/>
        <v>2</v>
      </c>
      <c r="B62" t="str">
        <f t="shared" si="1"/>
        <v>febrero</v>
      </c>
      <c r="C62" s="55">
        <v>44250</v>
      </c>
      <c r="D62" s="43" t="s">
        <v>1565</v>
      </c>
      <c r="E62" s="43" t="s">
        <v>1547</v>
      </c>
      <c r="F62" s="43" t="s">
        <v>1577</v>
      </c>
      <c r="G62" s="43" t="s">
        <v>1549</v>
      </c>
      <c r="H62" s="43" t="s">
        <v>1567</v>
      </c>
      <c r="I62" s="43" t="s">
        <v>1560</v>
      </c>
      <c r="J62" s="43">
        <v>14.04</v>
      </c>
      <c r="K62" s="43">
        <v>7.02</v>
      </c>
      <c r="L62" s="43">
        <v>7.02</v>
      </c>
    </row>
    <row r="63" spans="1:12">
      <c r="A63">
        <f t="shared" si="0"/>
        <v>2</v>
      </c>
      <c r="B63" t="str">
        <f t="shared" si="1"/>
        <v>febrero</v>
      </c>
      <c r="C63" s="55">
        <v>44252</v>
      </c>
      <c r="D63" s="43" t="s">
        <v>1570</v>
      </c>
      <c r="E63" s="43" t="s">
        <v>1547</v>
      </c>
      <c r="F63" s="43" t="s">
        <v>1558</v>
      </c>
      <c r="G63" s="43" t="s">
        <v>1554</v>
      </c>
      <c r="H63" s="43" t="s">
        <v>1567</v>
      </c>
      <c r="I63" s="43" t="s">
        <v>1560</v>
      </c>
      <c r="J63" s="43">
        <v>14.87</v>
      </c>
      <c r="K63" s="43">
        <v>7.43</v>
      </c>
      <c r="L63" s="43">
        <v>7.43</v>
      </c>
    </row>
    <row r="64" spans="1:12">
      <c r="A64">
        <f t="shared" si="0"/>
        <v>2</v>
      </c>
      <c r="B64" t="str">
        <f t="shared" si="1"/>
        <v>febrero</v>
      </c>
      <c r="C64" s="55">
        <v>44253</v>
      </c>
      <c r="D64" s="43" t="s">
        <v>1582</v>
      </c>
      <c r="E64" s="43" t="s">
        <v>1547</v>
      </c>
      <c r="F64" s="43" t="s">
        <v>1548</v>
      </c>
      <c r="G64" s="43" t="s">
        <v>1549</v>
      </c>
      <c r="H64" s="43" t="s">
        <v>1567</v>
      </c>
      <c r="I64" s="43" t="s">
        <v>1560</v>
      </c>
      <c r="J64" s="43">
        <v>26.44</v>
      </c>
      <c r="K64" s="43">
        <v>13.22</v>
      </c>
      <c r="L64" s="43">
        <v>13.22</v>
      </c>
    </row>
    <row r="65" spans="1:12">
      <c r="A65">
        <f t="shared" si="0"/>
        <v>2</v>
      </c>
      <c r="B65" t="str">
        <f t="shared" si="1"/>
        <v>febrero</v>
      </c>
      <c r="C65" s="55">
        <v>44253</v>
      </c>
      <c r="D65" s="43" t="s">
        <v>1585</v>
      </c>
      <c r="E65" s="43" t="s">
        <v>1557</v>
      </c>
      <c r="F65" s="43" t="s">
        <v>1580</v>
      </c>
      <c r="G65" s="43" t="s">
        <v>1549</v>
      </c>
      <c r="H65" s="43" t="s">
        <v>1555</v>
      </c>
      <c r="I65" s="43" t="s">
        <v>1560</v>
      </c>
      <c r="J65" s="43">
        <v>72.72</v>
      </c>
      <c r="K65" s="43">
        <v>36.36</v>
      </c>
      <c r="L65" s="43">
        <v>36.36</v>
      </c>
    </row>
    <row r="66" spans="1:12">
      <c r="A66">
        <f t="shared" si="0"/>
        <v>2</v>
      </c>
      <c r="B66" t="str">
        <f t="shared" si="1"/>
        <v>febrero</v>
      </c>
      <c r="C66" s="55">
        <v>44253</v>
      </c>
      <c r="D66" s="43" t="s">
        <v>1589</v>
      </c>
      <c r="E66" s="43" t="s">
        <v>1557</v>
      </c>
      <c r="F66" s="43" t="s">
        <v>1561</v>
      </c>
      <c r="G66" s="43" t="s">
        <v>1562</v>
      </c>
      <c r="H66" s="43" t="s">
        <v>1572</v>
      </c>
      <c r="I66" s="43" t="s">
        <v>1564</v>
      </c>
      <c r="J66" s="43">
        <v>23.13</v>
      </c>
      <c r="K66" s="43">
        <v>11.57</v>
      </c>
      <c r="L66" s="43">
        <v>11.57</v>
      </c>
    </row>
    <row r="67" spans="1:12">
      <c r="A67">
        <f t="shared" ref="A67:A130" si="8">MONTH(C67)</f>
        <v>2</v>
      </c>
      <c r="B67" t="str">
        <f t="shared" ref="B67:B130" si="9">CHOOSE(MONTH(C67),"enero","febrero","marzo","abril","mayo","junio","julio","agosto","septiembre","octubre","noviembre","diciembre")</f>
        <v>febrero</v>
      </c>
      <c r="C67" s="55">
        <v>44254</v>
      </c>
      <c r="D67" s="43" t="s">
        <v>1579</v>
      </c>
      <c r="E67" s="43" t="s">
        <v>1557</v>
      </c>
      <c r="F67" s="43" t="s">
        <v>1553</v>
      </c>
      <c r="G67" s="43" t="s">
        <v>1549</v>
      </c>
      <c r="H67" s="43" t="s">
        <v>1550</v>
      </c>
      <c r="I67" s="43" t="s">
        <v>1560</v>
      </c>
      <c r="J67" s="43">
        <v>97.51</v>
      </c>
      <c r="K67" s="43">
        <v>48.76</v>
      </c>
      <c r="L67" s="43">
        <v>48.76</v>
      </c>
    </row>
    <row r="68" spans="1:12">
      <c r="A68">
        <f t="shared" si="8"/>
        <v>2</v>
      </c>
      <c r="B68" t="str">
        <f t="shared" si="9"/>
        <v>febrero</v>
      </c>
      <c r="C68" s="55">
        <v>44255</v>
      </c>
      <c r="D68" s="43" t="s">
        <v>1570</v>
      </c>
      <c r="E68" s="43" t="s">
        <v>1557</v>
      </c>
      <c r="F68" s="43" t="s">
        <v>1558</v>
      </c>
      <c r="G68" s="43" t="s">
        <v>1554</v>
      </c>
      <c r="H68" s="43" t="s">
        <v>1563</v>
      </c>
      <c r="I68" s="43" t="s">
        <v>1564</v>
      </c>
      <c r="J68" s="43">
        <v>9.91</v>
      </c>
      <c r="K68" s="43">
        <v>4.95</v>
      </c>
      <c r="L68" s="43">
        <v>4.95</v>
      </c>
    </row>
    <row r="69" spans="1:12">
      <c r="A69">
        <f t="shared" si="8"/>
        <v>3</v>
      </c>
      <c r="B69" t="str">
        <f t="shared" si="9"/>
        <v>marzo</v>
      </c>
      <c r="C69" s="55">
        <v>44256</v>
      </c>
      <c r="D69" s="43" t="s">
        <v>1556</v>
      </c>
      <c r="E69" s="43" t="s">
        <v>1557</v>
      </c>
      <c r="F69" s="43" t="s">
        <v>1558</v>
      </c>
      <c r="G69" s="43" t="s">
        <v>1568</v>
      </c>
      <c r="H69" s="43" t="s">
        <v>1567</v>
      </c>
      <c r="I69" s="43" t="s">
        <v>1560</v>
      </c>
      <c r="J69" s="43">
        <v>9.08</v>
      </c>
      <c r="K69" s="43">
        <v>4.54</v>
      </c>
      <c r="L69" s="43">
        <v>4.54</v>
      </c>
    </row>
    <row r="70" spans="1:12">
      <c r="A70">
        <f t="shared" si="8"/>
        <v>3</v>
      </c>
      <c r="B70" t="str">
        <f t="shared" si="9"/>
        <v>marzo</v>
      </c>
      <c r="C70" s="55">
        <v>44256</v>
      </c>
      <c r="D70" s="43" t="s">
        <v>1587</v>
      </c>
      <c r="E70" s="43" t="s">
        <v>1557</v>
      </c>
      <c r="F70" s="43" t="s">
        <v>1575</v>
      </c>
      <c r="G70" s="43" t="s">
        <v>1549</v>
      </c>
      <c r="H70" s="43" t="s">
        <v>1572</v>
      </c>
      <c r="I70" s="43" t="s">
        <v>1564</v>
      </c>
      <c r="J70" s="43">
        <v>28.92</v>
      </c>
      <c r="K70" s="43">
        <v>14.46</v>
      </c>
      <c r="L70" s="43">
        <v>14.46</v>
      </c>
    </row>
    <row r="71" spans="1:12">
      <c r="A71">
        <f t="shared" si="8"/>
        <v>3</v>
      </c>
      <c r="B71" t="str">
        <f t="shared" si="9"/>
        <v>marzo</v>
      </c>
      <c r="C71" s="55">
        <v>44263</v>
      </c>
      <c r="D71" s="43" t="s">
        <v>1588</v>
      </c>
      <c r="E71" s="43" t="s">
        <v>1557</v>
      </c>
      <c r="F71" s="43" t="s">
        <v>1548</v>
      </c>
      <c r="G71" s="43" t="s">
        <v>1568</v>
      </c>
      <c r="H71" s="43" t="s">
        <v>1563</v>
      </c>
      <c r="I71" s="43" t="s">
        <v>1560</v>
      </c>
      <c r="J71" s="43">
        <v>23.96</v>
      </c>
      <c r="K71" s="43">
        <v>11.98</v>
      </c>
      <c r="L71" s="43">
        <v>11.98</v>
      </c>
    </row>
    <row r="72" spans="1:12">
      <c r="A72">
        <f t="shared" si="8"/>
        <v>3</v>
      </c>
      <c r="B72" t="str">
        <f t="shared" si="9"/>
        <v>marzo</v>
      </c>
      <c r="C72" s="55">
        <v>44264</v>
      </c>
      <c r="D72" s="43" t="s">
        <v>1565</v>
      </c>
      <c r="E72" s="43" t="s">
        <v>1547</v>
      </c>
      <c r="F72" s="43" t="s">
        <v>1575</v>
      </c>
      <c r="G72" s="43" t="s">
        <v>1554</v>
      </c>
      <c r="H72" s="43" t="s">
        <v>1572</v>
      </c>
      <c r="I72" s="43" t="s">
        <v>1551</v>
      </c>
      <c r="J72" s="43">
        <v>34.700000000000003</v>
      </c>
      <c r="K72" s="43">
        <v>17.350000000000001</v>
      </c>
      <c r="L72" s="43">
        <v>17.350000000000001</v>
      </c>
    </row>
    <row r="73" spans="1:12">
      <c r="A73">
        <f t="shared" si="8"/>
        <v>3</v>
      </c>
      <c r="B73" t="str">
        <f t="shared" si="9"/>
        <v>marzo</v>
      </c>
      <c r="C73" s="55">
        <v>44265</v>
      </c>
      <c r="D73" s="43" t="s">
        <v>1571</v>
      </c>
      <c r="E73" s="43" t="s">
        <v>1547</v>
      </c>
      <c r="F73" s="43" t="s">
        <v>1577</v>
      </c>
      <c r="G73" s="43" t="s">
        <v>1562</v>
      </c>
      <c r="H73" s="43" t="s">
        <v>1555</v>
      </c>
      <c r="I73" s="43" t="s">
        <v>1551</v>
      </c>
      <c r="J73" s="43">
        <v>8.26</v>
      </c>
      <c r="K73" s="43">
        <v>4.13</v>
      </c>
      <c r="L73" s="43">
        <v>4.13</v>
      </c>
    </row>
    <row r="74" spans="1:12">
      <c r="A74">
        <f t="shared" si="8"/>
        <v>3</v>
      </c>
      <c r="B74" t="str">
        <f t="shared" si="9"/>
        <v>marzo</v>
      </c>
      <c r="C74" s="55">
        <v>44266</v>
      </c>
      <c r="D74" s="43" t="s">
        <v>1586</v>
      </c>
      <c r="E74" s="43" t="s">
        <v>1547</v>
      </c>
      <c r="F74" s="43" t="s">
        <v>1553</v>
      </c>
      <c r="G74" s="43" t="s">
        <v>1562</v>
      </c>
      <c r="H74" s="43" t="s">
        <v>1555</v>
      </c>
      <c r="I74" s="43" t="s">
        <v>1551</v>
      </c>
      <c r="J74" s="43">
        <v>120</v>
      </c>
      <c r="K74" s="43">
        <v>60</v>
      </c>
      <c r="L74" s="43">
        <v>60</v>
      </c>
    </row>
    <row r="75" spans="1:12">
      <c r="A75">
        <f t="shared" si="8"/>
        <v>3</v>
      </c>
      <c r="B75" t="str">
        <f t="shared" si="9"/>
        <v>marzo</v>
      </c>
      <c r="C75" s="55">
        <v>44265</v>
      </c>
      <c r="D75" s="43" t="s">
        <v>1589</v>
      </c>
      <c r="E75" s="43" t="s">
        <v>1557</v>
      </c>
      <c r="F75" s="43" t="s">
        <v>1575</v>
      </c>
      <c r="G75" s="43" t="s">
        <v>1562</v>
      </c>
      <c r="H75" s="43" t="s">
        <v>1563</v>
      </c>
      <c r="I75" s="43" t="s">
        <v>1564</v>
      </c>
      <c r="J75" s="43">
        <v>35.53</v>
      </c>
      <c r="K75" s="43">
        <v>17.760000000000002</v>
      </c>
      <c r="L75" s="43">
        <v>17.760000000000002</v>
      </c>
    </row>
    <row r="76" spans="1:12">
      <c r="A76">
        <f t="shared" si="8"/>
        <v>3</v>
      </c>
      <c r="B76" t="str">
        <f t="shared" si="9"/>
        <v>marzo</v>
      </c>
      <c r="C76" s="55">
        <v>44268</v>
      </c>
      <c r="D76" s="43" t="s">
        <v>1581</v>
      </c>
      <c r="E76" s="43" t="s">
        <v>1547</v>
      </c>
      <c r="F76" s="43" t="s">
        <v>1558</v>
      </c>
      <c r="G76" s="43" t="s">
        <v>1549</v>
      </c>
      <c r="H76" s="43" t="s">
        <v>1563</v>
      </c>
      <c r="I76" s="43" t="s">
        <v>1560</v>
      </c>
      <c r="J76" s="43">
        <v>9.91</v>
      </c>
      <c r="K76" s="43">
        <v>4.95</v>
      </c>
      <c r="L76" s="43">
        <v>4.95</v>
      </c>
    </row>
    <row r="77" spans="1:12">
      <c r="A77">
        <f t="shared" si="8"/>
        <v>3</v>
      </c>
      <c r="B77" t="str">
        <f t="shared" si="9"/>
        <v>marzo</v>
      </c>
      <c r="C77" s="55">
        <v>44268</v>
      </c>
      <c r="D77" s="43" t="s">
        <v>1582</v>
      </c>
      <c r="E77" s="43" t="s">
        <v>1557</v>
      </c>
      <c r="F77" s="43" t="s">
        <v>1580</v>
      </c>
      <c r="G77" s="43" t="s">
        <v>1549</v>
      </c>
      <c r="H77" s="43" t="s">
        <v>1572</v>
      </c>
      <c r="I77" s="43" t="s">
        <v>1564</v>
      </c>
      <c r="J77" s="43">
        <v>65.28</v>
      </c>
      <c r="K77" s="43">
        <v>32.64</v>
      </c>
      <c r="L77" s="43">
        <v>32.64</v>
      </c>
    </row>
    <row r="78" spans="1:12">
      <c r="A78">
        <f t="shared" si="8"/>
        <v>3</v>
      </c>
      <c r="B78" t="str">
        <f t="shared" si="9"/>
        <v>marzo</v>
      </c>
      <c r="C78" s="55">
        <v>44271</v>
      </c>
      <c r="D78" s="43" t="s">
        <v>1552</v>
      </c>
      <c r="E78" s="43" t="s">
        <v>1547</v>
      </c>
      <c r="F78" s="43" t="s">
        <v>1566</v>
      </c>
      <c r="G78" s="43" t="s">
        <v>1554</v>
      </c>
      <c r="H78" s="43" t="s">
        <v>1563</v>
      </c>
      <c r="I78" s="43" t="s">
        <v>1551</v>
      </c>
      <c r="J78" s="43">
        <v>22.31</v>
      </c>
      <c r="K78" s="43">
        <v>11.15</v>
      </c>
      <c r="L78" s="43">
        <v>11.15</v>
      </c>
    </row>
    <row r="79" spans="1:12">
      <c r="A79">
        <f t="shared" si="8"/>
        <v>3</v>
      </c>
      <c r="B79" t="str">
        <f t="shared" si="9"/>
        <v>marzo</v>
      </c>
      <c r="C79" s="55">
        <v>44272</v>
      </c>
      <c r="D79" s="43" t="s">
        <v>1583</v>
      </c>
      <c r="E79" s="43" t="s">
        <v>1557</v>
      </c>
      <c r="F79" s="43" t="s">
        <v>1558</v>
      </c>
      <c r="G79" s="43" t="s">
        <v>1549</v>
      </c>
      <c r="H79" s="43" t="s">
        <v>1567</v>
      </c>
      <c r="I79" s="43" t="s">
        <v>1564</v>
      </c>
      <c r="J79" s="43">
        <v>14.04</v>
      </c>
      <c r="K79" s="43">
        <v>7.02</v>
      </c>
      <c r="L79" s="43">
        <v>7.02</v>
      </c>
    </row>
    <row r="80" spans="1:12">
      <c r="A80">
        <f t="shared" si="8"/>
        <v>3</v>
      </c>
      <c r="B80" t="str">
        <f t="shared" si="9"/>
        <v>marzo</v>
      </c>
      <c r="C80" s="55">
        <v>44274</v>
      </c>
      <c r="D80" s="43" t="s">
        <v>1581</v>
      </c>
      <c r="E80" s="43" t="s">
        <v>1547</v>
      </c>
      <c r="F80" s="43" t="s">
        <v>1566</v>
      </c>
      <c r="G80" s="43" t="s">
        <v>1549</v>
      </c>
      <c r="H80" s="43" t="s">
        <v>1563</v>
      </c>
      <c r="I80" s="43" t="s">
        <v>1551</v>
      </c>
      <c r="J80" s="43">
        <v>21</v>
      </c>
      <c r="K80" s="43">
        <v>10.5</v>
      </c>
      <c r="L80" s="43">
        <v>10.5</v>
      </c>
    </row>
    <row r="81" spans="1:12">
      <c r="A81">
        <f t="shared" si="8"/>
        <v>3</v>
      </c>
      <c r="B81" t="str">
        <f t="shared" si="9"/>
        <v>marzo</v>
      </c>
      <c r="C81" s="55">
        <v>44276</v>
      </c>
      <c r="D81" s="43" t="s">
        <v>1587</v>
      </c>
      <c r="E81" s="43" t="s">
        <v>1547</v>
      </c>
      <c r="F81" s="43" t="s">
        <v>1558</v>
      </c>
      <c r="G81" s="43" t="s">
        <v>1554</v>
      </c>
      <c r="H81" s="43" t="s">
        <v>1555</v>
      </c>
      <c r="I81" s="43" t="s">
        <v>1551</v>
      </c>
      <c r="J81" s="43">
        <v>17.350000000000001</v>
      </c>
      <c r="K81" s="43">
        <v>8.67</v>
      </c>
      <c r="L81" s="43">
        <v>8.67</v>
      </c>
    </row>
    <row r="82" spans="1:12">
      <c r="A82">
        <f t="shared" si="8"/>
        <v>3</v>
      </c>
      <c r="B82" t="str">
        <f t="shared" si="9"/>
        <v>marzo</v>
      </c>
      <c r="C82" s="55">
        <v>44276</v>
      </c>
      <c r="D82" s="43" t="s">
        <v>1581</v>
      </c>
      <c r="E82" s="43" t="s">
        <v>1557</v>
      </c>
      <c r="F82" s="43" t="s">
        <v>1575</v>
      </c>
      <c r="G82" s="43" t="s">
        <v>1549</v>
      </c>
      <c r="H82" s="43" t="s">
        <v>1559</v>
      </c>
      <c r="I82" s="43" t="s">
        <v>1564</v>
      </c>
      <c r="J82" s="43">
        <v>29.74</v>
      </c>
      <c r="K82" s="43">
        <v>14.87</v>
      </c>
      <c r="L82" s="43">
        <v>14.87</v>
      </c>
    </row>
    <row r="83" spans="1:12">
      <c r="A83">
        <f t="shared" si="8"/>
        <v>3</v>
      </c>
      <c r="B83" t="str">
        <f t="shared" si="9"/>
        <v>marzo</v>
      </c>
      <c r="C83" s="55">
        <v>44280</v>
      </c>
      <c r="D83" s="43" t="s">
        <v>1552</v>
      </c>
      <c r="E83" s="43" t="s">
        <v>1557</v>
      </c>
      <c r="F83" s="43" t="s">
        <v>1548</v>
      </c>
      <c r="G83" s="43" t="s">
        <v>1554</v>
      </c>
      <c r="H83" s="43" t="s">
        <v>1569</v>
      </c>
      <c r="I83" s="43" t="s">
        <v>1564</v>
      </c>
      <c r="J83" s="43">
        <v>18.170000000000002</v>
      </c>
      <c r="K83" s="43">
        <v>9.09</v>
      </c>
      <c r="L83" s="43">
        <v>9.09</v>
      </c>
    </row>
    <row r="84" spans="1:12">
      <c r="A84">
        <f t="shared" si="8"/>
        <v>3</v>
      </c>
      <c r="B84" t="str">
        <f t="shared" si="9"/>
        <v>marzo</v>
      </c>
      <c r="C84" s="55">
        <v>44280</v>
      </c>
      <c r="D84" s="43" t="s">
        <v>1552</v>
      </c>
      <c r="E84" s="43" t="s">
        <v>1547</v>
      </c>
      <c r="F84" s="43" t="s">
        <v>1566</v>
      </c>
      <c r="G84" s="43" t="s">
        <v>1549</v>
      </c>
      <c r="H84" s="43" t="s">
        <v>1567</v>
      </c>
      <c r="I84" s="43" t="s">
        <v>1551</v>
      </c>
      <c r="J84" s="43">
        <v>21</v>
      </c>
      <c r="K84" s="43">
        <v>10.5</v>
      </c>
      <c r="L84" s="43">
        <v>10.5</v>
      </c>
    </row>
    <row r="85" spans="1:12">
      <c r="A85">
        <f t="shared" si="8"/>
        <v>3</v>
      </c>
      <c r="B85" t="str">
        <f t="shared" si="9"/>
        <v>marzo</v>
      </c>
      <c r="C85" s="55">
        <v>44281</v>
      </c>
      <c r="D85" s="43" t="s">
        <v>1589</v>
      </c>
      <c r="E85" s="43" t="s">
        <v>1557</v>
      </c>
      <c r="F85" s="43" t="s">
        <v>1577</v>
      </c>
      <c r="G85" s="43" t="s">
        <v>1568</v>
      </c>
      <c r="H85" s="43" t="s">
        <v>1572</v>
      </c>
      <c r="I85" s="43" t="s">
        <v>1560</v>
      </c>
      <c r="J85" s="43">
        <v>3.3</v>
      </c>
      <c r="K85" s="43">
        <v>1.65</v>
      </c>
      <c r="L85" s="43">
        <v>1.65</v>
      </c>
    </row>
    <row r="86" spans="1:12">
      <c r="A86">
        <f t="shared" si="8"/>
        <v>3</v>
      </c>
      <c r="B86" t="str">
        <f t="shared" si="9"/>
        <v>marzo</v>
      </c>
      <c r="C86" s="55">
        <v>44282</v>
      </c>
      <c r="D86" s="43" t="s">
        <v>1585</v>
      </c>
      <c r="E86" s="43" t="s">
        <v>1557</v>
      </c>
      <c r="F86" s="43" t="s">
        <v>1575</v>
      </c>
      <c r="G86" s="43" t="s">
        <v>1562</v>
      </c>
      <c r="H86" s="43" t="s">
        <v>1555</v>
      </c>
      <c r="I86" s="43" t="s">
        <v>1564</v>
      </c>
      <c r="J86" s="43">
        <v>21.48</v>
      </c>
      <c r="K86" s="43">
        <v>10.74</v>
      </c>
      <c r="L86" s="43">
        <v>10.74</v>
      </c>
    </row>
    <row r="87" spans="1:12">
      <c r="A87">
        <f t="shared" si="8"/>
        <v>3</v>
      </c>
      <c r="B87" t="str">
        <f t="shared" si="9"/>
        <v>marzo</v>
      </c>
      <c r="C87" s="55">
        <v>44283</v>
      </c>
      <c r="D87" s="43" t="s">
        <v>1582</v>
      </c>
      <c r="E87" s="43" t="s">
        <v>1547</v>
      </c>
      <c r="F87" s="43" t="s">
        <v>1561</v>
      </c>
      <c r="G87" s="43" t="s">
        <v>1554</v>
      </c>
      <c r="H87" s="43" t="s">
        <v>1567</v>
      </c>
      <c r="I87" s="43" t="s">
        <v>1560</v>
      </c>
      <c r="J87" s="43">
        <v>21.48</v>
      </c>
      <c r="K87" s="43">
        <v>10.74</v>
      </c>
      <c r="L87" s="43">
        <v>10.74</v>
      </c>
    </row>
    <row r="88" spans="1:12">
      <c r="A88">
        <f t="shared" si="8"/>
        <v>3</v>
      </c>
      <c r="B88" t="str">
        <f t="shared" si="9"/>
        <v>marzo</v>
      </c>
      <c r="C88" s="55">
        <v>44286</v>
      </c>
      <c r="D88" s="43" t="s">
        <v>1581</v>
      </c>
      <c r="E88" s="43" t="s">
        <v>1547</v>
      </c>
      <c r="F88" s="43" t="s">
        <v>1566</v>
      </c>
      <c r="G88" s="43" t="s">
        <v>1562</v>
      </c>
      <c r="H88" s="43" t="s">
        <v>1550</v>
      </c>
      <c r="I88" s="43" t="s">
        <v>1560</v>
      </c>
      <c r="J88" s="43">
        <v>26.44</v>
      </c>
      <c r="K88" s="43">
        <v>13.22</v>
      </c>
      <c r="L88" s="43">
        <v>13.22</v>
      </c>
    </row>
    <row r="89" spans="1:12">
      <c r="A89">
        <f t="shared" si="8"/>
        <v>4</v>
      </c>
      <c r="B89" t="str">
        <f t="shared" si="9"/>
        <v>abril</v>
      </c>
      <c r="C89" s="55">
        <v>44288</v>
      </c>
      <c r="D89" s="43" t="s">
        <v>1579</v>
      </c>
      <c r="E89" s="43" t="s">
        <v>1557</v>
      </c>
      <c r="F89" s="43" t="s">
        <v>1580</v>
      </c>
      <c r="G89" s="43" t="s">
        <v>1554</v>
      </c>
      <c r="H89" s="43" t="s">
        <v>1559</v>
      </c>
      <c r="I89" s="43" t="s">
        <v>1564</v>
      </c>
      <c r="J89" s="43">
        <v>85.94</v>
      </c>
      <c r="K89" s="43">
        <v>42.97</v>
      </c>
      <c r="L89" s="43">
        <v>42.97</v>
      </c>
    </row>
    <row r="90" spans="1:12">
      <c r="A90">
        <f t="shared" si="8"/>
        <v>4</v>
      </c>
      <c r="B90" t="str">
        <f t="shared" si="9"/>
        <v>abril</v>
      </c>
      <c r="C90" s="55">
        <v>44288</v>
      </c>
      <c r="D90" s="43" t="s">
        <v>1570</v>
      </c>
      <c r="E90" s="43" t="s">
        <v>1547</v>
      </c>
      <c r="F90" s="43" t="s">
        <v>1566</v>
      </c>
      <c r="G90" s="43" t="s">
        <v>1554</v>
      </c>
      <c r="H90" s="43" t="s">
        <v>1563</v>
      </c>
      <c r="I90" s="43" t="s">
        <v>1551</v>
      </c>
      <c r="J90" s="43">
        <v>24</v>
      </c>
      <c r="K90" s="43">
        <v>12</v>
      </c>
      <c r="L90" s="43">
        <v>12</v>
      </c>
    </row>
    <row r="91" spans="1:12">
      <c r="A91">
        <f t="shared" si="8"/>
        <v>4</v>
      </c>
      <c r="B91" t="str">
        <f t="shared" si="9"/>
        <v>abril</v>
      </c>
      <c r="C91" s="55">
        <v>44288</v>
      </c>
      <c r="D91" s="43" t="s">
        <v>1574</v>
      </c>
      <c r="E91" s="43" t="s">
        <v>1557</v>
      </c>
      <c r="F91" s="43" t="s">
        <v>1561</v>
      </c>
      <c r="G91" s="43" t="s">
        <v>1562</v>
      </c>
      <c r="H91" s="43" t="s">
        <v>1559</v>
      </c>
      <c r="I91" s="43" t="s">
        <v>1560</v>
      </c>
      <c r="J91" s="43">
        <v>16.52</v>
      </c>
      <c r="K91" s="43">
        <v>8.26</v>
      </c>
      <c r="L91" s="43">
        <v>8.26</v>
      </c>
    </row>
    <row r="92" spans="1:12">
      <c r="A92">
        <f t="shared" si="8"/>
        <v>4</v>
      </c>
      <c r="B92" t="str">
        <f t="shared" si="9"/>
        <v>abril</v>
      </c>
      <c r="C92" s="55">
        <v>44289</v>
      </c>
      <c r="D92" s="43" t="s">
        <v>1586</v>
      </c>
      <c r="E92" s="43" t="s">
        <v>1547</v>
      </c>
      <c r="F92" s="43" t="s">
        <v>1553</v>
      </c>
      <c r="G92" s="43" t="s">
        <v>1554</v>
      </c>
      <c r="H92" s="43" t="s">
        <v>1550</v>
      </c>
      <c r="I92" s="43" t="s">
        <v>1551</v>
      </c>
      <c r="J92" s="43">
        <v>63.63</v>
      </c>
      <c r="K92" s="43">
        <v>31.81</v>
      </c>
      <c r="L92" s="43">
        <v>31.81</v>
      </c>
    </row>
    <row r="93" spans="1:12">
      <c r="A93">
        <f t="shared" si="8"/>
        <v>4</v>
      </c>
      <c r="B93" t="str">
        <f t="shared" si="9"/>
        <v>abril</v>
      </c>
      <c r="C93" s="55">
        <v>44291</v>
      </c>
      <c r="D93" s="43" t="s">
        <v>1586</v>
      </c>
      <c r="E93" s="43" t="s">
        <v>1547</v>
      </c>
      <c r="F93" s="43" t="s">
        <v>1577</v>
      </c>
      <c r="G93" s="43" t="s">
        <v>1562</v>
      </c>
      <c r="H93" s="43" t="s">
        <v>1550</v>
      </c>
      <c r="I93" s="43" t="s">
        <v>1560</v>
      </c>
      <c r="J93" s="43">
        <v>3.3</v>
      </c>
      <c r="K93" s="43">
        <v>1.65</v>
      </c>
      <c r="L93" s="43">
        <v>1.65</v>
      </c>
    </row>
    <row r="94" spans="1:12">
      <c r="A94">
        <f t="shared" si="8"/>
        <v>4</v>
      </c>
      <c r="B94" t="str">
        <f t="shared" si="9"/>
        <v>abril</v>
      </c>
      <c r="C94" s="55">
        <v>44292</v>
      </c>
      <c r="D94" s="43" t="s">
        <v>1570</v>
      </c>
      <c r="E94" s="43" t="s">
        <v>1557</v>
      </c>
      <c r="F94" s="43" t="s">
        <v>1561</v>
      </c>
      <c r="G94" s="43" t="s">
        <v>1568</v>
      </c>
      <c r="H94" s="43" t="s">
        <v>1555</v>
      </c>
      <c r="I94" s="43" t="s">
        <v>1564</v>
      </c>
      <c r="J94" s="43">
        <v>18.170000000000002</v>
      </c>
      <c r="K94" s="43">
        <v>9.09</v>
      </c>
      <c r="L94" s="43">
        <v>9.09</v>
      </c>
    </row>
    <row r="95" spans="1:12">
      <c r="A95">
        <f t="shared" si="8"/>
        <v>4</v>
      </c>
      <c r="B95" t="str">
        <f t="shared" si="9"/>
        <v>abril</v>
      </c>
      <c r="C95" s="55">
        <v>44293</v>
      </c>
      <c r="D95" s="43" t="s">
        <v>1556</v>
      </c>
      <c r="E95" s="43" t="s">
        <v>1557</v>
      </c>
      <c r="F95" s="43" t="s">
        <v>1561</v>
      </c>
      <c r="G95" s="43" t="s">
        <v>1562</v>
      </c>
      <c r="H95" s="43" t="s">
        <v>1569</v>
      </c>
      <c r="I95" s="43" t="s">
        <v>1564</v>
      </c>
      <c r="J95" s="43">
        <v>17.350000000000001</v>
      </c>
      <c r="K95" s="43">
        <v>8.67</v>
      </c>
      <c r="L95" s="43">
        <v>8.67</v>
      </c>
    </row>
    <row r="96" spans="1:12">
      <c r="A96">
        <f t="shared" si="8"/>
        <v>4</v>
      </c>
      <c r="B96" t="str">
        <f t="shared" si="9"/>
        <v>abril</v>
      </c>
      <c r="C96" s="55">
        <v>44296</v>
      </c>
      <c r="D96" s="43" t="s">
        <v>1586</v>
      </c>
      <c r="E96" s="43" t="s">
        <v>1547</v>
      </c>
      <c r="F96" s="43" t="s">
        <v>1566</v>
      </c>
      <c r="G96" s="43" t="s">
        <v>1549</v>
      </c>
      <c r="H96" s="43" t="s">
        <v>1559</v>
      </c>
      <c r="I96" s="43" t="s">
        <v>1551</v>
      </c>
      <c r="J96" s="43">
        <v>25</v>
      </c>
      <c r="K96" s="43">
        <v>12.5</v>
      </c>
      <c r="L96" s="43">
        <v>12.5</v>
      </c>
    </row>
    <row r="97" spans="1:12">
      <c r="A97">
        <f t="shared" si="8"/>
        <v>4</v>
      </c>
      <c r="B97" t="str">
        <f t="shared" si="9"/>
        <v>abril</v>
      </c>
      <c r="C97" s="55">
        <v>44297</v>
      </c>
      <c r="D97" s="43" t="s">
        <v>1588</v>
      </c>
      <c r="E97" s="43" t="s">
        <v>1557</v>
      </c>
      <c r="F97" s="43" t="s">
        <v>1553</v>
      </c>
      <c r="G97" s="43" t="s">
        <v>1568</v>
      </c>
      <c r="H97" s="43" t="s">
        <v>1563</v>
      </c>
      <c r="I97" s="43" t="s">
        <v>1560</v>
      </c>
      <c r="J97" s="43">
        <v>90.07</v>
      </c>
      <c r="K97" s="43">
        <v>45.04</v>
      </c>
      <c r="L97" s="43">
        <v>45.04</v>
      </c>
    </row>
    <row r="98" spans="1:12">
      <c r="A98">
        <f t="shared" si="8"/>
        <v>4</v>
      </c>
      <c r="B98" t="str">
        <f t="shared" si="9"/>
        <v>abril</v>
      </c>
      <c r="C98" s="55">
        <v>44297</v>
      </c>
      <c r="D98" s="43" t="s">
        <v>1587</v>
      </c>
      <c r="E98" s="43" t="s">
        <v>1557</v>
      </c>
      <c r="F98" s="43" t="s">
        <v>1548</v>
      </c>
      <c r="G98" s="43" t="s">
        <v>1549</v>
      </c>
      <c r="H98" s="43" t="s">
        <v>1569</v>
      </c>
      <c r="I98" s="43" t="s">
        <v>1564</v>
      </c>
      <c r="J98" s="43">
        <v>19</v>
      </c>
      <c r="K98" s="43">
        <v>9.5</v>
      </c>
      <c r="L98" s="43">
        <v>9.5</v>
      </c>
    </row>
    <row r="99" spans="1:12">
      <c r="A99">
        <f t="shared" si="8"/>
        <v>4</v>
      </c>
      <c r="B99" t="str">
        <f t="shared" si="9"/>
        <v>abril</v>
      </c>
      <c r="C99" s="55">
        <v>44298</v>
      </c>
      <c r="D99" s="43" t="s">
        <v>1582</v>
      </c>
      <c r="E99" s="43" t="s">
        <v>1547</v>
      </c>
      <c r="F99" s="43" t="s">
        <v>1566</v>
      </c>
      <c r="G99" s="43" t="s">
        <v>1568</v>
      </c>
      <c r="H99" s="43" t="s">
        <v>1555</v>
      </c>
      <c r="I99" s="43" t="s">
        <v>1551</v>
      </c>
      <c r="J99" s="43">
        <v>19</v>
      </c>
      <c r="K99" s="43">
        <v>9.5</v>
      </c>
      <c r="L99" s="43">
        <v>9.5</v>
      </c>
    </row>
    <row r="100" spans="1:12">
      <c r="A100">
        <f t="shared" si="8"/>
        <v>4</v>
      </c>
      <c r="B100" t="str">
        <f t="shared" si="9"/>
        <v>abril</v>
      </c>
      <c r="C100" s="55">
        <v>44300</v>
      </c>
      <c r="D100" s="43" t="s">
        <v>1579</v>
      </c>
      <c r="E100" s="43" t="s">
        <v>1547</v>
      </c>
      <c r="F100" s="43" t="s">
        <v>1566</v>
      </c>
      <c r="G100" s="43" t="s">
        <v>1568</v>
      </c>
      <c r="H100" s="43" t="s">
        <v>1550</v>
      </c>
      <c r="I100" s="43" t="s">
        <v>1551</v>
      </c>
      <c r="J100" s="43">
        <v>25</v>
      </c>
      <c r="K100" s="43">
        <v>12.5</v>
      </c>
      <c r="L100" s="43">
        <v>12.5</v>
      </c>
    </row>
    <row r="101" spans="1:12">
      <c r="A101">
        <f t="shared" si="8"/>
        <v>4</v>
      </c>
      <c r="B101" t="str">
        <f t="shared" si="9"/>
        <v>abril</v>
      </c>
      <c r="C101" s="55">
        <v>44301</v>
      </c>
      <c r="D101" s="43" t="s">
        <v>1570</v>
      </c>
      <c r="E101" s="43" t="s">
        <v>1547</v>
      </c>
      <c r="F101" s="43" t="s">
        <v>1577</v>
      </c>
      <c r="G101" s="43" t="s">
        <v>1562</v>
      </c>
      <c r="H101" s="43" t="s">
        <v>1569</v>
      </c>
      <c r="I101" s="43" t="s">
        <v>1551</v>
      </c>
      <c r="J101" s="43">
        <v>3.3</v>
      </c>
      <c r="K101" s="43">
        <v>1.65</v>
      </c>
      <c r="L101" s="43">
        <v>1.65</v>
      </c>
    </row>
    <row r="102" spans="1:12">
      <c r="A102">
        <f t="shared" si="8"/>
        <v>4</v>
      </c>
      <c r="B102" t="str">
        <f t="shared" si="9"/>
        <v>abril</v>
      </c>
      <c r="C102" s="55">
        <v>44301</v>
      </c>
      <c r="D102" s="43" t="s">
        <v>1565</v>
      </c>
      <c r="E102" s="43" t="s">
        <v>1557</v>
      </c>
      <c r="F102" s="43" t="s">
        <v>1561</v>
      </c>
      <c r="G102" s="43" t="s">
        <v>1549</v>
      </c>
      <c r="H102" s="43" t="s">
        <v>1559</v>
      </c>
      <c r="I102" s="43" t="s">
        <v>1560</v>
      </c>
      <c r="J102" s="43">
        <v>11.56</v>
      </c>
      <c r="K102" s="43">
        <v>5.78</v>
      </c>
      <c r="L102" s="43">
        <v>5.78</v>
      </c>
    </row>
    <row r="103" spans="1:12">
      <c r="A103">
        <f t="shared" si="8"/>
        <v>4</v>
      </c>
      <c r="B103" t="str">
        <f t="shared" si="9"/>
        <v>abril</v>
      </c>
      <c r="C103" s="55">
        <v>44302</v>
      </c>
      <c r="D103" s="43" t="s">
        <v>1552</v>
      </c>
      <c r="E103" s="43" t="s">
        <v>1547</v>
      </c>
      <c r="F103" s="43" t="s">
        <v>1566</v>
      </c>
      <c r="G103" s="43" t="s">
        <v>1562</v>
      </c>
      <c r="H103" s="43" t="s">
        <v>1559</v>
      </c>
      <c r="I103" s="43" t="s">
        <v>1560</v>
      </c>
      <c r="J103" s="43">
        <v>28.09</v>
      </c>
      <c r="K103" s="43">
        <v>14.05</v>
      </c>
      <c r="L103" s="43">
        <v>14.05</v>
      </c>
    </row>
    <row r="104" spans="1:12">
      <c r="A104">
        <f t="shared" si="8"/>
        <v>4</v>
      </c>
      <c r="B104" t="str">
        <f t="shared" si="9"/>
        <v>abril</v>
      </c>
      <c r="C104" s="55">
        <v>44302</v>
      </c>
      <c r="D104" s="43" t="s">
        <v>1556</v>
      </c>
      <c r="E104" s="43" t="s">
        <v>1557</v>
      </c>
      <c r="F104" s="43" t="s">
        <v>1553</v>
      </c>
      <c r="G104" s="43" t="s">
        <v>1549</v>
      </c>
      <c r="H104" s="43" t="s">
        <v>1569</v>
      </c>
      <c r="I104" s="43" t="s">
        <v>1560</v>
      </c>
      <c r="J104" s="43">
        <v>79.33</v>
      </c>
      <c r="K104" s="43">
        <v>39.67</v>
      </c>
      <c r="L104" s="43">
        <v>39.67</v>
      </c>
    </row>
    <row r="105" spans="1:12">
      <c r="A105">
        <f t="shared" si="8"/>
        <v>4</v>
      </c>
      <c r="B105" t="str">
        <f t="shared" si="9"/>
        <v>abril</v>
      </c>
      <c r="C105" s="55">
        <v>44302</v>
      </c>
      <c r="D105" s="43" t="s">
        <v>1546</v>
      </c>
      <c r="E105" s="43" t="s">
        <v>1547</v>
      </c>
      <c r="F105" s="43" t="s">
        <v>1575</v>
      </c>
      <c r="G105" s="43" t="s">
        <v>1554</v>
      </c>
      <c r="H105" s="43" t="s">
        <v>1550</v>
      </c>
      <c r="I105" s="43" t="s">
        <v>1551</v>
      </c>
      <c r="J105" s="43">
        <v>24.79</v>
      </c>
      <c r="K105" s="43">
        <v>12.39</v>
      </c>
      <c r="L105" s="43">
        <v>12.39</v>
      </c>
    </row>
    <row r="106" spans="1:12">
      <c r="A106">
        <f t="shared" si="8"/>
        <v>4</v>
      </c>
      <c r="B106" t="str">
        <f t="shared" si="9"/>
        <v>abril</v>
      </c>
      <c r="C106" s="55">
        <v>44303</v>
      </c>
      <c r="D106" s="43" t="s">
        <v>1579</v>
      </c>
      <c r="E106" s="43" t="s">
        <v>1547</v>
      </c>
      <c r="F106" s="43" t="s">
        <v>1558</v>
      </c>
      <c r="G106" s="43" t="s">
        <v>1568</v>
      </c>
      <c r="H106" s="43" t="s">
        <v>1567</v>
      </c>
      <c r="I106" s="43" t="s">
        <v>1551</v>
      </c>
      <c r="J106" s="43">
        <v>13.21</v>
      </c>
      <c r="K106" s="43">
        <v>6.61</v>
      </c>
      <c r="L106" s="43">
        <v>6.61</v>
      </c>
    </row>
    <row r="107" spans="1:12">
      <c r="A107">
        <f t="shared" si="8"/>
        <v>4</v>
      </c>
      <c r="B107" t="str">
        <f t="shared" si="9"/>
        <v>abril</v>
      </c>
      <c r="C107" s="55">
        <v>44305</v>
      </c>
      <c r="D107" s="43" t="s">
        <v>1552</v>
      </c>
      <c r="E107" s="43" t="s">
        <v>1557</v>
      </c>
      <c r="F107" s="43" t="s">
        <v>1561</v>
      </c>
      <c r="G107" s="43" t="s">
        <v>1568</v>
      </c>
      <c r="H107" s="43" t="s">
        <v>1578</v>
      </c>
      <c r="I107" s="43" t="s">
        <v>1560</v>
      </c>
      <c r="J107" s="43">
        <v>19</v>
      </c>
      <c r="K107" s="43">
        <v>9.5</v>
      </c>
      <c r="L107" s="43">
        <v>9.5</v>
      </c>
    </row>
    <row r="108" spans="1:12">
      <c r="A108">
        <f t="shared" si="8"/>
        <v>4</v>
      </c>
      <c r="B108" t="str">
        <f t="shared" si="9"/>
        <v>abril</v>
      </c>
      <c r="C108" s="55">
        <v>44305</v>
      </c>
      <c r="D108" s="43" t="s">
        <v>1586</v>
      </c>
      <c r="E108" s="43" t="s">
        <v>1547</v>
      </c>
      <c r="F108" s="43" t="s">
        <v>1577</v>
      </c>
      <c r="G108" s="43" t="s">
        <v>1568</v>
      </c>
      <c r="H108" s="43" t="s">
        <v>1567</v>
      </c>
      <c r="I108" s="43" t="s">
        <v>1551</v>
      </c>
      <c r="J108" s="43">
        <v>14.87</v>
      </c>
      <c r="K108" s="43">
        <v>7.43</v>
      </c>
      <c r="L108" s="43">
        <v>7.43</v>
      </c>
    </row>
    <row r="109" spans="1:12">
      <c r="A109">
        <f t="shared" si="8"/>
        <v>4</v>
      </c>
      <c r="B109" t="str">
        <f t="shared" si="9"/>
        <v>abril</v>
      </c>
      <c r="C109" s="55">
        <v>44306</v>
      </c>
      <c r="D109" s="43" t="s">
        <v>1586</v>
      </c>
      <c r="E109" s="43" t="s">
        <v>1557</v>
      </c>
      <c r="F109" s="43" t="s">
        <v>1561</v>
      </c>
      <c r="G109" s="43" t="s">
        <v>1549</v>
      </c>
      <c r="H109" s="43" t="s">
        <v>1572</v>
      </c>
      <c r="I109" s="43" t="s">
        <v>1560</v>
      </c>
      <c r="J109" s="43">
        <v>23.13</v>
      </c>
      <c r="K109" s="43">
        <v>11.57</v>
      </c>
      <c r="L109" s="43">
        <v>11.57</v>
      </c>
    </row>
    <row r="110" spans="1:12">
      <c r="A110">
        <f t="shared" si="8"/>
        <v>4</v>
      </c>
      <c r="B110" t="str">
        <f t="shared" si="9"/>
        <v>abril</v>
      </c>
      <c r="C110" s="55">
        <v>44308</v>
      </c>
      <c r="D110" s="43" t="s">
        <v>1584</v>
      </c>
      <c r="E110" s="43" t="s">
        <v>1547</v>
      </c>
      <c r="F110" s="43" t="s">
        <v>1590</v>
      </c>
      <c r="G110" s="43" t="s">
        <v>1554</v>
      </c>
      <c r="H110" s="43" t="s">
        <v>1555</v>
      </c>
      <c r="I110" s="43" t="s">
        <v>1560</v>
      </c>
      <c r="J110" s="43">
        <v>23.13</v>
      </c>
      <c r="K110" s="43">
        <v>11.57</v>
      </c>
      <c r="L110" s="43">
        <v>11.57</v>
      </c>
    </row>
    <row r="111" spans="1:12">
      <c r="A111">
        <f t="shared" si="8"/>
        <v>4</v>
      </c>
      <c r="B111" t="str">
        <f t="shared" si="9"/>
        <v>abril</v>
      </c>
      <c r="C111" s="55">
        <v>44309</v>
      </c>
      <c r="D111" s="43" t="s">
        <v>1583</v>
      </c>
      <c r="E111" s="43" t="s">
        <v>1557</v>
      </c>
      <c r="F111" s="43" t="s">
        <v>1561</v>
      </c>
      <c r="G111" s="43" t="s">
        <v>1554</v>
      </c>
      <c r="H111" s="43" t="s">
        <v>1578</v>
      </c>
      <c r="I111" s="43" t="s">
        <v>1560</v>
      </c>
      <c r="J111" s="43">
        <v>31.4</v>
      </c>
      <c r="K111" s="43">
        <v>15.7</v>
      </c>
      <c r="L111" s="43">
        <v>15.7</v>
      </c>
    </row>
    <row r="112" spans="1:12">
      <c r="A112">
        <f t="shared" si="8"/>
        <v>4</v>
      </c>
      <c r="B112" t="str">
        <f t="shared" si="9"/>
        <v>abril</v>
      </c>
      <c r="C112" s="55">
        <v>44312</v>
      </c>
      <c r="D112" s="43" t="s">
        <v>1585</v>
      </c>
      <c r="E112" s="43" t="s">
        <v>1557</v>
      </c>
      <c r="F112" s="43" t="s">
        <v>1548</v>
      </c>
      <c r="G112" s="43" t="s">
        <v>1554</v>
      </c>
      <c r="H112" s="43" t="s">
        <v>1550</v>
      </c>
      <c r="I112" s="43" t="s">
        <v>1560</v>
      </c>
      <c r="J112" s="43">
        <v>23.13</v>
      </c>
      <c r="K112" s="43">
        <v>11.57</v>
      </c>
      <c r="L112" s="43">
        <v>11.57</v>
      </c>
    </row>
    <row r="113" spans="1:12">
      <c r="A113">
        <f t="shared" si="8"/>
        <v>4</v>
      </c>
      <c r="B113" t="str">
        <f t="shared" si="9"/>
        <v>abril</v>
      </c>
      <c r="C113" s="55">
        <v>44313</v>
      </c>
      <c r="D113" s="43" t="s">
        <v>1587</v>
      </c>
      <c r="E113" s="43" t="s">
        <v>1557</v>
      </c>
      <c r="F113" s="43" t="s">
        <v>1575</v>
      </c>
      <c r="G113" s="43" t="s">
        <v>1549</v>
      </c>
      <c r="H113" s="43" t="s">
        <v>1578</v>
      </c>
      <c r="I113" s="43" t="s">
        <v>1564</v>
      </c>
      <c r="J113" s="43">
        <v>41.31</v>
      </c>
      <c r="K113" s="43">
        <v>20.66</v>
      </c>
      <c r="L113" s="43">
        <v>20.66</v>
      </c>
    </row>
    <row r="114" spans="1:12">
      <c r="A114">
        <f t="shared" si="8"/>
        <v>4</v>
      </c>
      <c r="B114" t="str">
        <f t="shared" si="9"/>
        <v>abril</v>
      </c>
      <c r="C114" s="55">
        <v>44313</v>
      </c>
      <c r="D114" s="43" t="s">
        <v>1579</v>
      </c>
      <c r="E114" s="43" t="s">
        <v>1547</v>
      </c>
      <c r="F114" s="43" t="s">
        <v>1590</v>
      </c>
      <c r="G114" s="43" t="s">
        <v>1568</v>
      </c>
      <c r="H114" s="43" t="s">
        <v>1550</v>
      </c>
      <c r="I114" s="43" t="s">
        <v>1551</v>
      </c>
      <c r="J114" s="43">
        <v>20.65</v>
      </c>
      <c r="K114" s="43">
        <v>10.33</v>
      </c>
      <c r="L114" s="43">
        <v>10.33</v>
      </c>
    </row>
    <row r="115" spans="1:12">
      <c r="A115">
        <f t="shared" si="8"/>
        <v>4</v>
      </c>
      <c r="B115" t="str">
        <f t="shared" si="9"/>
        <v>abril</v>
      </c>
      <c r="C115" s="55">
        <v>44314</v>
      </c>
      <c r="D115" s="43" t="s">
        <v>1570</v>
      </c>
      <c r="E115" s="43" t="s">
        <v>1557</v>
      </c>
      <c r="F115" s="43" t="s">
        <v>1575</v>
      </c>
      <c r="G115" s="43" t="s">
        <v>1549</v>
      </c>
      <c r="H115" s="43" t="s">
        <v>1550</v>
      </c>
      <c r="I115" s="43" t="s">
        <v>1564</v>
      </c>
      <c r="J115" s="43">
        <v>24.79</v>
      </c>
      <c r="K115" s="43">
        <v>12.39</v>
      </c>
      <c r="L115" s="43">
        <v>12.39</v>
      </c>
    </row>
    <row r="116" spans="1:12">
      <c r="A116">
        <f t="shared" si="8"/>
        <v>4</v>
      </c>
      <c r="B116" t="str">
        <f t="shared" si="9"/>
        <v>abril</v>
      </c>
      <c r="C116" s="55">
        <v>44315</v>
      </c>
      <c r="D116" s="43" t="s">
        <v>1579</v>
      </c>
      <c r="E116" s="43" t="s">
        <v>1557</v>
      </c>
      <c r="F116" s="43" t="s">
        <v>1575</v>
      </c>
      <c r="G116" s="43" t="s">
        <v>1562</v>
      </c>
      <c r="H116" s="43" t="s">
        <v>1569</v>
      </c>
      <c r="I116" s="43" t="s">
        <v>1560</v>
      </c>
      <c r="J116" s="43">
        <v>33.049999999999997</v>
      </c>
      <c r="K116" s="43">
        <v>16.52</v>
      </c>
      <c r="L116" s="43">
        <v>16.52</v>
      </c>
    </row>
    <row r="117" spans="1:12">
      <c r="A117">
        <f t="shared" si="8"/>
        <v>4</v>
      </c>
      <c r="B117" t="str">
        <f t="shared" si="9"/>
        <v>abril</v>
      </c>
      <c r="C117" s="55">
        <v>44316</v>
      </c>
      <c r="D117" s="43" t="s">
        <v>1583</v>
      </c>
      <c r="E117" s="43" t="s">
        <v>1557</v>
      </c>
      <c r="F117" s="43" t="s">
        <v>1580</v>
      </c>
      <c r="G117" s="43" t="s">
        <v>1549</v>
      </c>
      <c r="H117" s="43" t="s">
        <v>1578</v>
      </c>
      <c r="I117" s="43" t="s">
        <v>1560</v>
      </c>
      <c r="J117" s="43">
        <v>95.86</v>
      </c>
      <c r="K117" s="43">
        <v>47.93</v>
      </c>
      <c r="L117" s="43">
        <v>47.93</v>
      </c>
    </row>
    <row r="118" spans="1:12">
      <c r="A118">
        <f t="shared" si="8"/>
        <v>9</v>
      </c>
      <c r="B118" t="str">
        <f t="shared" si="9"/>
        <v>septiembre</v>
      </c>
      <c r="C118" s="55">
        <v>44464</v>
      </c>
      <c r="D118" s="43" t="s">
        <v>1585</v>
      </c>
      <c r="E118" s="43" t="s">
        <v>1547</v>
      </c>
      <c r="F118" s="43" t="s">
        <v>1553</v>
      </c>
      <c r="G118" s="43" t="s">
        <v>1554</v>
      </c>
      <c r="H118" s="43" t="s">
        <v>1555</v>
      </c>
      <c r="I118" s="43" t="s">
        <v>1551</v>
      </c>
      <c r="J118" s="43">
        <v>62.8</v>
      </c>
      <c r="K118" s="43">
        <v>31.4</v>
      </c>
      <c r="L118" s="43">
        <v>31.4</v>
      </c>
    </row>
    <row r="119" spans="1:12">
      <c r="A119">
        <f t="shared" si="8"/>
        <v>5</v>
      </c>
      <c r="B119" t="str">
        <f t="shared" si="9"/>
        <v>mayo</v>
      </c>
      <c r="C119" s="55">
        <v>44322</v>
      </c>
      <c r="D119" s="43" t="s">
        <v>1565</v>
      </c>
      <c r="E119" s="43" t="s">
        <v>1557</v>
      </c>
      <c r="F119" s="43" t="s">
        <v>1561</v>
      </c>
      <c r="G119" s="43" t="s">
        <v>1568</v>
      </c>
      <c r="H119" s="43" t="s">
        <v>1555</v>
      </c>
      <c r="I119" s="43" t="s">
        <v>1564</v>
      </c>
      <c r="J119" s="43">
        <v>5.78</v>
      </c>
      <c r="K119" s="43">
        <v>2.89</v>
      </c>
      <c r="L119" s="43">
        <v>2.89</v>
      </c>
    </row>
    <row r="120" spans="1:12">
      <c r="A120">
        <f t="shared" si="8"/>
        <v>5</v>
      </c>
      <c r="B120" t="str">
        <f t="shared" si="9"/>
        <v>mayo</v>
      </c>
      <c r="C120" s="55">
        <v>44323</v>
      </c>
      <c r="D120" s="43" t="s">
        <v>1584</v>
      </c>
      <c r="E120" s="43" t="s">
        <v>1557</v>
      </c>
      <c r="F120" s="43" t="s">
        <v>1561</v>
      </c>
      <c r="G120" s="43" t="s">
        <v>1568</v>
      </c>
      <c r="H120" s="43" t="s">
        <v>1567</v>
      </c>
      <c r="I120" s="43" t="s">
        <v>1560</v>
      </c>
      <c r="J120" s="43">
        <v>16.52</v>
      </c>
      <c r="K120" s="43">
        <v>8.26</v>
      </c>
      <c r="L120" s="43">
        <v>8.26</v>
      </c>
    </row>
    <row r="121" spans="1:12">
      <c r="A121">
        <f t="shared" si="8"/>
        <v>5</v>
      </c>
      <c r="B121" t="str">
        <f t="shared" si="9"/>
        <v>mayo</v>
      </c>
      <c r="C121" s="55">
        <v>44324</v>
      </c>
      <c r="D121" s="43" t="s">
        <v>1556</v>
      </c>
      <c r="E121" s="43" t="s">
        <v>1557</v>
      </c>
      <c r="F121" s="43" t="s">
        <v>1577</v>
      </c>
      <c r="G121" s="43" t="s">
        <v>1568</v>
      </c>
      <c r="H121" s="43" t="s">
        <v>1550</v>
      </c>
      <c r="I121" s="43" t="s">
        <v>1560</v>
      </c>
      <c r="J121" s="43">
        <v>9.91</v>
      </c>
      <c r="K121" s="43">
        <v>4.95</v>
      </c>
      <c r="L121" s="43">
        <v>4.95</v>
      </c>
    </row>
    <row r="122" spans="1:12">
      <c r="A122">
        <f t="shared" si="8"/>
        <v>5</v>
      </c>
      <c r="B122" t="str">
        <f t="shared" si="9"/>
        <v>mayo</v>
      </c>
      <c r="C122" s="55">
        <v>44345</v>
      </c>
      <c r="D122" s="43" t="s">
        <v>1587</v>
      </c>
      <c r="E122" s="43" t="s">
        <v>1547</v>
      </c>
      <c r="F122" s="43" t="s">
        <v>1577</v>
      </c>
      <c r="G122" s="43" t="s">
        <v>1549</v>
      </c>
      <c r="H122" s="43" t="s">
        <v>1572</v>
      </c>
      <c r="I122" s="43" t="s">
        <v>1551</v>
      </c>
      <c r="J122" s="43">
        <v>12.39</v>
      </c>
      <c r="K122" s="43">
        <v>6.19</v>
      </c>
      <c r="L122" s="43">
        <v>6.19</v>
      </c>
    </row>
    <row r="123" spans="1:12">
      <c r="A123">
        <f t="shared" si="8"/>
        <v>6</v>
      </c>
      <c r="B123" t="str">
        <f t="shared" si="9"/>
        <v>junio</v>
      </c>
      <c r="C123" s="55">
        <v>44354</v>
      </c>
      <c r="D123" s="43" t="s">
        <v>1576</v>
      </c>
      <c r="E123" s="43" t="s">
        <v>1547</v>
      </c>
      <c r="F123" s="43" t="s">
        <v>1577</v>
      </c>
      <c r="G123" s="43" t="s">
        <v>1549</v>
      </c>
      <c r="H123" s="43" t="s">
        <v>1559</v>
      </c>
      <c r="I123" s="43" t="s">
        <v>1560</v>
      </c>
      <c r="J123" s="43">
        <v>5.78</v>
      </c>
      <c r="K123" s="43">
        <v>2.89</v>
      </c>
      <c r="L123" s="43">
        <v>2.89</v>
      </c>
    </row>
    <row r="124" spans="1:12">
      <c r="A124">
        <f t="shared" si="8"/>
        <v>6</v>
      </c>
      <c r="B124" t="str">
        <f t="shared" si="9"/>
        <v>junio</v>
      </c>
      <c r="C124" s="55">
        <v>44376</v>
      </c>
      <c r="D124" s="43" t="s">
        <v>1546</v>
      </c>
      <c r="E124" s="43" t="s">
        <v>1547</v>
      </c>
      <c r="F124" s="43" t="s">
        <v>1577</v>
      </c>
      <c r="G124" s="43" t="s">
        <v>1568</v>
      </c>
      <c r="H124" s="43" t="s">
        <v>1578</v>
      </c>
      <c r="I124" s="43" t="s">
        <v>1551</v>
      </c>
      <c r="J124" s="43">
        <v>5.78</v>
      </c>
      <c r="K124" s="43">
        <v>2.89</v>
      </c>
      <c r="L124" s="43">
        <v>2.89</v>
      </c>
    </row>
    <row r="125" spans="1:12">
      <c r="A125">
        <f t="shared" si="8"/>
        <v>7</v>
      </c>
      <c r="B125" t="str">
        <f t="shared" si="9"/>
        <v>julio</v>
      </c>
      <c r="C125" s="55">
        <v>44380</v>
      </c>
      <c r="D125" s="43" t="s">
        <v>1552</v>
      </c>
      <c r="E125" s="43" t="s">
        <v>1557</v>
      </c>
      <c r="F125" s="43" t="s">
        <v>1561</v>
      </c>
      <c r="G125" s="43" t="s">
        <v>1562</v>
      </c>
      <c r="H125" s="43" t="s">
        <v>1563</v>
      </c>
      <c r="I125" s="43" t="s">
        <v>1560</v>
      </c>
      <c r="J125" s="43">
        <v>7.43</v>
      </c>
      <c r="K125" s="43">
        <v>3.71</v>
      </c>
      <c r="L125" s="43">
        <v>3.71</v>
      </c>
    </row>
    <row r="126" spans="1:12">
      <c r="A126">
        <f t="shared" si="8"/>
        <v>8</v>
      </c>
      <c r="B126" t="str">
        <f t="shared" si="9"/>
        <v>agosto</v>
      </c>
      <c r="C126" s="55">
        <v>44409</v>
      </c>
      <c r="D126" s="43" t="s">
        <v>1583</v>
      </c>
      <c r="E126" s="43" t="s">
        <v>1547</v>
      </c>
      <c r="F126" s="43" t="s">
        <v>1577</v>
      </c>
      <c r="G126" s="43" t="s">
        <v>1549</v>
      </c>
      <c r="H126" s="43" t="s">
        <v>1569</v>
      </c>
      <c r="I126" s="43" t="s">
        <v>1551</v>
      </c>
      <c r="J126" s="43">
        <v>9.08</v>
      </c>
      <c r="K126" s="43">
        <v>4.54</v>
      </c>
      <c r="L126" s="43">
        <v>4.54</v>
      </c>
    </row>
    <row r="127" spans="1:12">
      <c r="A127">
        <f t="shared" si="8"/>
        <v>8</v>
      </c>
      <c r="B127" t="str">
        <f t="shared" si="9"/>
        <v>agosto</v>
      </c>
      <c r="C127" s="55">
        <v>44415</v>
      </c>
      <c r="D127" s="43" t="s">
        <v>1576</v>
      </c>
      <c r="E127" s="43" t="s">
        <v>1547</v>
      </c>
      <c r="F127" s="43" t="s">
        <v>1577</v>
      </c>
      <c r="G127" s="43" t="s">
        <v>1562</v>
      </c>
      <c r="H127" s="43" t="s">
        <v>1567</v>
      </c>
      <c r="I127" s="43" t="s">
        <v>1560</v>
      </c>
      <c r="J127" s="43">
        <v>14.04</v>
      </c>
      <c r="K127" s="43">
        <v>7.02</v>
      </c>
      <c r="L127" s="43">
        <v>7.02</v>
      </c>
    </row>
    <row r="128" spans="1:12">
      <c r="A128">
        <f t="shared" si="8"/>
        <v>8</v>
      </c>
      <c r="B128" t="str">
        <f t="shared" si="9"/>
        <v>agosto</v>
      </c>
      <c r="C128" s="55">
        <v>44421</v>
      </c>
      <c r="D128" s="43" t="s">
        <v>1576</v>
      </c>
      <c r="E128" s="43" t="s">
        <v>1547</v>
      </c>
      <c r="F128" s="43" t="s">
        <v>1577</v>
      </c>
      <c r="G128" s="43" t="s">
        <v>1568</v>
      </c>
      <c r="H128" s="43" t="s">
        <v>1555</v>
      </c>
      <c r="I128" s="43" t="s">
        <v>1551</v>
      </c>
      <c r="J128" s="43">
        <v>9.91</v>
      </c>
      <c r="K128" s="43">
        <v>4.95</v>
      </c>
      <c r="L128" s="43">
        <v>4.95</v>
      </c>
    </row>
    <row r="129" spans="1:12">
      <c r="A129">
        <f t="shared" si="8"/>
        <v>8</v>
      </c>
      <c r="B129" t="str">
        <f t="shared" si="9"/>
        <v>agosto</v>
      </c>
      <c r="C129" s="55">
        <v>44426</v>
      </c>
      <c r="D129" s="43" t="s">
        <v>1579</v>
      </c>
      <c r="E129" s="43" t="s">
        <v>1557</v>
      </c>
      <c r="F129" s="43" t="s">
        <v>1577</v>
      </c>
      <c r="G129" s="43" t="s">
        <v>1568</v>
      </c>
      <c r="H129" s="43" t="s">
        <v>1567</v>
      </c>
      <c r="I129" s="43" t="s">
        <v>1560</v>
      </c>
      <c r="J129" s="43">
        <v>6.6</v>
      </c>
      <c r="K129" s="43">
        <v>3.3</v>
      </c>
      <c r="L129" s="43">
        <v>3.3</v>
      </c>
    </row>
    <row r="130" spans="1:12">
      <c r="A130">
        <f t="shared" si="8"/>
        <v>8</v>
      </c>
      <c r="B130" t="str">
        <f t="shared" si="9"/>
        <v>agosto</v>
      </c>
      <c r="C130" s="55">
        <v>44431</v>
      </c>
      <c r="D130" s="43" t="s">
        <v>1546</v>
      </c>
      <c r="E130" s="43" t="s">
        <v>1547</v>
      </c>
      <c r="F130" s="43" t="s">
        <v>1577</v>
      </c>
      <c r="G130" s="43" t="s">
        <v>1568</v>
      </c>
      <c r="H130" s="43" t="s">
        <v>1567</v>
      </c>
      <c r="I130" s="43" t="s">
        <v>1551</v>
      </c>
      <c r="J130" s="43">
        <v>7.43</v>
      </c>
      <c r="K130" s="43">
        <v>3.71</v>
      </c>
      <c r="L130" s="43">
        <v>3.71</v>
      </c>
    </row>
    <row r="131" spans="1:12">
      <c r="A131">
        <f t="shared" ref="A131:A194" si="10">MONTH(C131)</f>
        <v>8</v>
      </c>
      <c r="B131" t="str">
        <f t="shared" ref="B131:B194" si="11">CHOOSE(MONTH(C131),"enero","febrero","marzo","abril","mayo","junio","julio","agosto","septiembre","octubre","noviembre","diciembre")</f>
        <v>agosto</v>
      </c>
      <c r="C131" s="55">
        <v>44433</v>
      </c>
      <c r="D131" s="43" t="s">
        <v>1588</v>
      </c>
      <c r="E131" s="43" t="s">
        <v>1547</v>
      </c>
      <c r="F131" s="43" t="s">
        <v>1577</v>
      </c>
      <c r="G131" s="43" t="s">
        <v>1549</v>
      </c>
      <c r="H131" s="43" t="s">
        <v>1578</v>
      </c>
      <c r="I131" s="43" t="s">
        <v>1551</v>
      </c>
      <c r="J131" s="43">
        <v>5.78</v>
      </c>
      <c r="K131" s="43">
        <v>2.89</v>
      </c>
      <c r="L131" s="43">
        <v>2.89</v>
      </c>
    </row>
    <row r="132" spans="1:12">
      <c r="A132">
        <f t="shared" si="10"/>
        <v>9</v>
      </c>
      <c r="B132" t="str">
        <f t="shared" si="11"/>
        <v>septiembre</v>
      </c>
      <c r="C132" s="55">
        <v>44447</v>
      </c>
      <c r="D132" s="43" t="s">
        <v>1571</v>
      </c>
      <c r="E132" s="43" t="s">
        <v>1557</v>
      </c>
      <c r="F132" s="43" t="s">
        <v>1561</v>
      </c>
      <c r="G132" s="43" t="s">
        <v>1549</v>
      </c>
      <c r="H132" s="43" t="s">
        <v>1569</v>
      </c>
      <c r="I132" s="43" t="s">
        <v>1560</v>
      </c>
      <c r="J132" s="43">
        <v>15.69</v>
      </c>
      <c r="K132" s="43">
        <v>7.85</v>
      </c>
      <c r="L132" s="43">
        <v>7.85</v>
      </c>
    </row>
    <row r="133" spans="1:12">
      <c r="A133">
        <f t="shared" si="10"/>
        <v>9</v>
      </c>
      <c r="B133" t="str">
        <f t="shared" si="11"/>
        <v>septiembre</v>
      </c>
      <c r="C133" s="55">
        <v>44452</v>
      </c>
      <c r="D133" s="43" t="s">
        <v>1576</v>
      </c>
      <c r="E133" s="43" t="s">
        <v>1547</v>
      </c>
      <c r="F133" s="43" t="s">
        <v>1577</v>
      </c>
      <c r="G133" s="43" t="s">
        <v>1562</v>
      </c>
      <c r="H133" s="43" t="s">
        <v>1567</v>
      </c>
      <c r="I133" s="43" t="s">
        <v>1560</v>
      </c>
      <c r="J133" s="43">
        <v>9.08</v>
      </c>
      <c r="K133" s="43">
        <v>4.54</v>
      </c>
      <c r="L133" s="43">
        <v>4.54</v>
      </c>
    </row>
    <row r="134" spans="1:12">
      <c r="A134">
        <f t="shared" si="10"/>
        <v>5</v>
      </c>
      <c r="B134" t="str">
        <f t="shared" si="11"/>
        <v>mayo</v>
      </c>
      <c r="C134" s="55">
        <v>44325</v>
      </c>
      <c r="D134" s="43" t="s">
        <v>1588</v>
      </c>
      <c r="E134" s="43" t="s">
        <v>1547</v>
      </c>
      <c r="F134" s="43" t="s">
        <v>1561</v>
      </c>
      <c r="G134" s="43" t="s">
        <v>1554</v>
      </c>
      <c r="H134" s="43" t="s">
        <v>1567</v>
      </c>
      <c r="I134" s="43" t="s">
        <v>1560</v>
      </c>
      <c r="J134" s="43">
        <v>25.61</v>
      </c>
      <c r="K134" s="43">
        <v>12.81</v>
      </c>
      <c r="L134" s="43">
        <v>12.81</v>
      </c>
    </row>
    <row r="135" spans="1:12">
      <c r="A135">
        <f t="shared" si="10"/>
        <v>5</v>
      </c>
      <c r="B135" t="str">
        <f t="shared" si="11"/>
        <v>mayo</v>
      </c>
      <c r="C135" s="55">
        <v>44329</v>
      </c>
      <c r="D135" s="43" t="s">
        <v>1552</v>
      </c>
      <c r="E135" s="43" t="s">
        <v>1547</v>
      </c>
      <c r="F135" s="43" t="s">
        <v>1561</v>
      </c>
      <c r="G135" s="43" t="s">
        <v>1554</v>
      </c>
      <c r="H135" s="43" t="s">
        <v>1569</v>
      </c>
      <c r="I135" s="43" t="s">
        <v>1560</v>
      </c>
      <c r="J135" s="43">
        <v>19</v>
      </c>
      <c r="K135" s="43">
        <v>9.5</v>
      </c>
      <c r="L135" s="43">
        <v>9.5</v>
      </c>
    </row>
    <row r="136" spans="1:12">
      <c r="A136">
        <f t="shared" si="10"/>
        <v>5</v>
      </c>
      <c r="B136" t="str">
        <f t="shared" si="11"/>
        <v>mayo</v>
      </c>
      <c r="C136" s="55">
        <v>44333</v>
      </c>
      <c r="D136" s="43" t="s">
        <v>1576</v>
      </c>
      <c r="E136" s="43" t="s">
        <v>1547</v>
      </c>
      <c r="F136" s="43" t="s">
        <v>1561</v>
      </c>
      <c r="G136" s="43" t="s">
        <v>1562</v>
      </c>
      <c r="H136" s="43" t="s">
        <v>1559</v>
      </c>
      <c r="I136" s="43" t="s">
        <v>1551</v>
      </c>
      <c r="J136" s="43">
        <v>18.170000000000002</v>
      </c>
      <c r="K136" s="43">
        <v>9.09</v>
      </c>
      <c r="L136" s="43">
        <v>9.09</v>
      </c>
    </row>
    <row r="137" spans="1:12">
      <c r="A137">
        <f t="shared" si="10"/>
        <v>5</v>
      </c>
      <c r="B137" t="str">
        <f t="shared" si="11"/>
        <v>mayo</v>
      </c>
      <c r="C137" s="55">
        <v>44336</v>
      </c>
      <c r="D137" s="43" t="s">
        <v>1546</v>
      </c>
      <c r="E137" s="43" t="s">
        <v>1557</v>
      </c>
      <c r="F137" s="43" t="s">
        <v>1561</v>
      </c>
      <c r="G137" s="43" t="s">
        <v>1568</v>
      </c>
      <c r="H137" s="43" t="s">
        <v>1578</v>
      </c>
      <c r="I137" s="43" t="s">
        <v>1560</v>
      </c>
      <c r="J137" s="43">
        <v>19.829999999999998</v>
      </c>
      <c r="K137" s="43">
        <v>9.91</v>
      </c>
      <c r="L137" s="43">
        <v>9.91</v>
      </c>
    </row>
    <row r="138" spans="1:12">
      <c r="A138">
        <f t="shared" si="10"/>
        <v>6</v>
      </c>
      <c r="B138" t="str">
        <f t="shared" si="11"/>
        <v>junio</v>
      </c>
      <c r="C138" s="55">
        <v>44350</v>
      </c>
      <c r="D138" s="43" t="s">
        <v>1582</v>
      </c>
      <c r="E138" s="43" t="s">
        <v>1557</v>
      </c>
      <c r="F138" s="43" t="s">
        <v>1561</v>
      </c>
      <c r="G138" s="43" t="s">
        <v>1554</v>
      </c>
      <c r="H138" s="43" t="s">
        <v>1567</v>
      </c>
      <c r="I138" s="43" t="s">
        <v>1564</v>
      </c>
      <c r="J138" s="43">
        <v>16.52</v>
      </c>
      <c r="K138" s="43">
        <v>8.26</v>
      </c>
      <c r="L138" s="43">
        <v>8.26</v>
      </c>
    </row>
    <row r="139" spans="1:12">
      <c r="A139">
        <f t="shared" si="10"/>
        <v>6</v>
      </c>
      <c r="B139" t="str">
        <f t="shared" si="11"/>
        <v>junio</v>
      </c>
      <c r="C139" s="55">
        <v>44365</v>
      </c>
      <c r="D139" s="43" t="s">
        <v>1546</v>
      </c>
      <c r="E139" s="43" t="s">
        <v>1557</v>
      </c>
      <c r="F139" s="43" t="s">
        <v>1561</v>
      </c>
      <c r="G139" s="43" t="s">
        <v>1554</v>
      </c>
      <c r="H139" s="43" t="s">
        <v>1569</v>
      </c>
      <c r="I139" s="43" t="s">
        <v>1564</v>
      </c>
      <c r="J139" s="43">
        <v>21.48</v>
      </c>
      <c r="K139" s="43">
        <v>10.74</v>
      </c>
      <c r="L139" s="43">
        <v>10.74</v>
      </c>
    </row>
    <row r="140" spans="1:12">
      <c r="A140">
        <f t="shared" si="10"/>
        <v>6</v>
      </c>
      <c r="B140" t="str">
        <f t="shared" si="11"/>
        <v>junio</v>
      </c>
      <c r="C140" s="55">
        <v>44365</v>
      </c>
      <c r="D140" s="43" t="s">
        <v>1576</v>
      </c>
      <c r="E140" s="43" t="s">
        <v>1557</v>
      </c>
      <c r="F140" s="43" t="s">
        <v>1561</v>
      </c>
      <c r="G140" s="43" t="s">
        <v>1554</v>
      </c>
      <c r="H140" s="43" t="s">
        <v>1567</v>
      </c>
      <c r="I140" s="43" t="s">
        <v>1564</v>
      </c>
      <c r="J140" s="43">
        <v>26.44</v>
      </c>
      <c r="K140" s="43">
        <v>13.22</v>
      </c>
      <c r="L140" s="43">
        <v>13.22</v>
      </c>
    </row>
    <row r="141" spans="1:12">
      <c r="A141">
        <f t="shared" si="10"/>
        <v>6</v>
      </c>
      <c r="B141" t="str">
        <f t="shared" si="11"/>
        <v>junio</v>
      </c>
      <c r="C141" s="55">
        <v>44372</v>
      </c>
      <c r="D141" s="43" t="s">
        <v>1565</v>
      </c>
      <c r="E141" s="43" t="s">
        <v>1547</v>
      </c>
      <c r="F141" s="43" t="s">
        <v>1561</v>
      </c>
      <c r="G141" s="43" t="s">
        <v>1554</v>
      </c>
      <c r="H141" s="43" t="s">
        <v>1567</v>
      </c>
      <c r="I141" s="43" t="s">
        <v>1560</v>
      </c>
      <c r="J141" s="43">
        <v>13.21</v>
      </c>
      <c r="K141" s="43">
        <v>6.61</v>
      </c>
      <c r="L141" s="43">
        <v>6.61</v>
      </c>
    </row>
    <row r="142" spans="1:12">
      <c r="A142">
        <f t="shared" si="10"/>
        <v>6</v>
      </c>
      <c r="B142" t="str">
        <f t="shared" si="11"/>
        <v>junio</v>
      </c>
      <c r="C142" s="55">
        <v>44374</v>
      </c>
      <c r="D142" s="43" t="s">
        <v>1581</v>
      </c>
      <c r="E142" s="43" t="s">
        <v>1557</v>
      </c>
      <c r="F142" s="43" t="s">
        <v>1561</v>
      </c>
      <c r="G142" s="43" t="s">
        <v>1568</v>
      </c>
      <c r="H142" s="43" t="s">
        <v>1572</v>
      </c>
      <c r="I142" s="43" t="s">
        <v>1564</v>
      </c>
      <c r="J142" s="43">
        <v>29.74</v>
      </c>
      <c r="K142" s="43">
        <v>14.87</v>
      </c>
      <c r="L142" s="43">
        <v>14.87</v>
      </c>
    </row>
    <row r="143" spans="1:12">
      <c r="A143">
        <f t="shared" si="10"/>
        <v>6</v>
      </c>
      <c r="B143" t="str">
        <f t="shared" si="11"/>
        <v>junio</v>
      </c>
      <c r="C143" s="55">
        <v>44375</v>
      </c>
      <c r="D143" s="43" t="s">
        <v>1579</v>
      </c>
      <c r="E143" s="43" t="s">
        <v>1557</v>
      </c>
      <c r="F143" s="43" t="s">
        <v>1561</v>
      </c>
      <c r="G143" s="43" t="s">
        <v>1554</v>
      </c>
      <c r="H143" s="43" t="s">
        <v>1569</v>
      </c>
      <c r="I143" s="43" t="s">
        <v>1560</v>
      </c>
      <c r="J143" s="43">
        <v>25.61</v>
      </c>
      <c r="K143" s="43">
        <v>12.81</v>
      </c>
      <c r="L143" s="43">
        <v>12.81</v>
      </c>
    </row>
    <row r="144" spans="1:12">
      <c r="A144">
        <f t="shared" si="10"/>
        <v>6</v>
      </c>
      <c r="B144" t="str">
        <f t="shared" si="11"/>
        <v>junio</v>
      </c>
      <c r="C144" s="55">
        <v>44377</v>
      </c>
      <c r="D144" s="43" t="s">
        <v>1556</v>
      </c>
      <c r="E144" s="43" t="s">
        <v>1547</v>
      </c>
      <c r="F144" s="43" t="s">
        <v>1561</v>
      </c>
      <c r="G144" s="43" t="s">
        <v>1549</v>
      </c>
      <c r="H144" s="43" t="s">
        <v>1563</v>
      </c>
      <c r="I144" s="43" t="s">
        <v>1560</v>
      </c>
      <c r="J144" s="43">
        <v>29.74</v>
      </c>
      <c r="K144" s="43">
        <v>14.87</v>
      </c>
      <c r="L144" s="43">
        <v>14.87</v>
      </c>
    </row>
    <row r="145" spans="1:12">
      <c r="A145">
        <f t="shared" si="10"/>
        <v>7</v>
      </c>
      <c r="B145" t="str">
        <f t="shared" si="11"/>
        <v>julio</v>
      </c>
      <c r="C145" s="55">
        <v>44380</v>
      </c>
      <c r="D145" s="43" t="s">
        <v>1556</v>
      </c>
      <c r="E145" s="43" t="s">
        <v>1547</v>
      </c>
      <c r="F145" s="43" t="s">
        <v>1561</v>
      </c>
      <c r="G145" s="43" t="s">
        <v>1568</v>
      </c>
      <c r="H145" s="43" t="s">
        <v>1569</v>
      </c>
      <c r="I145" s="43" t="s">
        <v>1560</v>
      </c>
      <c r="J145" s="43">
        <v>18.170000000000002</v>
      </c>
      <c r="K145" s="43">
        <v>9.09</v>
      </c>
      <c r="L145" s="43">
        <v>9.09</v>
      </c>
    </row>
    <row r="146" spans="1:12">
      <c r="A146">
        <f t="shared" si="10"/>
        <v>7</v>
      </c>
      <c r="B146" t="str">
        <f t="shared" si="11"/>
        <v>julio</v>
      </c>
      <c r="C146" s="55">
        <v>44387</v>
      </c>
      <c r="D146" s="43" t="s">
        <v>1587</v>
      </c>
      <c r="E146" s="43" t="s">
        <v>1557</v>
      </c>
      <c r="F146" s="43" t="s">
        <v>1561</v>
      </c>
      <c r="G146" s="43" t="s">
        <v>1562</v>
      </c>
      <c r="H146" s="43" t="s">
        <v>1569</v>
      </c>
      <c r="I146" s="43" t="s">
        <v>1560</v>
      </c>
      <c r="J146" s="43">
        <v>14.87</v>
      </c>
      <c r="K146" s="43">
        <v>7.43</v>
      </c>
      <c r="L146" s="43">
        <v>7.43</v>
      </c>
    </row>
    <row r="147" spans="1:12">
      <c r="A147">
        <f t="shared" si="10"/>
        <v>7</v>
      </c>
      <c r="B147" t="str">
        <f t="shared" si="11"/>
        <v>julio</v>
      </c>
      <c r="C147" s="55">
        <v>44388</v>
      </c>
      <c r="D147" s="43" t="s">
        <v>1583</v>
      </c>
      <c r="E147" s="43" t="s">
        <v>1557</v>
      </c>
      <c r="F147" s="43" t="s">
        <v>1561</v>
      </c>
      <c r="G147" s="43" t="s">
        <v>1568</v>
      </c>
      <c r="H147" s="43" t="s">
        <v>1555</v>
      </c>
      <c r="I147" s="43" t="s">
        <v>1560</v>
      </c>
      <c r="J147" s="43">
        <v>28.92</v>
      </c>
      <c r="K147" s="43">
        <v>14.46</v>
      </c>
      <c r="L147" s="43">
        <v>14.46</v>
      </c>
    </row>
    <row r="148" spans="1:12">
      <c r="A148">
        <f t="shared" si="10"/>
        <v>7</v>
      </c>
      <c r="B148" t="str">
        <f t="shared" si="11"/>
        <v>julio</v>
      </c>
      <c r="C148" s="55">
        <v>44391</v>
      </c>
      <c r="D148" s="43" t="s">
        <v>1552</v>
      </c>
      <c r="E148" s="43" t="s">
        <v>1557</v>
      </c>
      <c r="F148" s="43" t="s">
        <v>1561</v>
      </c>
      <c r="G148" s="43" t="s">
        <v>1549</v>
      </c>
      <c r="H148" s="43" t="s">
        <v>1572</v>
      </c>
      <c r="I148" s="43" t="s">
        <v>1564</v>
      </c>
      <c r="J148" s="43">
        <v>18.170000000000002</v>
      </c>
      <c r="K148" s="43">
        <v>9.09</v>
      </c>
      <c r="L148" s="43">
        <v>9.09</v>
      </c>
    </row>
    <row r="149" spans="1:12">
      <c r="A149">
        <f t="shared" si="10"/>
        <v>7</v>
      </c>
      <c r="B149" t="str">
        <f t="shared" si="11"/>
        <v>julio</v>
      </c>
      <c r="C149" s="55">
        <v>44394</v>
      </c>
      <c r="D149" s="43" t="s">
        <v>1587</v>
      </c>
      <c r="E149" s="43" t="s">
        <v>1547</v>
      </c>
      <c r="F149" s="43" t="s">
        <v>1561</v>
      </c>
      <c r="G149" s="43" t="s">
        <v>1568</v>
      </c>
      <c r="H149" s="43" t="s">
        <v>1572</v>
      </c>
      <c r="I149" s="43" t="s">
        <v>1551</v>
      </c>
      <c r="J149" s="43">
        <v>21.48</v>
      </c>
      <c r="K149" s="43">
        <v>10.74</v>
      </c>
      <c r="L149" s="43">
        <v>10.74</v>
      </c>
    </row>
    <row r="150" spans="1:12">
      <c r="A150">
        <f t="shared" si="10"/>
        <v>7</v>
      </c>
      <c r="B150" t="str">
        <f t="shared" si="11"/>
        <v>julio</v>
      </c>
      <c r="C150" s="55">
        <v>44399</v>
      </c>
      <c r="D150" s="43" t="s">
        <v>1589</v>
      </c>
      <c r="E150" s="43" t="s">
        <v>1557</v>
      </c>
      <c r="F150" s="43" t="s">
        <v>1561</v>
      </c>
      <c r="G150" s="43" t="s">
        <v>1554</v>
      </c>
      <c r="H150" s="43" t="s">
        <v>1550</v>
      </c>
      <c r="I150" s="43" t="s">
        <v>1564</v>
      </c>
      <c r="J150" s="43">
        <v>24.79</v>
      </c>
      <c r="K150" s="43">
        <v>12.39</v>
      </c>
      <c r="L150" s="43">
        <v>12.39</v>
      </c>
    </row>
    <row r="151" spans="1:12">
      <c r="A151">
        <f t="shared" si="10"/>
        <v>7</v>
      </c>
      <c r="B151" t="str">
        <f t="shared" si="11"/>
        <v>julio</v>
      </c>
      <c r="C151" s="55">
        <v>44400</v>
      </c>
      <c r="D151" s="43" t="s">
        <v>1588</v>
      </c>
      <c r="E151" s="43" t="s">
        <v>1557</v>
      </c>
      <c r="F151" s="43" t="s">
        <v>1561</v>
      </c>
      <c r="G151" s="43" t="s">
        <v>1554</v>
      </c>
      <c r="H151" s="43" t="s">
        <v>1578</v>
      </c>
      <c r="I151" s="43" t="s">
        <v>1560</v>
      </c>
      <c r="J151" s="43">
        <v>23.96</v>
      </c>
      <c r="K151" s="43">
        <v>11.98</v>
      </c>
      <c r="L151" s="43">
        <v>11.98</v>
      </c>
    </row>
    <row r="152" spans="1:12">
      <c r="A152">
        <f t="shared" si="10"/>
        <v>8</v>
      </c>
      <c r="B152" t="str">
        <f t="shared" si="11"/>
        <v>agosto</v>
      </c>
      <c r="C152" s="55">
        <v>44417</v>
      </c>
      <c r="D152" s="43" t="s">
        <v>1582</v>
      </c>
      <c r="E152" s="43" t="s">
        <v>1547</v>
      </c>
      <c r="F152" s="43" t="s">
        <v>1561</v>
      </c>
      <c r="G152" s="43" t="s">
        <v>1562</v>
      </c>
      <c r="H152" s="43" t="s">
        <v>1550</v>
      </c>
      <c r="I152" s="43" t="s">
        <v>1551</v>
      </c>
      <c r="J152" s="43">
        <v>14.04</v>
      </c>
      <c r="K152" s="43">
        <v>7.02</v>
      </c>
      <c r="L152" s="43">
        <v>7.02</v>
      </c>
    </row>
    <row r="153" spans="1:12">
      <c r="A153">
        <f t="shared" si="10"/>
        <v>8</v>
      </c>
      <c r="B153" t="str">
        <f t="shared" si="11"/>
        <v>agosto</v>
      </c>
      <c r="C153" s="55">
        <v>44419</v>
      </c>
      <c r="D153" s="43" t="s">
        <v>1570</v>
      </c>
      <c r="E153" s="43" t="s">
        <v>1547</v>
      </c>
      <c r="F153" s="43" t="s">
        <v>1561</v>
      </c>
      <c r="G153" s="43" t="s">
        <v>1554</v>
      </c>
      <c r="H153" s="43" t="s">
        <v>1550</v>
      </c>
      <c r="I153" s="43" t="s">
        <v>1551</v>
      </c>
      <c r="J153" s="43">
        <v>13.21</v>
      </c>
      <c r="K153" s="43">
        <v>6.61</v>
      </c>
      <c r="L153" s="43">
        <v>6.61</v>
      </c>
    </row>
    <row r="154" spans="1:12">
      <c r="A154">
        <f t="shared" si="10"/>
        <v>8</v>
      </c>
      <c r="B154" t="str">
        <f t="shared" si="11"/>
        <v>agosto</v>
      </c>
      <c r="C154" s="55">
        <v>44433</v>
      </c>
      <c r="D154" s="43" t="s">
        <v>1586</v>
      </c>
      <c r="E154" s="43" t="s">
        <v>1547</v>
      </c>
      <c r="F154" s="43" t="s">
        <v>1561</v>
      </c>
      <c r="G154" s="43" t="s">
        <v>1554</v>
      </c>
      <c r="H154" s="43" t="s">
        <v>1572</v>
      </c>
      <c r="I154" s="43" t="s">
        <v>1560</v>
      </c>
      <c r="J154" s="43">
        <v>20.65</v>
      </c>
      <c r="K154" s="43">
        <v>10.33</v>
      </c>
      <c r="L154" s="43">
        <v>10.33</v>
      </c>
    </row>
    <row r="155" spans="1:12">
      <c r="A155">
        <f t="shared" si="10"/>
        <v>9</v>
      </c>
      <c r="B155" t="str">
        <f t="shared" si="11"/>
        <v>septiembre</v>
      </c>
      <c r="C155" s="55">
        <v>44444</v>
      </c>
      <c r="D155" s="43" t="s">
        <v>1571</v>
      </c>
      <c r="E155" s="43" t="s">
        <v>1547</v>
      </c>
      <c r="F155" s="43" t="s">
        <v>1561</v>
      </c>
      <c r="G155" s="43" t="s">
        <v>1549</v>
      </c>
      <c r="H155" s="43" t="s">
        <v>1559</v>
      </c>
      <c r="I155" s="43" t="s">
        <v>1551</v>
      </c>
      <c r="J155" s="43">
        <v>26.44</v>
      </c>
      <c r="K155" s="43">
        <v>13.22</v>
      </c>
      <c r="L155" s="43">
        <v>13.22</v>
      </c>
    </row>
    <row r="156" spans="1:12">
      <c r="A156">
        <f t="shared" si="10"/>
        <v>9</v>
      </c>
      <c r="B156" t="str">
        <f t="shared" si="11"/>
        <v>septiembre</v>
      </c>
      <c r="C156" s="55">
        <v>44450</v>
      </c>
      <c r="D156" s="43" t="s">
        <v>1579</v>
      </c>
      <c r="E156" s="43" t="s">
        <v>1547</v>
      </c>
      <c r="F156" s="43" t="s">
        <v>1561</v>
      </c>
      <c r="G156" s="43" t="s">
        <v>1562</v>
      </c>
      <c r="H156" s="43" t="s">
        <v>1578</v>
      </c>
      <c r="I156" s="43" t="s">
        <v>1551</v>
      </c>
      <c r="J156" s="43">
        <v>21.48</v>
      </c>
      <c r="K156" s="43">
        <v>10.74</v>
      </c>
      <c r="L156" s="43">
        <v>10.74</v>
      </c>
    </row>
    <row r="157" spans="1:12">
      <c r="A157">
        <f t="shared" si="10"/>
        <v>9</v>
      </c>
      <c r="B157" t="str">
        <f t="shared" si="11"/>
        <v>septiembre</v>
      </c>
      <c r="C157" s="55">
        <v>44452</v>
      </c>
      <c r="D157" s="43" t="s">
        <v>1546</v>
      </c>
      <c r="E157" s="43" t="s">
        <v>1557</v>
      </c>
      <c r="F157" s="43" t="s">
        <v>1561</v>
      </c>
      <c r="G157" s="43" t="s">
        <v>1549</v>
      </c>
      <c r="H157" s="43" t="s">
        <v>1569</v>
      </c>
      <c r="I157" s="43" t="s">
        <v>1564</v>
      </c>
      <c r="J157" s="43">
        <v>28.09</v>
      </c>
      <c r="K157" s="43">
        <v>14.05</v>
      </c>
      <c r="L157" s="43">
        <v>14.05</v>
      </c>
    </row>
    <row r="158" spans="1:12">
      <c r="A158">
        <f t="shared" si="10"/>
        <v>9</v>
      </c>
      <c r="B158" t="str">
        <f t="shared" si="11"/>
        <v>septiembre</v>
      </c>
      <c r="C158" s="55">
        <v>44459</v>
      </c>
      <c r="D158" s="43" t="s">
        <v>1571</v>
      </c>
      <c r="E158" s="43" t="s">
        <v>1557</v>
      </c>
      <c r="F158" s="43" t="s">
        <v>1561</v>
      </c>
      <c r="G158" s="43" t="s">
        <v>1562</v>
      </c>
      <c r="H158" s="43" t="s">
        <v>1563</v>
      </c>
      <c r="I158" s="43" t="s">
        <v>1564</v>
      </c>
      <c r="J158" s="43">
        <v>19.829999999999998</v>
      </c>
      <c r="K158" s="43">
        <v>9.91</v>
      </c>
      <c r="L158" s="43">
        <v>9.91</v>
      </c>
    </row>
    <row r="159" spans="1:12">
      <c r="A159">
        <f t="shared" si="10"/>
        <v>9</v>
      </c>
      <c r="B159" t="str">
        <f t="shared" si="11"/>
        <v>septiembre</v>
      </c>
      <c r="C159" s="55">
        <v>44459</v>
      </c>
      <c r="D159" s="43" t="s">
        <v>1582</v>
      </c>
      <c r="E159" s="43" t="s">
        <v>1547</v>
      </c>
      <c r="F159" s="43" t="s">
        <v>1561</v>
      </c>
      <c r="G159" s="43" t="s">
        <v>1549</v>
      </c>
      <c r="H159" s="43" t="s">
        <v>1555</v>
      </c>
      <c r="I159" s="43" t="s">
        <v>1560</v>
      </c>
      <c r="J159" s="43">
        <v>25.61</v>
      </c>
      <c r="K159" s="43">
        <v>12.81</v>
      </c>
      <c r="L159" s="43">
        <v>12.81</v>
      </c>
    </row>
    <row r="160" spans="1:12">
      <c r="A160">
        <f t="shared" si="10"/>
        <v>9</v>
      </c>
      <c r="B160" t="str">
        <f t="shared" si="11"/>
        <v>septiembre</v>
      </c>
      <c r="C160" s="55">
        <v>44468</v>
      </c>
      <c r="D160" s="43" t="s">
        <v>1584</v>
      </c>
      <c r="E160" s="43" t="s">
        <v>1547</v>
      </c>
      <c r="F160" s="43" t="s">
        <v>1561</v>
      </c>
      <c r="G160" s="43" t="s">
        <v>1568</v>
      </c>
      <c r="H160" s="43" t="s">
        <v>1555</v>
      </c>
      <c r="I160" s="43" t="s">
        <v>1551</v>
      </c>
      <c r="J160" s="43">
        <v>14.87</v>
      </c>
      <c r="K160" s="43">
        <v>7.43</v>
      </c>
      <c r="L160" s="43">
        <v>7.43</v>
      </c>
    </row>
    <row r="161" spans="1:12">
      <c r="A161">
        <f t="shared" si="10"/>
        <v>5</v>
      </c>
      <c r="B161" t="str">
        <f t="shared" si="11"/>
        <v>mayo</v>
      </c>
      <c r="C161" s="55">
        <v>44320</v>
      </c>
      <c r="D161" s="43" t="s">
        <v>1586</v>
      </c>
      <c r="E161" s="43" t="s">
        <v>1547</v>
      </c>
      <c r="F161" s="43" t="s">
        <v>1558</v>
      </c>
      <c r="G161" s="43" t="s">
        <v>1568</v>
      </c>
      <c r="H161" s="43" t="s">
        <v>1555</v>
      </c>
      <c r="I161" s="43" t="s">
        <v>1560</v>
      </c>
      <c r="J161" s="43">
        <v>10.74</v>
      </c>
      <c r="K161" s="43">
        <v>5.37</v>
      </c>
      <c r="L161" s="43">
        <v>5.37</v>
      </c>
    </row>
    <row r="162" spans="1:12">
      <c r="A162">
        <f t="shared" si="10"/>
        <v>5</v>
      </c>
      <c r="B162" t="str">
        <f t="shared" si="11"/>
        <v>mayo</v>
      </c>
      <c r="C162" s="55">
        <v>44323</v>
      </c>
      <c r="D162" s="43" t="s">
        <v>1571</v>
      </c>
      <c r="E162" s="43" t="s">
        <v>1547</v>
      </c>
      <c r="F162" s="43" t="s">
        <v>1558</v>
      </c>
      <c r="G162" s="43" t="s">
        <v>1549</v>
      </c>
      <c r="H162" s="43" t="s">
        <v>1559</v>
      </c>
      <c r="I162" s="43" t="s">
        <v>1551</v>
      </c>
      <c r="J162" s="43">
        <v>14.87</v>
      </c>
      <c r="K162" s="43">
        <v>7.43</v>
      </c>
      <c r="L162" s="43">
        <v>7.43</v>
      </c>
    </row>
    <row r="163" spans="1:12">
      <c r="A163">
        <f t="shared" si="10"/>
        <v>5</v>
      </c>
      <c r="B163" t="str">
        <f t="shared" si="11"/>
        <v>mayo</v>
      </c>
      <c r="C163" s="55">
        <v>44325</v>
      </c>
      <c r="D163" s="43" t="s">
        <v>1582</v>
      </c>
      <c r="E163" s="43" t="s">
        <v>1557</v>
      </c>
      <c r="F163" s="43" t="s">
        <v>1558</v>
      </c>
      <c r="G163" s="43" t="s">
        <v>1554</v>
      </c>
      <c r="H163" s="43" t="s">
        <v>1578</v>
      </c>
      <c r="I163" s="43" t="s">
        <v>1560</v>
      </c>
      <c r="J163" s="43">
        <v>9.91</v>
      </c>
      <c r="K163" s="43">
        <v>4.95</v>
      </c>
      <c r="L163" s="43">
        <v>4.95</v>
      </c>
    </row>
    <row r="164" spans="1:12">
      <c r="A164">
        <f t="shared" si="10"/>
        <v>5</v>
      </c>
      <c r="B164" t="str">
        <f t="shared" si="11"/>
        <v>mayo</v>
      </c>
      <c r="C164" s="55">
        <v>44342</v>
      </c>
      <c r="D164" s="43" t="s">
        <v>1586</v>
      </c>
      <c r="E164" s="43" t="s">
        <v>1547</v>
      </c>
      <c r="F164" s="43" t="s">
        <v>1558</v>
      </c>
      <c r="G164" s="43" t="s">
        <v>1549</v>
      </c>
      <c r="H164" s="43" t="s">
        <v>1569</v>
      </c>
      <c r="I164" s="43" t="s">
        <v>1551</v>
      </c>
      <c r="J164" s="43">
        <v>16.52</v>
      </c>
      <c r="K164" s="43">
        <v>8.26</v>
      </c>
      <c r="L164" s="43">
        <v>8.26</v>
      </c>
    </row>
    <row r="165" spans="1:12">
      <c r="A165">
        <f t="shared" si="10"/>
        <v>5</v>
      </c>
      <c r="B165" t="str">
        <f t="shared" si="11"/>
        <v>mayo</v>
      </c>
      <c r="C165" s="55">
        <v>44343</v>
      </c>
      <c r="D165" s="43" t="s">
        <v>1587</v>
      </c>
      <c r="E165" s="43" t="s">
        <v>1557</v>
      </c>
      <c r="F165" s="43" t="s">
        <v>1558</v>
      </c>
      <c r="G165" s="43" t="s">
        <v>1568</v>
      </c>
      <c r="H165" s="43" t="s">
        <v>1578</v>
      </c>
      <c r="I165" s="43" t="s">
        <v>1564</v>
      </c>
      <c r="J165" s="43">
        <v>16.52</v>
      </c>
      <c r="K165" s="43">
        <v>8.26</v>
      </c>
      <c r="L165" s="43">
        <v>8.26</v>
      </c>
    </row>
    <row r="166" spans="1:12">
      <c r="A166">
        <f t="shared" si="10"/>
        <v>6</v>
      </c>
      <c r="B166" t="str">
        <f t="shared" si="11"/>
        <v>junio</v>
      </c>
      <c r="C166" s="55">
        <v>44356</v>
      </c>
      <c r="D166" s="43" t="s">
        <v>1576</v>
      </c>
      <c r="E166" s="43" t="s">
        <v>1557</v>
      </c>
      <c r="F166" s="43" t="s">
        <v>1558</v>
      </c>
      <c r="G166" s="43" t="s">
        <v>1568</v>
      </c>
      <c r="H166" s="43" t="s">
        <v>1578</v>
      </c>
      <c r="I166" s="43" t="s">
        <v>1560</v>
      </c>
      <c r="J166" s="43">
        <v>10.74</v>
      </c>
      <c r="K166" s="43">
        <v>5.37</v>
      </c>
      <c r="L166" s="43">
        <v>5.37</v>
      </c>
    </row>
    <row r="167" spans="1:12">
      <c r="A167">
        <f t="shared" si="10"/>
        <v>6</v>
      </c>
      <c r="B167" t="str">
        <f t="shared" si="11"/>
        <v>junio</v>
      </c>
      <c r="C167" s="55">
        <v>44356</v>
      </c>
      <c r="D167" s="43" t="s">
        <v>1573</v>
      </c>
      <c r="E167" s="43" t="s">
        <v>1557</v>
      </c>
      <c r="F167" s="43" t="s">
        <v>1558</v>
      </c>
      <c r="G167" s="43" t="s">
        <v>1554</v>
      </c>
      <c r="H167" s="43" t="s">
        <v>1559</v>
      </c>
      <c r="I167" s="43" t="s">
        <v>1560</v>
      </c>
      <c r="J167" s="43">
        <v>14.04</v>
      </c>
      <c r="K167" s="43">
        <v>7.02</v>
      </c>
      <c r="L167" s="43">
        <v>7.02</v>
      </c>
    </row>
    <row r="168" spans="1:12">
      <c r="A168">
        <f t="shared" si="10"/>
        <v>6</v>
      </c>
      <c r="B168" t="str">
        <f t="shared" si="11"/>
        <v>junio</v>
      </c>
      <c r="C168" s="55">
        <v>44363</v>
      </c>
      <c r="D168" s="43" t="s">
        <v>1586</v>
      </c>
      <c r="E168" s="43" t="s">
        <v>1547</v>
      </c>
      <c r="F168" s="43" t="s">
        <v>1558</v>
      </c>
      <c r="G168" s="43" t="s">
        <v>1549</v>
      </c>
      <c r="H168" s="43" t="s">
        <v>1563</v>
      </c>
      <c r="I168" s="43" t="s">
        <v>1560</v>
      </c>
      <c r="J168" s="43">
        <v>10.74</v>
      </c>
      <c r="K168" s="43">
        <v>5.37</v>
      </c>
      <c r="L168" s="43">
        <v>5.37</v>
      </c>
    </row>
    <row r="169" spans="1:12">
      <c r="A169">
        <f t="shared" si="10"/>
        <v>6</v>
      </c>
      <c r="B169" t="str">
        <f t="shared" si="11"/>
        <v>junio</v>
      </c>
      <c r="C169" s="55">
        <v>44370</v>
      </c>
      <c r="D169" s="43" t="s">
        <v>1581</v>
      </c>
      <c r="E169" s="43" t="s">
        <v>1557</v>
      </c>
      <c r="F169" s="43" t="s">
        <v>1558</v>
      </c>
      <c r="G169" s="43" t="s">
        <v>1568</v>
      </c>
      <c r="H169" s="43" t="s">
        <v>1559</v>
      </c>
      <c r="I169" s="43" t="s">
        <v>1560</v>
      </c>
      <c r="J169" s="43">
        <v>9.08</v>
      </c>
      <c r="K169" s="43">
        <v>4.54</v>
      </c>
      <c r="L169" s="43">
        <v>4.54</v>
      </c>
    </row>
    <row r="170" spans="1:12">
      <c r="A170">
        <f t="shared" si="10"/>
        <v>7</v>
      </c>
      <c r="B170" t="str">
        <f t="shared" si="11"/>
        <v>julio</v>
      </c>
      <c r="C170" s="55">
        <v>44379</v>
      </c>
      <c r="D170" s="43" t="s">
        <v>1586</v>
      </c>
      <c r="E170" s="43" t="s">
        <v>1557</v>
      </c>
      <c r="F170" s="43" t="s">
        <v>1558</v>
      </c>
      <c r="G170" s="43" t="s">
        <v>1568</v>
      </c>
      <c r="H170" s="43" t="s">
        <v>1569</v>
      </c>
      <c r="I170" s="43" t="s">
        <v>1564</v>
      </c>
      <c r="J170" s="43">
        <v>16.52</v>
      </c>
      <c r="K170" s="43">
        <v>8.26</v>
      </c>
      <c r="L170" s="43">
        <v>8.26</v>
      </c>
    </row>
    <row r="171" spans="1:12">
      <c r="A171">
        <f t="shared" si="10"/>
        <v>7</v>
      </c>
      <c r="B171" t="str">
        <f t="shared" si="11"/>
        <v>julio</v>
      </c>
      <c r="C171" s="55">
        <v>44385</v>
      </c>
      <c r="D171" s="43" t="s">
        <v>1581</v>
      </c>
      <c r="E171" s="43" t="s">
        <v>1547</v>
      </c>
      <c r="F171" s="43" t="s">
        <v>1558</v>
      </c>
      <c r="G171" s="43" t="s">
        <v>1554</v>
      </c>
      <c r="H171" s="43" t="s">
        <v>1572</v>
      </c>
      <c r="I171" s="43" t="s">
        <v>1551</v>
      </c>
      <c r="J171" s="43">
        <v>10.74</v>
      </c>
      <c r="K171" s="43">
        <v>5.37</v>
      </c>
      <c r="L171" s="43">
        <v>5.37</v>
      </c>
    </row>
    <row r="172" spans="1:12">
      <c r="A172">
        <f t="shared" si="10"/>
        <v>7</v>
      </c>
      <c r="B172" t="str">
        <f t="shared" si="11"/>
        <v>julio</v>
      </c>
      <c r="C172" s="55">
        <v>44387</v>
      </c>
      <c r="D172" s="43" t="s">
        <v>1576</v>
      </c>
      <c r="E172" s="43" t="s">
        <v>1547</v>
      </c>
      <c r="F172" s="43" t="s">
        <v>1558</v>
      </c>
      <c r="G172" s="43" t="s">
        <v>1568</v>
      </c>
      <c r="H172" s="43" t="s">
        <v>1555</v>
      </c>
      <c r="I172" s="43" t="s">
        <v>1551</v>
      </c>
      <c r="J172" s="43">
        <v>10.74</v>
      </c>
      <c r="K172" s="43">
        <v>5.37</v>
      </c>
      <c r="L172" s="43">
        <v>5.37</v>
      </c>
    </row>
    <row r="173" spans="1:12">
      <c r="A173">
        <f t="shared" si="10"/>
        <v>7</v>
      </c>
      <c r="B173" t="str">
        <f t="shared" si="11"/>
        <v>julio</v>
      </c>
      <c r="C173" s="55">
        <v>44397</v>
      </c>
      <c r="D173" s="43" t="s">
        <v>1584</v>
      </c>
      <c r="E173" s="43" t="s">
        <v>1547</v>
      </c>
      <c r="F173" s="43" t="s">
        <v>1558</v>
      </c>
      <c r="G173" s="43" t="s">
        <v>1554</v>
      </c>
      <c r="H173" s="43" t="s">
        <v>1559</v>
      </c>
      <c r="I173" s="43" t="s">
        <v>1560</v>
      </c>
      <c r="J173" s="43">
        <v>14.04</v>
      </c>
      <c r="K173" s="43">
        <v>7.02</v>
      </c>
      <c r="L173" s="43">
        <v>7.02</v>
      </c>
    </row>
    <row r="174" spans="1:12">
      <c r="A174">
        <f t="shared" si="10"/>
        <v>7</v>
      </c>
      <c r="B174" t="str">
        <f t="shared" si="11"/>
        <v>julio</v>
      </c>
      <c r="C174" s="55">
        <v>44398</v>
      </c>
      <c r="D174" s="43" t="s">
        <v>1552</v>
      </c>
      <c r="E174" s="43" t="s">
        <v>1547</v>
      </c>
      <c r="F174" s="43" t="s">
        <v>1558</v>
      </c>
      <c r="G174" s="43" t="s">
        <v>1554</v>
      </c>
      <c r="H174" s="43" t="s">
        <v>1559</v>
      </c>
      <c r="I174" s="43" t="s">
        <v>1551</v>
      </c>
      <c r="J174" s="43">
        <v>10.74</v>
      </c>
      <c r="K174" s="43">
        <v>5.37</v>
      </c>
      <c r="L174" s="43">
        <v>5.37</v>
      </c>
    </row>
    <row r="175" spans="1:12">
      <c r="A175">
        <f t="shared" si="10"/>
        <v>7</v>
      </c>
      <c r="B175" t="str">
        <f t="shared" si="11"/>
        <v>julio</v>
      </c>
      <c r="C175" s="55">
        <v>44399</v>
      </c>
      <c r="D175" s="43" t="s">
        <v>1581</v>
      </c>
      <c r="E175" s="43" t="s">
        <v>1557</v>
      </c>
      <c r="F175" s="43" t="s">
        <v>1558</v>
      </c>
      <c r="G175" s="43" t="s">
        <v>1549</v>
      </c>
      <c r="H175" s="43" t="s">
        <v>1567</v>
      </c>
      <c r="I175" s="43" t="s">
        <v>1560</v>
      </c>
      <c r="J175" s="43">
        <v>14.04</v>
      </c>
      <c r="K175" s="43">
        <v>7.02</v>
      </c>
      <c r="L175" s="43">
        <v>7.02</v>
      </c>
    </row>
    <row r="176" spans="1:12">
      <c r="A176">
        <f t="shared" si="10"/>
        <v>8</v>
      </c>
      <c r="B176" t="str">
        <f t="shared" si="11"/>
        <v>agosto</v>
      </c>
      <c r="C176" s="55">
        <v>44431</v>
      </c>
      <c r="D176" s="43" t="s">
        <v>1589</v>
      </c>
      <c r="E176" s="43" t="s">
        <v>1557</v>
      </c>
      <c r="F176" s="43" t="s">
        <v>1558</v>
      </c>
      <c r="G176" s="43" t="s">
        <v>1568</v>
      </c>
      <c r="H176" s="43" t="s">
        <v>1572</v>
      </c>
      <c r="I176" s="43" t="s">
        <v>1564</v>
      </c>
      <c r="J176" s="43">
        <v>15.69</v>
      </c>
      <c r="K176" s="43">
        <v>7.85</v>
      </c>
      <c r="L176" s="43">
        <v>7.85</v>
      </c>
    </row>
    <row r="177" spans="1:12">
      <c r="A177">
        <f t="shared" si="10"/>
        <v>8</v>
      </c>
      <c r="B177" t="str">
        <f t="shared" si="11"/>
        <v>agosto</v>
      </c>
      <c r="C177" s="55">
        <v>44434</v>
      </c>
      <c r="D177" s="43" t="s">
        <v>1565</v>
      </c>
      <c r="E177" s="43" t="s">
        <v>1557</v>
      </c>
      <c r="F177" s="43" t="s">
        <v>1558</v>
      </c>
      <c r="G177" s="43" t="s">
        <v>1568</v>
      </c>
      <c r="H177" s="43" t="s">
        <v>1563</v>
      </c>
      <c r="I177" s="43" t="s">
        <v>1564</v>
      </c>
      <c r="J177" s="43">
        <v>13.21</v>
      </c>
      <c r="K177" s="43">
        <v>6.61</v>
      </c>
      <c r="L177" s="43">
        <v>6.61</v>
      </c>
    </row>
    <row r="178" spans="1:12">
      <c r="A178">
        <f t="shared" si="10"/>
        <v>9</v>
      </c>
      <c r="B178" t="str">
        <f t="shared" si="11"/>
        <v>septiembre</v>
      </c>
      <c r="C178" s="55">
        <v>44446</v>
      </c>
      <c r="D178" s="43" t="s">
        <v>1581</v>
      </c>
      <c r="E178" s="43" t="s">
        <v>1547</v>
      </c>
      <c r="F178" s="43" t="s">
        <v>1558</v>
      </c>
      <c r="G178" s="43" t="s">
        <v>1549</v>
      </c>
      <c r="H178" s="43" t="s">
        <v>1578</v>
      </c>
      <c r="I178" s="43" t="s">
        <v>1560</v>
      </c>
      <c r="J178" s="43">
        <v>15.69</v>
      </c>
      <c r="K178" s="43">
        <v>7.85</v>
      </c>
      <c r="L178" s="43">
        <v>7.85</v>
      </c>
    </row>
    <row r="179" spans="1:12">
      <c r="A179">
        <f t="shared" si="10"/>
        <v>9</v>
      </c>
      <c r="B179" t="str">
        <f t="shared" si="11"/>
        <v>septiembre</v>
      </c>
      <c r="C179" s="55">
        <v>44451</v>
      </c>
      <c r="D179" s="43" t="s">
        <v>1582</v>
      </c>
      <c r="E179" s="43" t="s">
        <v>1547</v>
      </c>
      <c r="F179" s="43" t="s">
        <v>1558</v>
      </c>
      <c r="G179" s="43" t="s">
        <v>1568</v>
      </c>
      <c r="H179" s="43" t="s">
        <v>1555</v>
      </c>
      <c r="I179" s="43" t="s">
        <v>1551</v>
      </c>
      <c r="J179" s="43">
        <v>9.08</v>
      </c>
      <c r="K179" s="43">
        <v>4.54</v>
      </c>
      <c r="L179" s="43">
        <v>4.54</v>
      </c>
    </row>
    <row r="180" spans="1:12">
      <c r="A180">
        <f t="shared" si="10"/>
        <v>9</v>
      </c>
      <c r="B180" t="str">
        <f t="shared" si="11"/>
        <v>septiembre</v>
      </c>
      <c r="C180" s="55">
        <v>44462</v>
      </c>
      <c r="D180" s="43" t="s">
        <v>1574</v>
      </c>
      <c r="E180" s="43" t="s">
        <v>1557</v>
      </c>
      <c r="F180" s="43" t="s">
        <v>1558</v>
      </c>
      <c r="G180" s="43" t="s">
        <v>1549</v>
      </c>
      <c r="H180" s="43" t="s">
        <v>1559</v>
      </c>
      <c r="I180" s="43" t="s">
        <v>1560</v>
      </c>
      <c r="J180" s="43">
        <v>9.91</v>
      </c>
      <c r="K180" s="43">
        <v>4.95</v>
      </c>
      <c r="L180" s="43">
        <v>4.95</v>
      </c>
    </row>
    <row r="181" spans="1:12">
      <c r="A181">
        <f t="shared" si="10"/>
        <v>5</v>
      </c>
      <c r="B181" t="str">
        <f t="shared" si="11"/>
        <v>mayo</v>
      </c>
      <c r="C181" s="55">
        <v>44328</v>
      </c>
      <c r="D181" s="43" t="s">
        <v>1576</v>
      </c>
      <c r="E181" s="43" t="s">
        <v>1557</v>
      </c>
      <c r="F181" s="43" t="s">
        <v>1548</v>
      </c>
      <c r="G181" s="43" t="s">
        <v>1549</v>
      </c>
      <c r="H181" s="43" t="s">
        <v>1578</v>
      </c>
      <c r="I181" s="43" t="s">
        <v>1560</v>
      </c>
      <c r="J181" s="43">
        <v>27.26</v>
      </c>
      <c r="K181" s="43">
        <v>13.63</v>
      </c>
      <c r="L181" s="43">
        <v>13.63</v>
      </c>
    </row>
    <row r="182" spans="1:12">
      <c r="A182">
        <f t="shared" si="10"/>
        <v>5</v>
      </c>
      <c r="B182" t="str">
        <f t="shared" si="11"/>
        <v>mayo</v>
      </c>
      <c r="C182" s="55">
        <v>44332</v>
      </c>
      <c r="D182" s="43" t="s">
        <v>1556</v>
      </c>
      <c r="E182" s="43" t="s">
        <v>1547</v>
      </c>
      <c r="F182" s="43" t="s">
        <v>1548</v>
      </c>
      <c r="G182" s="43" t="s">
        <v>1562</v>
      </c>
      <c r="H182" s="43" t="s">
        <v>1559</v>
      </c>
      <c r="I182" s="43" t="s">
        <v>1551</v>
      </c>
      <c r="J182" s="43">
        <v>21.48</v>
      </c>
      <c r="K182" s="43">
        <v>10.74</v>
      </c>
      <c r="L182" s="43">
        <v>10.74</v>
      </c>
    </row>
    <row r="183" spans="1:12">
      <c r="A183">
        <f t="shared" si="10"/>
        <v>5</v>
      </c>
      <c r="B183" t="str">
        <f t="shared" si="11"/>
        <v>mayo</v>
      </c>
      <c r="C183" s="55">
        <v>44337</v>
      </c>
      <c r="D183" s="43" t="s">
        <v>1571</v>
      </c>
      <c r="E183" s="43" t="s">
        <v>1557</v>
      </c>
      <c r="F183" s="43" t="s">
        <v>1548</v>
      </c>
      <c r="G183" s="43" t="s">
        <v>1549</v>
      </c>
      <c r="H183" s="43" t="s">
        <v>1563</v>
      </c>
      <c r="I183" s="43" t="s">
        <v>1560</v>
      </c>
      <c r="J183" s="43">
        <v>27.26</v>
      </c>
      <c r="K183" s="43">
        <v>13.63</v>
      </c>
      <c r="L183" s="43">
        <v>13.63</v>
      </c>
    </row>
    <row r="184" spans="1:12">
      <c r="A184">
        <f t="shared" si="10"/>
        <v>5</v>
      </c>
      <c r="B184" t="str">
        <f t="shared" si="11"/>
        <v>mayo</v>
      </c>
      <c r="C184" s="55">
        <v>44338</v>
      </c>
      <c r="D184" s="43" t="s">
        <v>1571</v>
      </c>
      <c r="E184" s="43" t="s">
        <v>1547</v>
      </c>
      <c r="F184" s="43" t="s">
        <v>1548</v>
      </c>
      <c r="G184" s="43" t="s">
        <v>1568</v>
      </c>
      <c r="H184" s="43" t="s">
        <v>1569</v>
      </c>
      <c r="I184" s="43" t="s">
        <v>1560</v>
      </c>
      <c r="J184" s="43">
        <v>32.22</v>
      </c>
      <c r="K184" s="43">
        <v>16.11</v>
      </c>
      <c r="L184" s="43">
        <v>16.11</v>
      </c>
    </row>
    <row r="185" spans="1:12">
      <c r="A185">
        <f t="shared" si="10"/>
        <v>5</v>
      </c>
      <c r="B185" t="str">
        <f t="shared" si="11"/>
        <v>mayo</v>
      </c>
      <c r="C185" s="55">
        <v>44342</v>
      </c>
      <c r="D185" s="43" t="s">
        <v>1582</v>
      </c>
      <c r="E185" s="43" t="s">
        <v>1547</v>
      </c>
      <c r="F185" s="43" t="s">
        <v>1548</v>
      </c>
      <c r="G185" s="43" t="s">
        <v>1562</v>
      </c>
      <c r="H185" s="43" t="s">
        <v>1550</v>
      </c>
      <c r="I185" s="43" t="s">
        <v>1551</v>
      </c>
      <c r="J185" s="43">
        <v>17.350000000000001</v>
      </c>
      <c r="K185" s="43">
        <v>8.67</v>
      </c>
      <c r="L185" s="43">
        <v>8.67</v>
      </c>
    </row>
    <row r="186" spans="1:12">
      <c r="A186">
        <f t="shared" si="10"/>
        <v>6</v>
      </c>
      <c r="B186" t="str">
        <f t="shared" si="11"/>
        <v>junio</v>
      </c>
      <c r="C186" s="55">
        <v>44349</v>
      </c>
      <c r="D186" s="43" t="s">
        <v>1570</v>
      </c>
      <c r="E186" s="43" t="s">
        <v>1547</v>
      </c>
      <c r="F186" s="43" t="s">
        <v>1548</v>
      </c>
      <c r="G186" s="43" t="s">
        <v>1562</v>
      </c>
      <c r="H186" s="43" t="s">
        <v>1572</v>
      </c>
      <c r="I186" s="43" t="s">
        <v>1551</v>
      </c>
      <c r="J186" s="43">
        <v>22.31</v>
      </c>
      <c r="K186" s="43">
        <v>11.15</v>
      </c>
      <c r="L186" s="43">
        <v>11.15</v>
      </c>
    </row>
    <row r="187" spans="1:12">
      <c r="A187">
        <f t="shared" si="10"/>
        <v>6</v>
      </c>
      <c r="B187" t="str">
        <f t="shared" si="11"/>
        <v>junio</v>
      </c>
      <c r="C187" s="55">
        <v>44360</v>
      </c>
      <c r="D187" s="43" t="s">
        <v>1584</v>
      </c>
      <c r="E187" s="43" t="s">
        <v>1547</v>
      </c>
      <c r="F187" s="43" t="s">
        <v>1548</v>
      </c>
      <c r="G187" s="43" t="s">
        <v>1554</v>
      </c>
      <c r="H187" s="43" t="s">
        <v>1555</v>
      </c>
      <c r="I187" s="43" t="s">
        <v>1560</v>
      </c>
      <c r="J187" s="43">
        <v>30.57</v>
      </c>
      <c r="K187" s="43">
        <v>15.29</v>
      </c>
      <c r="L187" s="43">
        <v>15.29</v>
      </c>
    </row>
    <row r="188" spans="1:12">
      <c r="A188">
        <f t="shared" si="10"/>
        <v>6</v>
      </c>
      <c r="B188" t="str">
        <f t="shared" si="11"/>
        <v>junio</v>
      </c>
      <c r="C188" s="55">
        <v>44365</v>
      </c>
      <c r="D188" s="43" t="s">
        <v>1552</v>
      </c>
      <c r="E188" s="43" t="s">
        <v>1557</v>
      </c>
      <c r="F188" s="43" t="s">
        <v>1548</v>
      </c>
      <c r="G188" s="43" t="s">
        <v>1568</v>
      </c>
      <c r="H188" s="43" t="s">
        <v>1567</v>
      </c>
      <c r="I188" s="43" t="s">
        <v>1564</v>
      </c>
      <c r="J188" s="43">
        <v>17.350000000000001</v>
      </c>
      <c r="K188" s="43">
        <v>8.67</v>
      </c>
      <c r="L188" s="43">
        <v>8.67</v>
      </c>
    </row>
    <row r="189" spans="1:12">
      <c r="A189">
        <f t="shared" si="10"/>
        <v>6</v>
      </c>
      <c r="B189" t="str">
        <f t="shared" si="11"/>
        <v>junio</v>
      </c>
      <c r="C189" s="55">
        <v>44366</v>
      </c>
      <c r="D189" s="43" t="s">
        <v>1570</v>
      </c>
      <c r="E189" s="43" t="s">
        <v>1557</v>
      </c>
      <c r="F189" s="43" t="s">
        <v>1548</v>
      </c>
      <c r="G189" s="43" t="s">
        <v>1568</v>
      </c>
      <c r="H189" s="43" t="s">
        <v>1567</v>
      </c>
      <c r="I189" s="43" t="s">
        <v>1560</v>
      </c>
      <c r="J189" s="43">
        <v>33.880000000000003</v>
      </c>
      <c r="K189" s="43">
        <v>16.940000000000001</v>
      </c>
      <c r="L189" s="43">
        <v>16.940000000000001</v>
      </c>
    </row>
    <row r="190" spans="1:12">
      <c r="A190">
        <f t="shared" si="10"/>
        <v>6</v>
      </c>
      <c r="B190" t="str">
        <f t="shared" si="11"/>
        <v>junio</v>
      </c>
      <c r="C190" s="55">
        <v>44376</v>
      </c>
      <c r="D190" s="43" t="s">
        <v>1579</v>
      </c>
      <c r="E190" s="43" t="s">
        <v>1547</v>
      </c>
      <c r="F190" s="43" t="s">
        <v>1548</v>
      </c>
      <c r="G190" s="43" t="s">
        <v>1562</v>
      </c>
      <c r="H190" s="43" t="s">
        <v>1578</v>
      </c>
      <c r="I190" s="43" t="s">
        <v>1560</v>
      </c>
      <c r="J190" s="43">
        <v>25.61</v>
      </c>
      <c r="K190" s="43">
        <v>12.81</v>
      </c>
      <c r="L190" s="43">
        <v>12.81</v>
      </c>
    </row>
    <row r="191" spans="1:12">
      <c r="A191">
        <f t="shared" si="10"/>
        <v>7</v>
      </c>
      <c r="B191" t="str">
        <f t="shared" si="11"/>
        <v>julio</v>
      </c>
      <c r="C191" s="55">
        <v>44390</v>
      </c>
      <c r="D191" s="43" t="s">
        <v>1585</v>
      </c>
      <c r="E191" s="43" t="s">
        <v>1547</v>
      </c>
      <c r="F191" s="43" t="s">
        <v>1548</v>
      </c>
      <c r="G191" s="43" t="s">
        <v>1562</v>
      </c>
      <c r="H191" s="43" t="s">
        <v>1550</v>
      </c>
      <c r="I191" s="43" t="s">
        <v>1551</v>
      </c>
      <c r="J191" s="43">
        <v>19</v>
      </c>
      <c r="K191" s="43">
        <v>9.5</v>
      </c>
      <c r="L191" s="43">
        <v>9.5</v>
      </c>
    </row>
    <row r="192" spans="1:12">
      <c r="A192">
        <f t="shared" si="10"/>
        <v>8</v>
      </c>
      <c r="B192" t="str">
        <f t="shared" si="11"/>
        <v>agosto</v>
      </c>
      <c r="C192" s="55">
        <v>44419</v>
      </c>
      <c r="D192" s="43" t="s">
        <v>1552</v>
      </c>
      <c r="E192" s="43" t="s">
        <v>1557</v>
      </c>
      <c r="F192" s="43" t="s">
        <v>1548</v>
      </c>
      <c r="G192" s="43" t="s">
        <v>1562</v>
      </c>
      <c r="H192" s="43" t="s">
        <v>1569</v>
      </c>
      <c r="I192" s="43" t="s">
        <v>1564</v>
      </c>
      <c r="J192" s="43">
        <v>17.350000000000001</v>
      </c>
      <c r="K192" s="43">
        <v>8.67</v>
      </c>
      <c r="L192" s="43">
        <v>8.67</v>
      </c>
    </row>
    <row r="193" spans="1:12">
      <c r="A193">
        <f t="shared" si="10"/>
        <v>8</v>
      </c>
      <c r="B193" t="str">
        <f t="shared" si="11"/>
        <v>agosto</v>
      </c>
      <c r="C193" s="55">
        <v>44436</v>
      </c>
      <c r="D193" s="43" t="s">
        <v>1579</v>
      </c>
      <c r="E193" s="43" t="s">
        <v>1557</v>
      </c>
      <c r="F193" s="43" t="s">
        <v>1548</v>
      </c>
      <c r="G193" s="43" t="s">
        <v>1549</v>
      </c>
      <c r="H193" s="43" t="s">
        <v>1555</v>
      </c>
      <c r="I193" s="43" t="s">
        <v>1560</v>
      </c>
      <c r="J193" s="43">
        <v>22.31</v>
      </c>
      <c r="K193" s="43">
        <v>11.15</v>
      </c>
      <c r="L193" s="43">
        <v>11.15</v>
      </c>
    </row>
    <row r="194" spans="1:12">
      <c r="A194">
        <f t="shared" si="10"/>
        <v>9</v>
      </c>
      <c r="B194" t="str">
        <f t="shared" si="11"/>
        <v>septiembre</v>
      </c>
      <c r="C194" s="55">
        <v>44445</v>
      </c>
      <c r="D194" s="43" t="s">
        <v>1570</v>
      </c>
      <c r="E194" s="43" t="s">
        <v>1557</v>
      </c>
      <c r="F194" s="43" t="s">
        <v>1548</v>
      </c>
      <c r="G194" s="43" t="s">
        <v>1562</v>
      </c>
      <c r="H194" s="43" t="s">
        <v>1563</v>
      </c>
      <c r="I194" s="43" t="s">
        <v>1564</v>
      </c>
      <c r="J194" s="43">
        <v>17.350000000000001</v>
      </c>
      <c r="K194" s="43">
        <v>8.67</v>
      </c>
      <c r="L194" s="43">
        <v>8.67</v>
      </c>
    </row>
    <row r="195" spans="1:12">
      <c r="A195">
        <f t="shared" ref="A195:A258" si="12">MONTH(C195)</f>
        <v>5</v>
      </c>
      <c r="B195" t="str">
        <f t="shared" ref="B195:B258" si="13">CHOOSE(MONTH(C195),"enero","febrero","marzo","abril","mayo","junio","julio","agosto","septiembre","octubre","noviembre","diciembre")</f>
        <v>mayo</v>
      </c>
      <c r="C195" s="55">
        <v>44317</v>
      </c>
      <c r="D195" s="43" t="s">
        <v>1574</v>
      </c>
      <c r="E195" s="43" t="s">
        <v>1557</v>
      </c>
      <c r="F195" s="43" t="s">
        <v>1575</v>
      </c>
      <c r="G195" s="43" t="s">
        <v>1562</v>
      </c>
      <c r="H195" s="43" t="s">
        <v>1563</v>
      </c>
      <c r="I195" s="43" t="s">
        <v>1560</v>
      </c>
      <c r="J195" s="43">
        <v>29.74</v>
      </c>
      <c r="K195" s="43">
        <v>14.87</v>
      </c>
      <c r="L195" s="43">
        <v>14.87</v>
      </c>
    </row>
    <row r="196" spans="1:12">
      <c r="A196">
        <f t="shared" si="12"/>
        <v>5</v>
      </c>
      <c r="B196" t="str">
        <f t="shared" si="13"/>
        <v>mayo</v>
      </c>
      <c r="C196" s="55">
        <v>44329</v>
      </c>
      <c r="D196" s="43" t="s">
        <v>1588</v>
      </c>
      <c r="E196" s="43" t="s">
        <v>1557</v>
      </c>
      <c r="F196" s="43" t="s">
        <v>1575</v>
      </c>
      <c r="G196" s="43" t="s">
        <v>1568</v>
      </c>
      <c r="H196" s="43" t="s">
        <v>1559</v>
      </c>
      <c r="I196" s="43" t="s">
        <v>1560</v>
      </c>
      <c r="J196" s="43">
        <v>39.659999999999997</v>
      </c>
      <c r="K196" s="43">
        <v>19.829999999999998</v>
      </c>
      <c r="L196" s="43">
        <v>19.829999999999998</v>
      </c>
    </row>
    <row r="197" spans="1:12">
      <c r="A197">
        <f t="shared" si="12"/>
        <v>5</v>
      </c>
      <c r="B197" t="str">
        <f t="shared" si="13"/>
        <v>mayo</v>
      </c>
      <c r="C197" s="55">
        <v>44329</v>
      </c>
      <c r="D197" s="43" t="s">
        <v>1574</v>
      </c>
      <c r="E197" s="43" t="s">
        <v>1547</v>
      </c>
      <c r="F197" s="43" t="s">
        <v>1575</v>
      </c>
      <c r="G197" s="43" t="s">
        <v>1568</v>
      </c>
      <c r="H197" s="43" t="s">
        <v>1572</v>
      </c>
      <c r="I197" s="43" t="s">
        <v>1560</v>
      </c>
      <c r="J197" s="43">
        <v>24.79</v>
      </c>
      <c r="K197" s="43">
        <v>12.39</v>
      </c>
      <c r="L197" s="43">
        <v>12.39</v>
      </c>
    </row>
    <row r="198" spans="1:12">
      <c r="A198">
        <f t="shared" si="12"/>
        <v>5</v>
      </c>
      <c r="B198" t="str">
        <f t="shared" si="13"/>
        <v>mayo</v>
      </c>
      <c r="C198" s="55">
        <v>44333</v>
      </c>
      <c r="D198" s="43" t="s">
        <v>1583</v>
      </c>
      <c r="E198" s="43" t="s">
        <v>1547</v>
      </c>
      <c r="F198" s="43" t="s">
        <v>1575</v>
      </c>
      <c r="G198" s="43" t="s">
        <v>1568</v>
      </c>
      <c r="H198" s="43" t="s">
        <v>1567</v>
      </c>
      <c r="I198" s="43" t="s">
        <v>1560</v>
      </c>
      <c r="J198" s="43">
        <v>36.36</v>
      </c>
      <c r="K198" s="43">
        <v>18.18</v>
      </c>
      <c r="L198" s="43">
        <v>18.18</v>
      </c>
    </row>
    <row r="199" spans="1:12">
      <c r="A199">
        <f t="shared" si="12"/>
        <v>5</v>
      </c>
      <c r="B199" t="str">
        <f t="shared" si="13"/>
        <v>mayo</v>
      </c>
      <c r="C199" s="55">
        <v>44333</v>
      </c>
      <c r="D199" s="43" t="s">
        <v>1587</v>
      </c>
      <c r="E199" s="43" t="s">
        <v>1547</v>
      </c>
      <c r="F199" s="43" t="s">
        <v>1575</v>
      </c>
      <c r="G199" s="43" t="s">
        <v>1568</v>
      </c>
      <c r="H199" s="43" t="s">
        <v>1563</v>
      </c>
      <c r="I199" s="43" t="s">
        <v>1560</v>
      </c>
      <c r="J199" s="43">
        <v>38.83</v>
      </c>
      <c r="K199" s="43">
        <v>19.420000000000002</v>
      </c>
      <c r="L199" s="43">
        <v>19.420000000000002</v>
      </c>
    </row>
    <row r="200" spans="1:12">
      <c r="A200">
        <f t="shared" si="12"/>
        <v>5</v>
      </c>
      <c r="B200" t="str">
        <f t="shared" si="13"/>
        <v>mayo</v>
      </c>
      <c r="C200" s="55">
        <v>44335</v>
      </c>
      <c r="D200" s="43" t="s">
        <v>1574</v>
      </c>
      <c r="E200" s="43" t="s">
        <v>1547</v>
      </c>
      <c r="F200" s="43" t="s">
        <v>1575</v>
      </c>
      <c r="G200" s="43" t="s">
        <v>1568</v>
      </c>
      <c r="H200" s="43" t="s">
        <v>1578</v>
      </c>
      <c r="I200" s="43" t="s">
        <v>1560</v>
      </c>
      <c r="J200" s="43">
        <v>22.31</v>
      </c>
      <c r="K200" s="43">
        <v>11.15</v>
      </c>
      <c r="L200" s="43">
        <v>11.15</v>
      </c>
    </row>
    <row r="201" spans="1:12">
      <c r="A201">
        <f t="shared" si="12"/>
        <v>5</v>
      </c>
      <c r="B201" t="str">
        <f t="shared" si="13"/>
        <v>mayo</v>
      </c>
      <c r="C201" s="55">
        <v>44343</v>
      </c>
      <c r="D201" s="43" t="s">
        <v>1571</v>
      </c>
      <c r="E201" s="43" t="s">
        <v>1547</v>
      </c>
      <c r="F201" s="43" t="s">
        <v>1575</v>
      </c>
      <c r="G201" s="43" t="s">
        <v>1554</v>
      </c>
      <c r="H201" s="43" t="s">
        <v>1559</v>
      </c>
      <c r="I201" s="43" t="s">
        <v>1551</v>
      </c>
      <c r="J201" s="43">
        <v>42.14</v>
      </c>
      <c r="K201" s="43">
        <v>21.07</v>
      </c>
      <c r="L201" s="43">
        <v>21.07</v>
      </c>
    </row>
    <row r="202" spans="1:12">
      <c r="A202">
        <f t="shared" si="12"/>
        <v>6</v>
      </c>
      <c r="B202" t="str">
        <f t="shared" si="13"/>
        <v>junio</v>
      </c>
      <c r="C202" s="55">
        <v>44348</v>
      </c>
      <c r="D202" s="43" t="s">
        <v>1546</v>
      </c>
      <c r="E202" s="43" t="s">
        <v>1547</v>
      </c>
      <c r="F202" s="43" t="s">
        <v>1575</v>
      </c>
      <c r="G202" s="43" t="s">
        <v>1562</v>
      </c>
      <c r="H202" s="43" t="s">
        <v>1563</v>
      </c>
      <c r="I202" s="43" t="s">
        <v>1560</v>
      </c>
      <c r="J202" s="43">
        <v>34.700000000000003</v>
      </c>
      <c r="K202" s="43">
        <v>17.350000000000001</v>
      </c>
      <c r="L202" s="43">
        <v>17.350000000000001</v>
      </c>
    </row>
    <row r="203" spans="1:12">
      <c r="A203">
        <f t="shared" si="12"/>
        <v>6</v>
      </c>
      <c r="B203" t="str">
        <f t="shared" si="13"/>
        <v>junio</v>
      </c>
      <c r="C203" s="55">
        <v>44348</v>
      </c>
      <c r="D203" s="43" t="s">
        <v>1573</v>
      </c>
      <c r="E203" s="43" t="s">
        <v>1547</v>
      </c>
      <c r="F203" s="43" t="s">
        <v>1575</v>
      </c>
      <c r="G203" s="43" t="s">
        <v>1549</v>
      </c>
      <c r="H203" s="43" t="s">
        <v>1572</v>
      </c>
      <c r="I203" s="43" t="s">
        <v>1551</v>
      </c>
      <c r="J203" s="43">
        <v>33.049999999999997</v>
      </c>
      <c r="K203" s="43">
        <v>16.52</v>
      </c>
      <c r="L203" s="43">
        <v>16.52</v>
      </c>
    </row>
    <row r="204" spans="1:12">
      <c r="A204">
        <f t="shared" si="12"/>
        <v>6</v>
      </c>
      <c r="B204" t="str">
        <f t="shared" si="13"/>
        <v>junio</v>
      </c>
      <c r="C204" s="55">
        <v>44354</v>
      </c>
      <c r="D204" s="43" t="s">
        <v>1579</v>
      </c>
      <c r="E204" s="43" t="s">
        <v>1557</v>
      </c>
      <c r="F204" s="43" t="s">
        <v>1575</v>
      </c>
      <c r="G204" s="43" t="s">
        <v>1549</v>
      </c>
      <c r="H204" s="43" t="s">
        <v>1559</v>
      </c>
      <c r="I204" s="43" t="s">
        <v>1560</v>
      </c>
      <c r="J204" s="43">
        <v>28.09</v>
      </c>
      <c r="K204" s="43">
        <v>14.05</v>
      </c>
      <c r="L204" s="43">
        <v>14.05</v>
      </c>
    </row>
    <row r="205" spans="1:12">
      <c r="A205">
        <f t="shared" si="12"/>
        <v>6</v>
      </c>
      <c r="B205" t="str">
        <f t="shared" si="13"/>
        <v>junio</v>
      </c>
      <c r="C205" s="55">
        <v>44361</v>
      </c>
      <c r="D205" s="43" t="s">
        <v>1589</v>
      </c>
      <c r="E205" s="43" t="s">
        <v>1557</v>
      </c>
      <c r="F205" s="43" t="s">
        <v>1575</v>
      </c>
      <c r="G205" s="43" t="s">
        <v>1554</v>
      </c>
      <c r="H205" s="43" t="s">
        <v>1555</v>
      </c>
      <c r="I205" s="43" t="s">
        <v>1560</v>
      </c>
      <c r="J205" s="43">
        <v>28.92</v>
      </c>
      <c r="K205" s="43">
        <v>14.46</v>
      </c>
      <c r="L205" s="43">
        <v>14.46</v>
      </c>
    </row>
    <row r="206" spans="1:12">
      <c r="A206">
        <f t="shared" si="12"/>
        <v>6</v>
      </c>
      <c r="B206" t="str">
        <f t="shared" si="13"/>
        <v>junio</v>
      </c>
      <c r="C206" s="55">
        <v>44377</v>
      </c>
      <c r="D206" s="43" t="s">
        <v>1552</v>
      </c>
      <c r="E206" s="43" t="s">
        <v>1557</v>
      </c>
      <c r="F206" s="43" t="s">
        <v>1575</v>
      </c>
      <c r="G206" s="43" t="s">
        <v>1549</v>
      </c>
      <c r="H206" s="43" t="s">
        <v>1555</v>
      </c>
      <c r="I206" s="43" t="s">
        <v>1560</v>
      </c>
      <c r="J206" s="43">
        <v>26.44</v>
      </c>
      <c r="K206" s="43">
        <v>13.22</v>
      </c>
      <c r="L206" s="43">
        <v>13.22</v>
      </c>
    </row>
    <row r="207" spans="1:12">
      <c r="A207">
        <f t="shared" si="12"/>
        <v>7</v>
      </c>
      <c r="B207" t="str">
        <f t="shared" si="13"/>
        <v>julio</v>
      </c>
      <c r="C207" s="55">
        <v>44381</v>
      </c>
      <c r="D207" s="43" t="s">
        <v>1565</v>
      </c>
      <c r="E207" s="43" t="s">
        <v>1547</v>
      </c>
      <c r="F207" s="43" t="s">
        <v>1575</v>
      </c>
      <c r="G207" s="43" t="s">
        <v>1554</v>
      </c>
      <c r="H207" s="43" t="s">
        <v>1569</v>
      </c>
      <c r="I207" s="43" t="s">
        <v>1551</v>
      </c>
      <c r="J207" s="43">
        <v>24.79</v>
      </c>
      <c r="K207" s="43">
        <v>12.39</v>
      </c>
      <c r="L207" s="43">
        <v>12.39</v>
      </c>
    </row>
    <row r="208" spans="1:12">
      <c r="A208">
        <f t="shared" si="12"/>
        <v>7</v>
      </c>
      <c r="B208" t="str">
        <f t="shared" si="13"/>
        <v>julio</v>
      </c>
      <c r="C208" s="55">
        <v>44391</v>
      </c>
      <c r="D208" s="43" t="s">
        <v>1588</v>
      </c>
      <c r="E208" s="43" t="s">
        <v>1547</v>
      </c>
      <c r="F208" s="43" t="s">
        <v>1575</v>
      </c>
      <c r="G208" s="43" t="s">
        <v>1554</v>
      </c>
      <c r="H208" s="43" t="s">
        <v>1563</v>
      </c>
      <c r="I208" s="43" t="s">
        <v>1560</v>
      </c>
      <c r="J208" s="43">
        <v>18.170000000000002</v>
      </c>
      <c r="K208" s="43">
        <v>9.09</v>
      </c>
      <c r="L208" s="43">
        <v>9.09</v>
      </c>
    </row>
    <row r="209" spans="1:12">
      <c r="A209">
        <f t="shared" si="12"/>
        <v>7</v>
      </c>
      <c r="B209" t="str">
        <f t="shared" si="13"/>
        <v>julio</v>
      </c>
      <c r="C209" s="55">
        <v>44394</v>
      </c>
      <c r="D209" s="43" t="s">
        <v>1585</v>
      </c>
      <c r="E209" s="43" t="s">
        <v>1547</v>
      </c>
      <c r="F209" s="43" t="s">
        <v>1575</v>
      </c>
      <c r="G209" s="43" t="s">
        <v>1568</v>
      </c>
      <c r="H209" s="43" t="s">
        <v>1559</v>
      </c>
      <c r="I209" s="43" t="s">
        <v>1551</v>
      </c>
      <c r="J209" s="43">
        <v>22.31</v>
      </c>
      <c r="K209" s="43">
        <v>11.15</v>
      </c>
      <c r="L209" s="43">
        <v>11.15</v>
      </c>
    </row>
    <row r="210" spans="1:12">
      <c r="A210">
        <f t="shared" si="12"/>
        <v>7</v>
      </c>
      <c r="B210" t="str">
        <f t="shared" si="13"/>
        <v>julio</v>
      </c>
      <c r="C210" s="55">
        <v>44397</v>
      </c>
      <c r="D210" s="43" t="s">
        <v>1586</v>
      </c>
      <c r="E210" s="43" t="s">
        <v>1547</v>
      </c>
      <c r="F210" s="43" t="s">
        <v>1575</v>
      </c>
      <c r="G210" s="43" t="s">
        <v>1549</v>
      </c>
      <c r="H210" s="43" t="s">
        <v>1550</v>
      </c>
      <c r="I210" s="43" t="s">
        <v>1560</v>
      </c>
      <c r="J210" s="43">
        <v>38.83</v>
      </c>
      <c r="K210" s="43">
        <v>19.420000000000002</v>
      </c>
      <c r="L210" s="43">
        <v>19.420000000000002</v>
      </c>
    </row>
    <row r="211" spans="1:12">
      <c r="A211">
        <f t="shared" si="12"/>
        <v>7</v>
      </c>
      <c r="B211" t="str">
        <f t="shared" si="13"/>
        <v>julio</v>
      </c>
      <c r="C211" s="55">
        <v>44398</v>
      </c>
      <c r="D211" s="43" t="s">
        <v>1573</v>
      </c>
      <c r="E211" s="43" t="s">
        <v>1547</v>
      </c>
      <c r="F211" s="43" t="s">
        <v>1575</v>
      </c>
      <c r="G211" s="43" t="s">
        <v>1562</v>
      </c>
      <c r="H211" s="43" t="s">
        <v>1569</v>
      </c>
      <c r="I211" s="43" t="s">
        <v>1560</v>
      </c>
      <c r="J211" s="43">
        <v>37.18</v>
      </c>
      <c r="K211" s="43">
        <v>18.59</v>
      </c>
      <c r="L211" s="43">
        <v>18.59</v>
      </c>
    </row>
    <row r="212" spans="1:12">
      <c r="A212">
        <f t="shared" si="12"/>
        <v>8</v>
      </c>
      <c r="B212" t="str">
        <f t="shared" si="13"/>
        <v>agosto</v>
      </c>
      <c r="C212" s="55">
        <v>44423</v>
      </c>
      <c r="D212" s="43" t="s">
        <v>1585</v>
      </c>
      <c r="E212" s="43" t="s">
        <v>1557</v>
      </c>
      <c r="F212" s="43" t="s">
        <v>1575</v>
      </c>
      <c r="G212" s="43" t="s">
        <v>1562</v>
      </c>
      <c r="H212" s="43" t="s">
        <v>1550</v>
      </c>
      <c r="I212" s="43" t="s">
        <v>1560</v>
      </c>
      <c r="J212" s="43">
        <v>26.44</v>
      </c>
      <c r="K212" s="43">
        <v>13.22</v>
      </c>
      <c r="L212" s="43">
        <v>13.22</v>
      </c>
    </row>
    <row r="213" spans="1:12">
      <c r="A213">
        <f t="shared" si="12"/>
        <v>8</v>
      </c>
      <c r="B213" t="str">
        <f t="shared" si="13"/>
        <v>agosto</v>
      </c>
      <c r="C213" s="55">
        <v>44429</v>
      </c>
      <c r="D213" s="43" t="s">
        <v>1565</v>
      </c>
      <c r="E213" s="43" t="s">
        <v>1547</v>
      </c>
      <c r="F213" s="43" t="s">
        <v>1575</v>
      </c>
      <c r="G213" s="43" t="s">
        <v>1562</v>
      </c>
      <c r="H213" s="43" t="s">
        <v>1567</v>
      </c>
      <c r="I213" s="43" t="s">
        <v>1560</v>
      </c>
      <c r="J213" s="43">
        <v>19.829999999999998</v>
      </c>
      <c r="K213" s="43">
        <v>9.91</v>
      </c>
      <c r="L213" s="43">
        <v>9.91</v>
      </c>
    </row>
    <row r="214" spans="1:12">
      <c r="A214">
        <f t="shared" si="12"/>
        <v>9</v>
      </c>
      <c r="B214" t="str">
        <f t="shared" si="13"/>
        <v>septiembre</v>
      </c>
      <c r="C214" s="55">
        <v>44459</v>
      </c>
      <c r="D214" s="43" t="s">
        <v>1574</v>
      </c>
      <c r="E214" s="43" t="s">
        <v>1547</v>
      </c>
      <c r="F214" s="43" t="s">
        <v>1575</v>
      </c>
      <c r="G214" s="43" t="s">
        <v>1562</v>
      </c>
      <c r="H214" s="43" t="s">
        <v>1559</v>
      </c>
      <c r="I214" s="43" t="s">
        <v>1551</v>
      </c>
      <c r="J214" s="43">
        <v>28.92</v>
      </c>
      <c r="K214" s="43">
        <v>14.46</v>
      </c>
      <c r="L214" s="43">
        <v>14.46</v>
      </c>
    </row>
    <row r="215" spans="1:12">
      <c r="A215">
        <f t="shared" si="12"/>
        <v>5</v>
      </c>
      <c r="B215" t="str">
        <f t="shared" si="13"/>
        <v>mayo</v>
      </c>
      <c r="C215" s="55">
        <v>44324</v>
      </c>
      <c r="D215" s="43" t="s">
        <v>1588</v>
      </c>
      <c r="E215" s="43" t="s">
        <v>1557</v>
      </c>
      <c r="F215" s="43" t="s">
        <v>1590</v>
      </c>
      <c r="G215" s="43" t="s">
        <v>1549</v>
      </c>
      <c r="H215" s="43" t="s">
        <v>1569</v>
      </c>
      <c r="I215" s="43" t="s">
        <v>1560</v>
      </c>
      <c r="J215" s="43">
        <v>23.13</v>
      </c>
      <c r="K215" s="43">
        <v>11.57</v>
      </c>
      <c r="L215" s="43">
        <v>11.57</v>
      </c>
    </row>
    <row r="216" spans="1:12">
      <c r="A216">
        <f t="shared" si="12"/>
        <v>5</v>
      </c>
      <c r="B216" t="str">
        <f t="shared" si="13"/>
        <v>mayo</v>
      </c>
      <c r="C216" s="55">
        <v>44325</v>
      </c>
      <c r="D216" s="43" t="s">
        <v>1588</v>
      </c>
      <c r="E216" s="43" t="s">
        <v>1557</v>
      </c>
      <c r="F216" s="43" t="s">
        <v>1590</v>
      </c>
      <c r="G216" s="43" t="s">
        <v>1562</v>
      </c>
      <c r="H216" s="43" t="s">
        <v>1578</v>
      </c>
      <c r="I216" s="43" t="s">
        <v>1564</v>
      </c>
      <c r="J216" s="43">
        <v>18.170000000000002</v>
      </c>
      <c r="K216" s="43">
        <v>9.09</v>
      </c>
      <c r="L216" s="43">
        <v>9.09</v>
      </c>
    </row>
    <row r="217" spans="1:12">
      <c r="A217">
        <f t="shared" si="12"/>
        <v>5</v>
      </c>
      <c r="B217" t="str">
        <f t="shared" si="13"/>
        <v>mayo</v>
      </c>
      <c r="C217" s="55">
        <v>44326</v>
      </c>
      <c r="D217" s="43" t="s">
        <v>1589</v>
      </c>
      <c r="E217" s="43" t="s">
        <v>1557</v>
      </c>
      <c r="F217" s="43" t="s">
        <v>1590</v>
      </c>
      <c r="G217" s="43" t="s">
        <v>1549</v>
      </c>
      <c r="H217" s="43" t="s">
        <v>1569</v>
      </c>
      <c r="I217" s="43" t="s">
        <v>1560</v>
      </c>
      <c r="J217" s="43">
        <v>19.829999999999998</v>
      </c>
      <c r="K217" s="43">
        <v>9.91</v>
      </c>
      <c r="L217" s="43">
        <v>9.91</v>
      </c>
    </row>
    <row r="218" spans="1:12">
      <c r="A218">
        <f t="shared" si="12"/>
        <v>5</v>
      </c>
      <c r="B218" t="str">
        <f t="shared" si="13"/>
        <v>mayo</v>
      </c>
      <c r="C218" s="55">
        <v>44336</v>
      </c>
      <c r="D218" s="43" t="s">
        <v>1587</v>
      </c>
      <c r="E218" s="43" t="s">
        <v>1547</v>
      </c>
      <c r="F218" s="43" t="s">
        <v>1590</v>
      </c>
      <c r="G218" s="43" t="s">
        <v>1554</v>
      </c>
      <c r="H218" s="43" t="s">
        <v>1569</v>
      </c>
      <c r="I218" s="43" t="s">
        <v>1560</v>
      </c>
      <c r="J218" s="43">
        <v>24.79</v>
      </c>
      <c r="K218" s="43">
        <v>12.39</v>
      </c>
      <c r="L218" s="43">
        <v>12.39</v>
      </c>
    </row>
    <row r="219" spans="1:12">
      <c r="A219">
        <f t="shared" si="12"/>
        <v>5</v>
      </c>
      <c r="B219" t="str">
        <f t="shared" si="13"/>
        <v>mayo</v>
      </c>
      <c r="C219" s="55">
        <v>44338</v>
      </c>
      <c r="D219" s="43" t="s">
        <v>1585</v>
      </c>
      <c r="E219" s="43" t="s">
        <v>1547</v>
      </c>
      <c r="F219" s="43" t="s">
        <v>1590</v>
      </c>
      <c r="G219" s="43" t="s">
        <v>1568</v>
      </c>
      <c r="H219" s="43" t="s">
        <v>1578</v>
      </c>
      <c r="I219" s="43" t="s">
        <v>1551</v>
      </c>
      <c r="J219" s="43">
        <v>21.48</v>
      </c>
      <c r="K219" s="43">
        <v>10.74</v>
      </c>
      <c r="L219" s="43">
        <v>10.74</v>
      </c>
    </row>
    <row r="220" spans="1:12">
      <c r="A220">
        <f t="shared" si="12"/>
        <v>6</v>
      </c>
      <c r="B220" t="str">
        <f t="shared" si="13"/>
        <v>junio</v>
      </c>
      <c r="C220" s="55">
        <v>44363</v>
      </c>
      <c r="D220" s="43" t="s">
        <v>1582</v>
      </c>
      <c r="E220" s="43" t="s">
        <v>1557</v>
      </c>
      <c r="F220" s="43" t="s">
        <v>1590</v>
      </c>
      <c r="G220" s="43" t="s">
        <v>1568</v>
      </c>
      <c r="H220" s="43" t="s">
        <v>1569</v>
      </c>
      <c r="I220" s="43" t="s">
        <v>1560</v>
      </c>
      <c r="J220" s="43">
        <v>19</v>
      </c>
      <c r="K220" s="43">
        <v>9.5</v>
      </c>
      <c r="L220" s="43">
        <v>9.5</v>
      </c>
    </row>
    <row r="221" spans="1:12">
      <c r="A221">
        <f t="shared" si="12"/>
        <v>6</v>
      </c>
      <c r="B221" t="str">
        <f t="shared" si="13"/>
        <v>junio</v>
      </c>
      <c r="C221" s="55">
        <v>44368</v>
      </c>
      <c r="D221" s="43" t="s">
        <v>1571</v>
      </c>
      <c r="E221" s="43" t="s">
        <v>1557</v>
      </c>
      <c r="F221" s="43" t="s">
        <v>1590</v>
      </c>
      <c r="G221" s="43" t="s">
        <v>1568</v>
      </c>
      <c r="H221" s="43" t="s">
        <v>1550</v>
      </c>
      <c r="I221" s="43" t="s">
        <v>1560</v>
      </c>
      <c r="J221" s="43">
        <v>25.61</v>
      </c>
      <c r="K221" s="43">
        <v>12.81</v>
      </c>
      <c r="L221" s="43">
        <v>12.81</v>
      </c>
    </row>
    <row r="222" spans="1:12">
      <c r="A222">
        <f t="shared" si="12"/>
        <v>6</v>
      </c>
      <c r="B222" t="str">
        <f t="shared" si="13"/>
        <v>junio</v>
      </c>
      <c r="C222" s="55">
        <v>44370</v>
      </c>
      <c r="D222" s="43" t="s">
        <v>1583</v>
      </c>
      <c r="E222" s="43" t="s">
        <v>1547</v>
      </c>
      <c r="F222" s="43" t="s">
        <v>1590</v>
      </c>
      <c r="G222" s="43" t="s">
        <v>1568</v>
      </c>
      <c r="H222" s="43" t="s">
        <v>1567</v>
      </c>
      <c r="I222" s="43" t="s">
        <v>1551</v>
      </c>
      <c r="J222" s="43">
        <v>18.170000000000002</v>
      </c>
      <c r="K222" s="43">
        <v>9.09</v>
      </c>
      <c r="L222" s="43">
        <v>9.09</v>
      </c>
    </row>
    <row r="223" spans="1:12">
      <c r="A223">
        <f t="shared" si="12"/>
        <v>6</v>
      </c>
      <c r="B223" t="str">
        <f t="shared" si="13"/>
        <v>junio</v>
      </c>
      <c r="C223" s="55">
        <v>44373</v>
      </c>
      <c r="D223" s="43" t="s">
        <v>1589</v>
      </c>
      <c r="E223" s="43" t="s">
        <v>1547</v>
      </c>
      <c r="F223" s="43" t="s">
        <v>1590</v>
      </c>
      <c r="G223" s="43" t="s">
        <v>1562</v>
      </c>
      <c r="H223" s="43" t="s">
        <v>1559</v>
      </c>
      <c r="I223" s="43" t="s">
        <v>1560</v>
      </c>
      <c r="J223" s="43">
        <v>24.79</v>
      </c>
      <c r="K223" s="43">
        <v>12.39</v>
      </c>
      <c r="L223" s="43">
        <v>12.39</v>
      </c>
    </row>
    <row r="224" spans="1:12">
      <c r="A224">
        <f t="shared" si="12"/>
        <v>7</v>
      </c>
      <c r="B224" t="str">
        <f t="shared" si="13"/>
        <v>julio</v>
      </c>
      <c r="C224" s="55">
        <v>44378</v>
      </c>
      <c r="D224" s="43" t="s">
        <v>1585</v>
      </c>
      <c r="E224" s="43" t="s">
        <v>1547</v>
      </c>
      <c r="F224" s="43" t="s">
        <v>1590</v>
      </c>
      <c r="G224" s="43" t="s">
        <v>1549</v>
      </c>
      <c r="H224" s="43" t="s">
        <v>1559</v>
      </c>
      <c r="I224" s="43" t="s">
        <v>1560</v>
      </c>
      <c r="J224" s="43">
        <v>17.350000000000001</v>
      </c>
      <c r="K224" s="43">
        <v>8.67</v>
      </c>
      <c r="L224" s="43">
        <v>8.67</v>
      </c>
    </row>
    <row r="225" spans="1:12">
      <c r="A225">
        <f t="shared" si="12"/>
        <v>7</v>
      </c>
      <c r="B225" t="str">
        <f t="shared" si="13"/>
        <v>julio</v>
      </c>
      <c r="C225" s="55">
        <v>44384</v>
      </c>
      <c r="D225" s="43" t="s">
        <v>1582</v>
      </c>
      <c r="E225" s="43" t="s">
        <v>1557</v>
      </c>
      <c r="F225" s="43" t="s">
        <v>1590</v>
      </c>
      <c r="G225" s="43" t="s">
        <v>1568</v>
      </c>
      <c r="H225" s="43" t="s">
        <v>1567</v>
      </c>
      <c r="I225" s="43" t="s">
        <v>1560</v>
      </c>
      <c r="J225" s="43">
        <v>14.04</v>
      </c>
      <c r="K225" s="43">
        <v>7.02</v>
      </c>
      <c r="L225" s="43">
        <v>7.02</v>
      </c>
    </row>
    <row r="226" spans="1:12">
      <c r="A226">
        <f t="shared" si="12"/>
        <v>7</v>
      </c>
      <c r="B226" t="str">
        <f t="shared" si="13"/>
        <v>julio</v>
      </c>
      <c r="C226" s="55">
        <v>44387</v>
      </c>
      <c r="D226" s="43" t="s">
        <v>1546</v>
      </c>
      <c r="E226" s="43" t="s">
        <v>1547</v>
      </c>
      <c r="F226" s="43" t="s">
        <v>1590</v>
      </c>
      <c r="G226" s="43" t="s">
        <v>1554</v>
      </c>
      <c r="H226" s="43" t="s">
        <v>1550</v>
      </c>
      <c r="I226" s="43" t="s">
        <v>1560</v>
      </c>
      <c r="J226" s="43">
        <v>20.65</v>
      </c>
      <c r="K226" s="43">
        <v>10.33</v>
      </c>
      <c r="L226" s="43">
        <v>10.33</v>
      </c>
    </row>
    <row r="227" spans="1:12">
      <c r="A227">
        <f t="shared" si="12"/>
        <v>7</v>
      </c>
      <c r="B227" t="str">
        <f t="shared" si="13"/>
        <v>julio</v>
      </c>
      <c r="C227" s="55">
        <v>44392</v>
      </c>
      <c r="D227" s="43" t="s">
        <v>1587</v>
      </c>
      <c r="E227" s="43" t="s">
        <v>1557</v>
      </c>
      <c r="F227" s="43" t="s">
        <v>1590</v>
      </c>
      <c r="G227" s="43" t="s">
        <v>1549</v>
      </c>
      <c r="H227" s="43" t="s">
        <v>1563</v>
      </c>
      <c r="I227" s="43" t="s">
        <v>1560</v>
      </c>
      <c r="J227" s="43">
        <v>15.69</v>
      </c>
      <c r="K227" s="43">
        <v>7.85</v>
      </c>
      <c r="L227" s="43">
        <v>7.85</v>
      </c>
    </row>
    <row r="228" spans="1:12">
      <c r="A228">
        <f t="shared" si="12"/>
        <v>7</v>
      </c>
      <c r="B228" t="str">
        <f t="shared" si="13"/>
        <v>julio</v>
      </c>
      <c r="C228" s="55">
        <v>44393</v>
      </c>
      <c r="D228" s="43" t="s">
        <v>1587</v>
      </c>
      <c r="E228" s="43" t="s">
        <v>1557</v>
      </c>
      <c r="F228" s="43" t="s">
        <v>1590</v>
      </c>
      <c r="G228" s="43" t="s">
        <v>1568</v>
      </c>
      <c r="H228" s="43" t="s">
        <v>1569</v>
      </c>
      <c r="I228" s="43" t="s">
        <v>1564</v>
      </c>
      <c r="J228" s="43">
        <v>19.829999999999998</v>
      </c>
      <c r="K228" s="43">
        <v>9.91</v>
      </c>
      <c r="L228" s="43">
        <v>9.91</v>
      </c>
    </row>
    <row r="229" spans="1:12">
      <c r="A229">
        <f t="shared" si="12"/>
        <v>7</v>
      </c>
      <c r="B229" t="str">
        <f t="shared" si="13"/>
        <v>julio</v>
      </c>
      <c r="C229" s="55">
        <v>44403</v>
      </c>
      <c r="D229" s="43" t="s">
        <v>1581</v>
      </c>
      <c r="E229" s="43" t="s">
        <v>1557</v>
      </c>
      <c r="F229" s="43" t="s">
        <v>1590</v>
      </c>
      <c r="G229" s="43" t="s">
        <v>1562</v>
      </c>
      <c r="H229" s="43" t="s">
        <v>1569</v>
      </c>
      <c r="I229" s="43" t="s">
        <v>1560</v>
      </c>
      <c r="J229" s="43">
        <v>14.87</v>
      </c>
      <c r="K229" s="43">
        <v>7.43</v>
      </c>
      <c r="L229" s="43">
        <v>7.43</v>
      </c>
    </row>
    <row r="230" spans="1:12">
      <c r="A230">
        <f t="shared" si="12"/>
        <v>8</v>
      </c>
      <c r="B230" t="str">
        <f t="shared" si="13"/>
        <v>agosto</v>
      </c>
      <c r="C230" s="55">
        <v>44422</v>
      </c>
      <c r="D230" s="43" t="s">
        <v>1556</v>
      </c>
      <c r="E230" s="43" t="s">
        <v>1547</v>
      </c>
      <c r="F230" s="43" t="s">
        <v>1590</v>
      </c>
      <c r="G230" s="43" t="s">
        <v>1549</v>
      </c>
      <c r="H230" s="43" t="s">
        <v>1555</v>
      </c>
      <c r="I230" s="43" t="s">
        <v>1560</v>
      </c>
      <c r="J230" s="43">
        <v>13.21</v>
      </c>
      <c r="K230" s="43">
        <v>6.61</v>
      </c>
      <c r="L230" s="43">
        <v>6.61</v>
      </c>
    </row>
    <row r="231" spans="1:12">
      <c r="A231">
        <f t="shared" si="12"/>
        <v>8</v>
      </c>
      <c r="B231" t="str">
        <f t="shared" si="13"/>
        <v>agosto</v>
      </c>
      <c r="C231" s="55">
        <v>44427</v>
      </c>
      <c r="D231" s="43" t="s">
        <v>1552</v>
      </c>
      <c r="E231" s="43" t="s">
        <v>1547</v>
      </c>
      <c r="F231" s="43" t="s">
        <v>1590</v>
      </c>
      <c r="G231" s="43" t="s">
        <v>1568</v>
      </c>
      <c r="H231" s="43" t="s">
        <v>1563</v>
      </c>
      <c r="I231" s="43" t="s">
        <v>1551</v>
      </c>
      <c r="J231" s="43">
        <v>20.65</v>
      </c>
      <c r="K231" s="43">
        <v>10.33</v>
      </c>
      <c r="L231" s="43">
        <v>10.33</v>
      </c>
    </row>
    <row r="232" spans="1:12">
      <c r="A232">
        <f t="shared" si="12"/>
        <v>8</v>
      </c>
      <c r="B232" t="str">
        <f t="shared" si="13"/>
        <v>agosto</v>
      </c>
      <c r="C232" s="55">
        <v>44430</v>
      </c>
      <c r="D232" s="43" t="s">
        <v>1573</v>
      </c>
      <c r="E232" s="43" t="s">
        <v>1557</v>
      </c>
      <c r="F232" s="43" t="s">
        <v>1590</v>
      </c>
      <c r="G232" s="43" t="s">
        <v>1554</v>
      </c>
      <c r="H232" s="43" t="s">
        <v>1572</v>
      </c>
      <c r="I232" s="43" t="s">
        <v>1564</v>
      </c>
      <c r="J232" s="43">
        <v>17.350000000000001</v>
      </c>
      <c r="K232" s="43">
        <v>8.67</v>
      </c>
      <c r="L232" s="43">
        <v>8.67</v>
      </c>
    </row>
    <row r="233" spans="1:12">
      <c r="A233">
        <f t="shared" si="12"/>
        <v>8</v>
      </c>
      <c r="B233" t="str">
        <f t="shared" si="13"/>
        <v>agosto</v>
      </c>
      <c r="C233" s="55">
        <v>44431</v>
      </c>
      <c r="D233" s="43" t="s">
        <v>1581</v>
      </c>
      <c r="E233" s="43" t="s">
        <v>1557</v>
      </c>
      <c r="F233" s="43" t="s">
        <v>1590</v>
      </c>
      <c r="G233" s="43" t="s">
        <v>1568</v>
      </c>
      <c r="H233" s="43" t="s">
        <v>1550</v>
      </c>
      <c r="I233" s="43" t="s">
        <v>1560</v>
      </c>
      <c r="J233" s="43">
        <v>21.48</v>
      </c>
      <c r="K233" s="43">
        <v>10.74</v>
      </c>
      <c r="L233" s="43">
        <v>10.74</v>
      </c>
    </row>
    <row r="234" spans="1:12">
      <c r="A234">
        <f t="shared" si="12"/>
        <v>9</v>
      </c>
      <c r="B234" t="str">
        <f t="shared" si="13"/>
        <v>septiembre</v>
      </c>
      <c r="C234" s="55">
        <v>44444</v>
      </c>
      <c r="D234" s="43" t="s">
        <v>1581</v>
      </c>
      <c r="E234" s="43" t="s">
        <v>1557</v>
      </c>
      <c r="F234" s="43" t="s">
        <v>1590</v>
      </c>
      <c r="G234" s="43" t="s">
        <v>1549</v>
      </c>
      <c r="H234" s="43" t="s">
        <v>1572</v>
      </c>
      <c r="I234" s="43" t="s">
        <v>1564</v>
      </c>
      <c r="J234" s="43">
        <v>16.52</v>
      </c>
      <c r="K234" s="43">
        <v>8.26</v>
      </c>
      <c r="L234" s="43">
        <v>8.26</v>
      </c>
    </row>
    <row r="235" spans="1:12">
      <c r="A235">
        <f t="shared" si="12"/>
        <v>9</v>
      </c>
      <c r="B235" t="str">
        <f t="shared" si="13"/>
        <v>septiembre</v>
      </c>
      <c r="C235" s="55">
        <v>44445</v>
      </c>
      <c r="D235" s="43" t="s">
        <v>1565</v>
      </c>
      <c r="E235" s="43" t="s">
        <v>1557</v>
      </c>
      <c r="F235" s="43" t="s">
        <v>1590</v>
      </c>
      <c r="G235" s="43" t="s">
        <v>1568</v>
      </c>
      <c r="H235" s="43" t="s">
        <v>1555</v>
      </c>
      <c r="I235" s="43" t="s">
        <v>1560</v>
      </c>
      <c r="J235" s="43">
        <v>19.829999999999998</v>
      </c>
      <c r="K235" s="43">
        <v>9.91</v>
      </c>
      <c r="L235" s="43">
        <v>9.91</v>
      </c>
    </row>
    <row r="236" spans="1:12">
      <c r="A236">
        <f t="shared" si="12"/>
        <v>9</v>
      </c>
      <c r="B236" t="str">
        <f t="shared" si="13"/>
        <v>septiembre</v>
      </c>
      <c r="C236" s="55">
        <v>44446</v>
      </c>
      <c r="D236" s="43" t="s">
        <v>1573</v>
      </c>
      <c r="E236" s="43" t="s">
        <v>1557</v>
      </c>
      <c r="F236" s="43" t="s">
        <v>1590</v>
      </c>
      <c r="G236" s="43" t="s">
        <v>1562</v>
      </c>
      <c r="H236" s="43" t="s">
        <v>1567</v>
      </c>
      <c r="I236" s="43" t="s">
        <v>1560</v>
      </c>
      <c r="J236" s="43">
        <v>19</v>
      </c>
      <c r="K236" s="43">
        <v>9.5</v>
      </c>
      <c r="L236" s="43">
        <v>9.5</v>
      </c>
    </row>
    <row r="237" spans="1:12">
      <c r="A237">
        <f t="shared" si="12"/>
        <v>9</v>
      </c>
      <c r="B237" t="str">
        <f t="shared" si="13"/>
        <v>septiembre</v>
      </c>
      <c r="C237" s="55">
        <v>44451</v>
      </c>
      <c r="D237" s="43" t="s">
        <v>1565</v>
      </c>
      <c r="E237" s="43" t="s">
        <v>1547</v>
      </c>
      <c r="F237" s="43" t="s">
        <v>1590</v>
      </c>
      <c r="G237" s="43" t="s">
        <v>1562</v>
      </c>
      <c r="H237" s="43" t="s">
        <v>1563</v>
      </c>
      <c r="I237" s="43" t="s">
        <v>1551</v>
      </c>
      <c r="J237" s="43">
        <v>24.79</v>
      </c>
      <c r="K237" s="43">
        <v>12.39</v>
      </c>
      <c r="L237" s="43">
        <v>12.39</v>
      </c>
    </row>
    <row r="238" spans="1:12">
      <c r="A238">
        <f t="shared" si="12"/>
        <v>9</v>
      </c>
      <c r="B238" t="str">
        <f t="shared" si="13"/>
        <v>septiembre</v>
      </c>
      <c r="C238" s="55">
        <v>44461</v>
      </c>
      <c r="D238" s="43" t="s">
        <v>1588</v>
      </c>
      <c r="E238" s="43" t="s">
        <v>1557</v>
      </c>
      <c r="F238" s="43" t="s">
        <v>1590</v>
      </c>
      <c r="G238" s="43" t="s">
        <v>1562</v>
      </c>
      <c r="H238" s="43" t="s">
        <v>1550</v>
      </c>
      <c r="I238" s="43" t="s">
        <v>1560</v>
      </c>
      <c r="J238" s="43">
        <v>22.31</v>
      </c>
      <c r="K238" s="43">
        <v>11.15</v>
      </c>
      <c r="L238" s="43">
        <v>11.15</v>
      </c>
    </row>
    <row r="239" spans="1:12">
      <c r="A239">
        <f t="shared" si="12"/>
        <v>5</v>
      </c>
      <c r="B239" t="str">
        <f t="shared" si="13"/>
        <v>mayo</v>
      </c>
      <c r="C239" s="55">
        <v>44323</v>
      </c>
      <c r="D239" s="43" t="s">
        <v>1571</v>
      </c>
      <c r="E239" s="43" t="s">
        <v>1547</v>
      </c>
      <c r="F239" s="43" t="s">
        <v>1566</v>
      </c>
      <c r="G239" s="43" t="s">
        <v>1554</v>
      </c>
      <c r="H239" s="43" t="s">
        <v>1555</v>
      </c>
      <c r="I239" s="43" t="s">
        <v>1560</v>
      </c>
      <c r="J239" s="43">
        <v>35.53</v>
      </c>
      <c r="K239" s="43">
        <v>17.760000000000002</v>
      </c>
      <c r="L239" s="43">
        <v>17.760000000000002</v>
      </c>
    </row>
    <row r="240" spans="1:12">
      <c r="A240">
        <f t="shared" si="12"/>
        <v>5</v>
      </c>
      <c r="B240" t="str">
        <f t="shared" si="13"/>
        <v>mayo</v>
      </c>
      <c r="C240" s="55">
        <v>44326</v>
      </c>
      <c r="D240" s="43" t="s">
        <v>1589</v>
      </c>
      <c r="E240" s="43" t="s">
        <v>1557</v>
      </c>
      <c r="F240" s="43" t="s">
        <v>1561</v>
      </c>
      <c r="G240" s="43" t="s">
        <v>1554</v>
      </c>
      <c r="H240" s="43" t="s">
        <v>1555</v>
      </c>
      <c r="I240" s="43" t="s">
        <v>1560</v>
      </c>
      <c r="J240" s="43">
        <v>41.31</v>
      </c>
      <c r="K240" s="43">
        <v>20.66</v>
      </c>
      <c r="L240" s="43">
        <v>20.66</v>
      </c>
    </row>
    <row r="241" spans="1:12">
      <c r="A241">
        <f t="shared" si="12"/>
        <v>5</v>
      </c>
      <c r="B241" t="str">
        <f t="shared" si="13"/>
        <v>mayo</v>
      </c>
      <c r="C241" s="55">
        <v>44337</v>
      </c>
      <c r="D241" s="43" t="s">
        <v>1573</v>
      </c>
      <c r="E241" s="43" t="s">
        <v>1557</v>
      </c>
      <c r="F241" s="43" t="s">
        <v>1561</v>
      </c>
      <c r="G241" s="43" t="s">
        <v>1562</v>
      </c>
      <c r="H241" s="43" t="s">
        <v>1563</v>
      </c>
      <c r="I241" s="43" t="s">
        <v>1560</v>
      </c>
      <c r="J241" s="43">
        <v>27.26</v>
      </c>
      <c r="K241" s="43">
        <v>13.63</v>
      </c>
      <c r="L241" s="43">
        <v>13.63</v>
      </c>
    </row>
    <row r="242" spans="1:12">
      <c r="A242">
        <f t="shared" si="12"/>
        <v>6</v>
      </c>
      <c r="B242" t="str">
        <f t="shared" si="13"/>
        <v>junio</v>
      </c>
      <c r="C242" s="55">
        <v>44371</v>
      </c>
      <c r="D242" s="43" t="s">
        <v>1586</v>
      </c>
      <c r="E242" s="43" t="s">
        <v>1547</v>
      </c>
      <c r="F242" s="43" t="s">
        <v>1566</v>
      </c>
      <c r="G242" s="43" t="s">
        <v>1568</v>
      </c>
      <c r="H242" s="43" t="s">
        <v>1550</v>
      </c>
      <c r="I242" s="43" t="s">
        <v>1551</v>
      </c>
      <c r="J242" s="43">
        <v>33.880000000000003</v>
      </c>
      <c r="K242" s="43">
        <v>16.940000000000001</v>
      </c>
      <c r="L242" s="43">
        <v>16.940000000000001</v>
      </c>
    </row>
    <row r="243" spans="1:12">
      <c r="A243">
        <f t="shared" si="12"/>
        <v>6</v>
      </c>
      <c r="B243" t="str">
        <f t="shared" si="13"/>
        <v>junio</v>
      </c>
      <c r="C243" s="55">
        <v>44376</v>
      </c>
      <c r="D243" s="43" t="s">
        <v>1570</v>
      </c>
      <c r="E243" s="43" t="s">
        <v>1547</v>
      </c>
      <c r="F243" s="43" t="s">
        <v>1566</v>
      </c>
      <c r="G243" s="43" t="s">
        <v>1549</v>
      </c>
      <c r="H243" s="43" t="s">
        <v>1563</v>
      </c>
      <c r="I243" s="43" t="s">
        <v>1560</v>
      </c>
      <c r="J243" s="43">
        <v>37.18</v>
      </c>
      <c r="K243" s="43">
        <v>18.59</v>
      </c>
      <c r="L243" s="43">
        <v>18.59</v>
      </c>
    </row>
    <row r="244" spans="1:12">
      <c r="A244">
        <f t="shared" si="12"/>
        <v>6</v>
      </c>
      <c r="B244" t="str">
        <f t="shared" si="13"/>
        <v>junio</v>
      </c>
      <c r="C244" s="55">
        <v>44376</v>
      </c>
      <c r="D244" s="43" t="s">
        <v>1586</v>
      </c>
      <c r="E244" s="43" t="s">
        <v>1557</v>
      </c>
      <c r="F244" s="43" t="s">
        <v>1561</v>
      </c>
      <c r="G244" s="43" t="s">
        <v>1554</v>
      </c>
      <c r="H244" s="43" t="s">
        <v>1559</v>
      </c>
      <c r="I244" s="43" t="s">
        <v>1564</v>
      </c>
      <c r="J244" s="43">
        <v>26.44</v>
      </c>
      <c r="K244" s="43">
        <v>13.22</v>
      </c>
      <c r="L244" s="43">
        <v>13.22</v>
      </c>
    </row>
    <row r="245" spans="1:12">
      <c r="A245">
        <f t="shared" si="12"/>
        <v>7</v>
      </c>
      <c r="B245" t="str">
        <f t="shared" si="13"/>
        <v>julio</v>
      </c>
      <c r="C245" s="55">
        <v>44378</v>
      </c>
      <c r="D245" s="43" t="s">
        <v>1586</v>
      </c>
      <c r="E245" s="43" t="s">
        <v>1557</v>
      </c>
      <c r="F245" s="43" t="s">
        <v>1561</v>
      </c>
      <c r="G245" s="43" t="s">
        <v>1554</v>
      </c>
      <c r="H245" s="43" t="s">
        <v>1563</v>
      </c>
      <c r="I245" s="43" t="s">
        <v>1560</v>
      </c>
      <c r="J245" s="43">
        <v>20.65</v>
      </c>
      <c r="K245" s="43">
        <v>10.33</v>
      </c>
      <c r="L245" s="43">
        <v>10.33</v>
      </c>
    </row>
    <row r="246" spans="1:12">
      <c r="A246">
        <f t="shared" si="12"/>
        <v>7</v>
      </c>
      <c r="B246" t="str">
        <f t="shared" si="13"/>
        <v>julio</v>
      </c>
      <c r="C246" s="55">
        <v>44379</v>
      </c>
      <c r="D246" s="43" t="s">
        <v>1589</v>
      </c>
      <c r="E246" s="43" t="s">
        <v>1547</v>
      </c>
      <c r="F246" s="43" t="s">
        <v>1566</v>
      </c>
      <c r="G246" s="43" t="s">
        <v>1562</v>
      </c>
      <c r="H246" s="43" t="s">
        <v>1572</v>
      </c>
      <c r="I246" s="43" t="s">
        <v>1560</v>
      </c>
      <c r="J246" s="43">
        <v>22.31</v>
      </c>
      <c r="K246" s="43">
        <v>11.15</v>
      </c>
      <c r="L246" s="43">
        <v>11.15</v>
      </c>
    </row>
    <row r="247" spans="1:12">
      <c r="A247">
        <f t="shared" si="12"/>
        <v>7</v>
      </c>
      <c r="B247" t="str">
        <f t="shared" si="13"/>
        <v>julio</v>
      </c>
      <c r="C247" s="55">
        <v>44382</v>
      </c>
      <c r="D247" s="43" t="s">
        <v>1581</v>
      </c>
      <c r="E247" s="43" t="s">
        <v>1547</v>
      </c>
      <c r="F247" s="43" t="s">
        <v>1566</v>
      </c>
      <c r="G247" s="43" t="s">
        <v>1549</v>
      </c>
      <c r="H247" s="43" t="s">
        <v>1572</v>
      </c>
      <c r="I247" s="43" t="s">
        <v>1551</v>
      </c>
      <c r="J247" s="43">
        <v>18.170000000000002</v>
      </c>
      <c r="K247" s="43">
        <v>9.09</v>
      </c>
      <c r="L247" s="43">
        <v>9.09</v>
      </c>
    </row>
    <row r="248" spans="1:12">
      <c r="A248">
        <f t="shared" si="12"/>
        <v>7</v>
      </c>
      <c r="B248" t="str">
        <f t="shared" si="13"/>
        <v>julio</v>
      </c>
      <c r="C248" s="55">
        <v>44387</v>
      </c>
      <c r="D248" s="43" t="s">
        <v>1574</v>
      </c>
      <c r="E248" s="43" t="s">
        <v>1547</v>
      </c>
      <c r="F248" s="43" t="s">
        <v>1566</v>
      </c>
      <c r="G248" s="43" t="s">
        <v>1549</v>
      </c>
      <c r="H248" s="43" t="s">
        <v>1572</v>
      </c>
      <c r="I248" s="43" t="s">
        <v>1560</v>
      </c>
      <c r="J248" s="43">
        <v>18.170000000000002</v>
      </c>
      <c r="K248" s="43">
        <v>9.09</v>
      </c>
      <c r="L248" s="43">
        <v>9.09</v>
      </c>
    </row>
    <row r="249" spans="1:12">
      <c r="A249">
        <f t="shared" si="12"/>
        <v>7</v>
      </c>
      <c r="B249" t="str">
        <f t="shared" si="13"/>
        <v>julio</v>
      </c>
      <c r="C249" s="55">
        <v>44393</v>
      </c>
      <c r="D249" s="43" t="s">
        <v>1546</v>
      </c>
      <c r="E249" s="43" t="s">
        <v>1557</v>
      </c>
      <c r="F249" s="43" t="s">
        <v>1561</v>
      </c>
      <c r="G249" s="43" t="s">
        <v>1568</v>
      </c>
      <c r="H249" s="43" t="s">
        <v>1555</v>
      </c>
      <c r="I249" s="43" t="s">
        <v>1564</v>
      </c>
      <c r="J249" s="43">
        <v>41.31</v>
      </c>
      <c r="K249" s="43">
        <v>20.66</v>
      </c>
      <c r="L249" s="43">
        <v>20.66</v>
      </c>
    </row>
    <row r="250" spans="1:12">
      <c r="A250">
        <f t="shared" si="12"/>
        <v>7</v>
      </c>
      <c r="B250" t="str">
        <f t="shared" si="13"/>
        <v>julio</v>
      </c>
      <c r="C250" s="55">
        <v>44394</v>
      </c>
      <c r="D250" s="43" t="s">
        <v>1584</v>
      </c>
      <c r="E250" s="43" t="s">
        <v>1557</v>
      </c>
      <c r="F250" s="43" t="s">
        <v>1561</v>
      </c>
      <c r="G250" s="43" t="s">
        <v>1568</v>
      </c>
      <c r="H250" s="43" t="s">
        <v>1555</v>
      </c>
      <c r="I250" s="43" t="s">
        <v>1564</v>
      </c>
      <c r="J250" s="43">
        <v>40.49</v>
      </c>
      <c r="K250" s="43">
        <v>20.239999999999998</v>
      </c>
      <c r="L250" s="43">
        <v>20.239999999999998</v>
      </c>
    </row>
    <row r="251" spans="1:12">
      <c r="A251">
        <f t="shared" si="12"/>
        <v>8</v>
      </c>
      <c r="B251" t="str">
        <f t="shared" si="13"/>
        <v>agosto</v>
      </c>
      <c r="C251" s="55">
        <v>44411</v>
      </c>
      <c r="D251" s="43" t="s">
        <v>1576</v>
      </c>
      <c r="E251" s="43" t="s">
        <v>1557</v>
      </c>
      <c r="F251" s="43" t="s">
        <v>1561</v>
      </c>
      <c r="G251" s="43" t="s">
        <v>1568</v>
      </c>
      <c r="H251" s="43" t="s">
        <v>1563</v>
      </c>
      <c r="I251" s="43" t="s">
        <v>1560</v>
      </c>
      <c r="J251" s="43">
        <v>29.74</v>
      </c>
      <c r="K251" s="43">
        <v>14.87</v>
      </c>
      <c r="L251" s="43">
        <v>14.87</v>
      </c>
    </row>
    <row r="252" spans="1:12">
      <c r="A252">
        <f t="shared" si="12"/>
        <v>8</v>
      </c>
      <c r="B252" t="str">
        <f t="shared" si="13"/>
        <v>agosto</v>
      </c>
      <c r="C252" s="55">
        <v>44421</v>
      </c>
      <c r="D252" s="43" t="s">
        <v>1565</v>
      </c>
      <c r="E252" s="43" t="s">
        <v>1547</v>
      </c>
      <c r="F252" s="43" t="s">
        <v>1566</v>
      </c>
      <c r="G252" s="43" t="s">
        <v>1549</v>
      </c>
      <c r="H252" s="43" t="s">
        <v>1550</v>
      </c>
      <c r="I252" s="43" t="s">
        <v>1560</v>
      </c>
      <c r="J252" s="43">
        <v>21.48</v>
      </c>
      <c r="K252" s="43">
        <v>10.74</v>
      </c>
      <c r="L252" s="43">
        <v>10.74</v>
      </c>
    </row>
    <row r="253" spans="1:12">
      <c r="A253">
        <f t="shared" si="12"/>
        <v>9</v>
      </c>
      <c r="B253" t="str">
        <f t="shared" si="13"/>
        <v>septiembre</v>
      </c>
      <c r="C253" s="55">
        <v>44449</v>
      </c>
      <c r="D253" s="43" t="s">
        <v>1581</v>
      </c>
      <c r="E253" s="43" t="s">
        <v>1557</v>
      </c>
      <c r="F253" s="43" t="s">
        <v>1561</v>
      </c>
      <c r="G253" s="43" t="s">
        <v>1568</v>
      </c>
      <c r="H253" s="43" t="s">
        <v>1555</v>
      </c>
      <c r="I253" s="43" t="s">
        <v>1560</v>
      </c>
      <c r="J253" s="43">
        <v>33.049999999999997</v>
      </c>
      <c r="K253" s="43">
        <v>16.52</v>
      </c>
      <c r="L253" s="43">
        <v>16.52</v>
      </c>
    </row>
    <row r="254" spans="1:12">
      <c r="A254">
        <f t="shared" si="12"/>
        <v>9</v>
      </c>
      <c r="B254" t="str">
        <f t="shared" si="13"/>
        <v>septiembre</v>
      </c>
      <c r="C254" s="55">
        <v>44457</v>
      </c>
      <c r="D254" s="43" t="s">
        <v>1546</v>
      </c>
      <c r="E254" s="43" t="s">
        <v>1557</v>
      </c>
      <c r="F254" s="43" t="s">
        <v>1561</v>
      </c>
      <c r="G254" s="43" t="s">
        <v>1568</v>
      </c>
      <c r="H254" s="43" t="s">
        <v>1555</v>
      </c>
      <c r="I254" s="43" t="s">
        <v>1564</v>
      </c>
      <c r="J254" s="43">
        <v>37.18</v>
      </c>
      <c r="K254" s="43">
        <v>18.59</v>
      </c>
      <c r="L254" s="43">
        <v>18.59</v>
      </c>
    </row>
    <row r="255" spans="1:12">
      <c r="A255">
        <f t="shared" si="12"/>
        <v>9</v>
      </c>
      <c r="B255" t="str">
        <f t="shared" si="13"/>
        <v>septiembre</v>
      </c>
      <c r="C255" s="55">
        <v>44458</v>
      </c>
      <c r="D255" s="43" t="s">
        <v>1589</v>
      </c>
      <c r="E255" s="43" t="s">
        <v>1547</v>
      </c>
      <c r="F255" s="43" t="s">
        <v>1566</v>
      </c>
      <c r="G255" s="43" t="s">
        <v>1562</v>
      </c>
      <c r="H255" s="43" t="s">
        <v>1578</v>
      </c>
      <c r="I255" s="43" t="s">
        <v>1560</v>
      </c>
      <c r="J255" s="43">
        <v>38.01</v>
      </c>
      <c r="K255" s="43">
        <v>19</v>
      </c>
      <c r="L255" s="43">
        <v>19</v>
      </c>
    </row>
    <row r="256" spans="1:12">
      <c r="A256">
        <f t="shared" si="12"/>
        <v>5</v>
      </c>
      <c r="B256" t="str">
        <f t="shared" si="13"/>
        <v>mayo</v>
      </c>
      <c r="C256" s="55">
        <v>44326</v>
      </c>
      <c r="D256" s="43" t="s">
        <v>1546</v>
      </c>
      <c r="E256" s="43" t="s">
        <v>1557</v>
      </c>
      <c r="F256" s="43" t="s">
        <v>1580</v>
      </c>
      <c r="G256" s="43" t="s">
        <v>1554</v>
      </c>
      <c r="H256" s="43" t="s">
        <v>1572</v>
      </c>
      <c r="I256" s="43" t="s">
        <v>1564</v>
      </c>
      <c r="J256" s="43">
        <v>80.98</v>
      </c>
      <c r="K256" s="43">
        <v>40.49</v>
      </c>
      <c r="L256" s="43">
        <v>40.49</v>
      </c>
    </row>
    <row r="257" spans="1:12">
      <c r="A257">
        <f t="shared" si="12"/>
        <v>5</v>
      </c>
      <c r="B257" t="str">
        <f t="shared" si="13"/>
        <v>mayo</v>
      </c>
      <c r="C257" s="55">
        <v>44334</v>
      </c>
      <c r="D257" s="43" t="s">
        <v>1589</v>
      </c>
      <c r="E257" s="43" t="s">
        <v>1557</v>
      </c>
      <c r="F257" s="43" t="s">
        <v>1580</v>
      </c>
      <c r="G257" s="43" t="s">
        <v>1549</v>
      </c>
      <c r="H257" s="43" t="s">
        <v>1569</v>
      </c>
      <c r="I257" s="43" t="s">
        <v>1560</v>
      </c>
      <c r="J257" s="43">
        <v>58.67</v>
      </c>
      <c r="K257" s="43">
        <v>29.33</v>
      </c>
      <c r="L257" s="43">
        <v>29.33</v>
      </c>
    </row>
    <row r="258" spans="1:12">
      <c r="A258">
        <f t="shared" si="12"/>
        <v>5</v>
      </c>
      <c r="B258" t="str">
        <f t="shared" si="13"/>
        <v>mayo</v>
      </c>
      <c r="C258" s="55">
        <v>44342</v>
      </c>
      <c r="D258" s="43" t="s">
        <v>1574</v>
      </c>
      <c r="E258" s="43" t="s">
        <v>1547</v>
      </c>
      <c r="F258" s="43" t="s">
        <v>1566</v>
      </c>
      <c r="G258" s="43" t="s">
        <v>1549</v>
      </c>
      <c r="H258" s="43" t="s">
        <v>1578</v>
      </c>
      <c r="I258" s="43" t="s">
        <v>1551</v>
      </c>
      <c r="J258" s="43">
        <v>19</v>
      </c>
      <c r="K258" s="43">
        <v>9.5</v>
      </c>
      <c r="L258" s="43">
        <v>9.5</v>
      </c>
    </row>
    <row r="259" spans="1:12">
      <c r="A259">
        <f t="shared" ref="A259:A322" si="14">MONTH(C259)</f>
        <v>6</v>
      </c>
      <c r="B259" t="str">
        <f t="shared" ref="B259:B322" si="15">CHOOSE(MONTH(C259),"enero","febrero","marzo","abril","mayo","junio","julio","agosto","septiembre","octubre","noviembre","diciembre")</f>
        <v>junio</v>
      </c>
      <c r="C259" s="55">
        <v>44353</v>
      </c>
      <c r="D259" s="43" t="s">
        <v>1581</v>
      </c>
      <c r="E259" s="43" t="s">
        <v>1557</v>
      </c>
      <c r="F259" s="43" t="s">
        <v>1580</v>
      </c>
      <c r="G259" s="43" t="s">
        <v>1554</v>
      </c>
      <c r="H259" s="43" t="s">
        <v>1567</v>
      </c>
      <c r="I259" s="43" t="s">
        <v>1564</v>
      </c>
      <c r="J259" s="43">
        <v>61.15</v>
      </c>
      <c r="K259" s="43">
        <v>30.57</v>
      </c>
      <c r="L259" s="43">
        <v>30.57</v>
      </c>
    </row>
    <row r="260" spans="1:12">
      <c r="A260">
        <f t="shared" si="14"/>
        <v>6</v>
      </c>
      <c r="B260" t="str">
        <f t="shared" si="15"/>
        <v>junio</v>
      </c>
      <c r="C260" s="55">
        <v>44366</v>
      </c>
      <c r="D260" s="43" t="s">
        <v>1584</v>
      </c>
      <c r="E260" s="43" t="s">
        <v>1547</v>
      </c>
      <c r="F260" s="43" t="s">
        <v>1566</v>
      </c>
      <c r="G260" s="43" t="s">
        <v>1568</v>
      </c>
      <c r="H260" s="43" t="s">
        <v>1578</v>
      </c>
      <c r="I260" s="43" t="s">
        <v>1551</v>
      </c>
      <c r="J260" s="43">
        <v>19</v>
      </c>
      <c r="K260" s="43">
        <v>9.5</v>
      </c>
      <c r="L260" s="43">
        <v>9.5</v>
      </c>
    </row>
    <row r="261" spans="1:12">
      <c r="A261">
        <f t="shared" si="14"/>
        <v>6</v>
      </c>
      <c r="B261" t="str">
        <f t="shared" si="15"/>
        <v>junio</v>
      </c>
      <c r="C261" s="55">
        <v>44370</v>
      </c>
      <c r="D261" s="43" t="s">
        <v>1583</v>
      </c>
      <c r="E261" s="43" t="s">
        <v>1547</v>
      </c>
      <c r="F261" s="43" t="s">
        <v>1566</v>
      </c>
      <c r="G261" s="43" t="s">
        <v>1549</v>
      </c>
      <c r="H261" s="43" t="s">
        <v>1563</v>
      </c>
      <c r="I261" s="43" t="s">
        <v>1551</v>
      </c>
      <c r="J261" s="43">
        <v>31</v>
      </c>
      <c r="K261" s="43">
        <v>15.5</v>
      </c>
      <c r="L261" s="43">
        <v>15.5</v>
      </c>
    </row>
    <row r="262" spans="1:12">
      <c r="A262">
        <f t="shared" si="14"/>
        <v>7</v>
      </c>
      <c r="B262" t="str">
        <f t="shared" si="15"/>
        <v>julio</v>
      </c>
      <c r="C262" s="55">
        <v>44385</v>
      </c>
      <c r="D262" s="43" t="s">
        <v>1565</v>
      </c>
      <c r="E262" s="43" t="s">
        <v>1557</v>
      </c>
      <c r="F262" s="43" t="s">
        <v>1580</v>
      </c>
      <c r="G262" s="43" t="s">
        <v>1568</v>
      </c>
      <c r="H262" s="43" t="s">
        <v>1569</v>
      </c>
      <c r="I262" s="43" t="s">
        <v>1564</v>
      </c>
      <c r="J262" s="43">
        <v>51.23</v>
      </c>
      <c r="K262" s="43">
        <v>25.62</v>
      </c>
      <c r="L262" s="43">
        <v>25.62</v>
      </c>
    </row>
    <row r="263" spans="1:12">
      <c r="A263">
        <f t="shared" si="14"/>
        <v>7</v>
      </c>
      <c r="B263" t="str">
        <f t="shared" si="15"/>
        <v>julio</v>
      </c>
      <c r="C263" s="55">
        <v>44386</v>
      </c>
      <c r="D263" s="43" t="s">
        <v>1585</v>
      </c>
      <c r="E263" s="43" t="s">
        <v>1547</v>
      </c>
      <c r="F263" s="43" t="s">
        <v>1566</v>
      </c>
      <c r="G263" s="43" t="s">
        <v>1562</v>
      </c>
      <c r="H263" s="43" t="s">
        <v>1567</v>
      </c>
      <c r="I263" s="43" t="s">
        <v>1551</v>
      </c>
      <c r="J263" s="43">
        <v>43</v>
      </c>
      <c r="K263" s="43">
        <v>21.5</v>
      </c>
      <c r="L263" s="43">
        <v>21.5</v>
      </c>
    </row>
    <row r="264" spans="1:12">
      <c r="A264">
        <f t="shared" si="14"/>
        <v>8</v>
      </c>
      <c r="B264" t="str">
        <f t="shared" si="15"/>
        <v>agosto</v>
      </c>
      <c r="C264" s="55">
        <v>44410</v>
      </c>
      <c r="D264" s="43" t="s">
        <v>1552</v>
      </c>
      <c r="E264" s="43" t="s">
        <v>1557</v>
      </c>
      <c r="F264" s="43" t="s">
        <v>1580</v>
      </c>
      <c r="G264" s="43" t="s">
        <v>1549</v>
      </c>
      <c r="H264" s="43" t="s">
        <v>1559</v>
      </c>
      <c r="I264" s="43" t="s">
        <v>1564</v>
      </c>
      <c r="J264" s="43">
        <v>50.4</v>
      </c>
      <c r="K264" s="43">
        <v>25.2</v>
      </c>
      <c r="L264" s="43">
        <v>25.2</v>
      </c>
    </row>
    <row r="265" spans="1:12">
      <c r="A265">
        <f t="shared" si="14"/>
        <v>8</v>
      </c>
      <c r="B265" t="str">
        <f t="shared" si="15"/>
        <v>agosto</v>
      </c>
      <c r="C265" s="55">
        <v>44420</v>
      </c>
      <c r="D265" s="43" t="s">
        <v>1574</v>
      </c>
      <c r="E265" s="43" t="s">
        <v>1547</v>
      </c>
      <c r="F265" s="43" t="s">
        <v>1558</v>
      </c>
      <c r="G265" s="43" t="s">
        <v>1549</v>
      </c>
      <c r="H265" s="43" t="s">
        <v>1563</v>
      </c>
      <c r="I265" s="43" t="s">
        <v>1560</v>
      </c>
      <c r="J265" s="43">
        <v>19</v>
      </c>
      <c r="K265" s="43">
        <v>9.5</v>
      </c>
      <c r="L265" s="43">
        <v>9.5</v>
      </c>
    </row>
    <row r="266" spans="1:12">
      <c r="A266">
        <f t="shared" si="14"/>
        <v>8</v>
      </c>
      <c r="B266" t="str">
        <f t="shared" si="15"/>
        <v>agosto</v>
      </c>
      <c r="C266" s="55">
        <v>44424</v>
      </c>
      <c r="D266" s="43" t="s">
        <v>1583</v>
      </c>
      <c r="E266" s="43" t="s">
        <v>1557</v>
      </c>
      <c r="F266" s="43" t="s">
        <v>1580</v>
      </c>
      <c r="G266" s="43" t="s">
        <v>1568</v>
      </c>
      <c r="H266" s="43" t="s">
        <v>1572</v>
      </c>
      <c r="I266" s="43" t="s">
        <v>1564</v>
      </c>
      <c r="J266" s="43">
        <v>59.5</v>
      </c>
      <c r="K266" s="43">
        <v>29.75</v>
      </c>
      <c r="L266" s="43">
        <v>29.75</v>
      </c>
    </row>
    <row r="267" spans="1:12">
      <c r="A267">
        <f t="shared" si="14"/>
        <v>8</v>
      </c>
      <c r="B267" t="str">
        <f t="shared" si="15"/>
        <v>agosto</v>
      </c>
      <c r="C267" s="55">
        <v>44427</v>
      </c>
      <c r="D267" s="43" t="s">
        <v>1556</v>
      </c>
      <c r="E267" s="43" t="s">
        <v>1557</v>
      </c>
      <c r="F267" s="43" t="s">
        <v>1580</v>
      </c>
      <c r="G267" s="43" t="s">
        <v>1554</v>
      </c>
      <c r="H267" s="43" t="s">
        <v>1572</v>
      </c>
      <c r="I267" s="43" t="s">
        <v>1560</v>
      </c>
      <c r="J267" s="43">
        <v>99.99</v>
      </c>
      <c r="K267" s="43">
        <v>50</v>
      </c>
      <c r="L267" s="43">
        <v>50</v>
      </c>
    </row>
    <row r="268" spans="1:12">
      <c r="A268">
        <f t="shared" si="14"/>
        <v>9</v>
      </c>
      <c r="B268" t="str">
        <f t="shared" si="15"/>
        <v>septiembre</v>
      </c>
      <c r="C268" s="55">
        <v>44443</v>
      </c>
      <c r="D268" s="43" t="s">
        <v>1586</v>
      </c>
      <c r="E268" s="43" t="s">
        <v>1547</v>
      </c>
      <c r="F268" s="43" t="s">
        <v>1558</v>
      </c>
      <c r="G268" s="43" t="s">
        <v>1549</v>
      </c>
      <c r="H268" s="43" t="s">
        <v>1550</v>
      </c>
      <c r="I268" s="43" t="s">
        <v>1560</v>
      </c>
      <c r="J268" s="43">
        <v>14</v>
      </c>
      <c r="K268" s="43">
        <v>7</v>
      </c>
      <c r="L268" s="43">
        <v>7</v>
      </c>
    </row>
    <row r="269" spans="1:12">
      <c r="A269">
        <f t="shared" si="14"/>
        <v>9</v>
      </c>
      <c r="B269" t="str">
        <f t="shared" si="15"/>
        <v>septiembre</v>
      </c>
      <c r="C269" s="55">
        <v>44450</v>
      </c>
      <c r="D269" s="43" t="s">
        <v>1556</v>
      </c>
      <c r="E269" s="43" t="s">
        <v>1547</v>
      </c>
      <c r="F269" s="43" t="s">
        <v>1558</v>
      </c>
      <c r="G269" s="43" t="s">
        <v>1568</v>
      </c>
      <c r="H269" s="43" t="s">
        <v>1550</v>
      </c>
      <c r="I269" s="43" t="s">
        <v>1551</v>
      </c>
      <c r="J269" s="43">
        <v>13</v>
      </c>
      <c r="K269" s="43">
        <v>6.5</v>
      </c>
      <c r="L269" s="43">
        <v>6.5</v>
      </c>
    </row>
    <row r="270" spans="1:12">
      <c r="A270">
        <f t="shared" si="14"/>
        <v>9</v>
      </c>
      <c r="B270" t="str">
        <f t="shared" si="15"/>
        <v>septiembre</v>
      </c>
      <c r="C270" s="55">
        <v>44463</v>
      </c>
      <c r="D270" s="43" t="s">
        <v>1583</v>
      </c>
      <c r="E270" s="43" t="s">
        <v>1547</v>
      </c>
      <c r="F270" s="43" t="s">
        <v>1558</v>
      </c>
      <c r="G270" s="43" t="s">
        <v>1568</v>
      </c>
      <c r="H270" s="43" t="s">
        <v>1567</v>
      </c>
      <c r="I270" s="43" t="s">
        <v>1551</v>
      </c>
      <c r="J270" s="43">
        <v>18</v>
      </c>
      <c r="K270" s="43">
        <v>9</v>
      </c>
      <c r="L270" s="43">
        <v>9</v>
      </c>
    </row>
    <row r="271" spans="1:12">
      <c r="A271">
        <f t="shared" si="14"/>
        <v>9</v>
      </c>
      <c r="B271" t="str">
        <f t="shared" si="15"/>
        <v>septiembre</v>
      </c>
      <c r="C271" s="55">
        <v>44467</v>
      </c>
      <c r="D271" s="43" t="s">
        <v>1565</v>
      </c>
      <c r="E271" s="43" t="s">
        <v>1557</v>
      </c>
      <c r="F271" s="43" t="s">
        <v>1580</v>
      </c>
      <c r="G271" s="43" t="s">
        <v>1554</v>
      </c>
      <c r="H271" s="43" t="s">
        <v>1572</v>
      </c>
      <c r="I271" s="43" t="s">
        <v>1564</v>
      </c>
      <c r="J271" s="43">
        <v>92.55</v>
      </c>
      <c r="K271" s="43">
        <v>46.28</v>
      </c>
      <c r="L271" s="43">
        <v>46.28</v>
      </c>
    </row>
    <row r="272" spans="1:12">
      <c r="A272">
        <f t="shared" si="14"/>
        <v>10</v>
      </c>
      <c r="B272" t="str">
        <f t="shared" si="15"/>
        <v>octubre</v>
      </c>
      <c r="C272" s="55">
        <v>44471</v>
      </c>
      <c r="D272" s="43" t="s">
        <v>1585</v>
      </c>
      <c r="E272" s="43" t="s">
        <v>1557</v>
      </c>
      <c r="F272" s="43" t="s">
        <v>1553</v>
      </c>
      <c r="G272" s="43" t="s">
        <v>1549</v>
      </c>
      <c r="H272" s="43" t="s">
        <v>1572</v>
      </c>
      <c r="I272" s="43" t="s">
        <v>1564</v>
      </c>
      <c r="J272" s="43">
        <v>68.59</v>
      </c>
      <c r="K272" s="43">
        <v>34.29</v>
      </c>
      <c r="L272" s="43">
        <v>34.29</v>
      </c>
    </row>
    <row r="273" spans="1:12">
      <c r="A273">
        <f t="shared" si="14"/>
        <v>10</v>
      </c>
      <c r="B273" t="str">
        <f t="shared" si="15"/>
        <v>octubre</v>
      </c>
      <c r="C273" s="55">
        <v>44473</v>
      </c>
      <c r="D273" s="43" t="s">
        <v>1581</v>
      </c>
      <c r="E273" s="43" t="s">
        <v>1557</v>
      </c>
      <c r="F273" s="43" t="s">
        <v>1590</v>
      </c>
      <c r="G273" s="43" t="s">
        <v>1568</v>
      </c>
      <c r="H273" s="43" t="s">
        <v>1563</v>
      </c>
      <c r="I273" s="43" t="s">
        <v>1560</v>
      </c>
      <c r="J273" s="43">
        <v>23.13</v>
      </c>
      <c r="K273" s="43">
        <v>11.57</v>
      </c>
      <c r="L273" s="43">
        <v>11.57</v>
      </c>
    </row>
    <row r="274" spans="1:12">
      <c r="A274">
        <f t="shared" si="14"/>
        <v>10</v>
      </c>
      <c r="B274" t="str">
        <f t="shared" si="15"/>
        <v>octubre</v>
      </c>
      <c r="C274" s="55">
        <v>44474</v>
      </c>
      <c r="D274" s="43" t="s">
        <v>1586</v>
      </c>
      <c r="E274" s="43" t="s">
        <v>1547</v>
      </c>
      <c r="F274" s="43" t="s">
        <v>1577</v>
      </c>
      <c r="G274" s="43" t="s">
        <v>1554</v>
      </c>
      <c r="H274" s="43" t="s">
        <v>1572</v>
      </c>
      <c r="I274" s="43" t="s">
        <v>1560</v>
      </c>
      <c r="J274" s="43">
        <v>17.350000000000001</v>
      </c>
      <c r="K274" s="43">
        <v>8.67</v>
      </c>
      <c r="L274" s="43">
        <v>8.67</v>
      </c>
    </row>
    <row r="275" spans="1:12">
      <c r="A275">
        <f t="shared" si="14"/>
        <v>10</v>
      </c>
      <c r="B275" t="str">
        <f t="shared" si="15"/>
        <v>octubre</v>
      </c>
      <c r="C275" s="55">
        <v>44474</v>
      </c>
      <c r="D275" s="43" t="s">
        <v>1585</v>
      </c>
      <c r="E275" s="43" t="s">
        <v>1557</v>
      </c>
      <c r="F275" s="43" t="s">
        <v>1561</v>
      </c>
      <c r="G275" s="43" t="s">
        <v>1568</v>
      </c>
      <c r="H275" s="43" t="s">
        <v>1555</v>
      </c>
      <c r="I275" s="43" t="s">
        <v>1564</v>
      </c>
      <c r="J275" s="43">
        <v>42.14</v>
      </c>
      <c r="K275" s="43">
        <v>21.07</v>
      </c>
      <c r="L275" s="43">
        <v>21.07</v>
      </c>
    </row>
    <row r="276" spans="1:12">
      <c r="A276">
        <f t="shared" si="14"/>
        <v>10</v>
      </c>
      <c r="B276" t="str">
        <f t="shared" si="15"/>
        <v>octubre</v>
      </c>
      <c r="C276" s="55">
        <v>44475</v>
      </c>
      <c r="D276" s="43" t="s">
        <v>1585</v>
      </c>
      <c r="E276" s="43" t="s">
        <v>1547</v>
      </c>
      <c r="F276" s="43" t="s">
        <v>1590</v>
      </c>
      <c r="G276" s="43" t="s">
        <v>1562</v>
      </c>
      <c r="H276" s="43" t="s">
        <v>1578</v>
      </c>
      <c r="I276" s="43" t="s">
        <v>1551</v>
      </c>
      <c r="J276" s="43">
        <v>17.350000000000001</v>
      </c>
      <c r="K276" s="43">
        <v>8.67</v>
      </c>
      <c r="L276" s="43">
        <v>8.67</v>
      </c>
    </row>
    <row r="277" spans="1:12">
      <c r="A277">
        <f t="shared" si="14"/>
        <v>10</v>
      </c>
      <c r="B277" t="str">
        <f t="shared" si="15"/>
        <v>octubre</v>
      </c>
      <c r="C277" s="55">
        <v>44476</v>
      </c>
      <c r="D277" s="43" t="s">
        <v>1579</v>
      </c>
      <c r="E277" s="43" t="s">
        <v>1557</v>
      </c>
      <c r="F277" s="43" t="s">
        <v>1561</v>
      </c>
      <c r="G277" s="43" t="s">
        <v>1554</v>
      </c>
      <c r="H277" s="43" t="s">
        <v>1559</v>
      </c>
      <c r="I277" s="43" t="s">
        <v>1564</v>
      </c>
      <c r="J277" s="43">
        <v>20.65</v>
      </c>
      <c r="K277" s="43">
        <v>10.33</v>
      </c>
      <c r="L277" s="43">
        <v>10.33</v>
      </c>
    </row>
    <row r="278" spans="1:12">
      <c r="A278">
        <f t="shared" si="14"/>
        <v>10</v>
      </c>
      <c r="B278" t="str">
        <f t="shared" si="15"/>
        <v>octubre</v>
      </c>
      <c r="C278" s="55">
        <v>44479</v>
      </c>
      <c r="D278" s="43" t="s">
        <v>1546</v>
      </c>
      <c r="E278" s="43" t="s">
        <v>1547</v>
      </c>
      <c r="F278" s="43" t="s">
        <v>1558</v>
      </c>
      <c r="G278" s="43" t="s">
        <v>1554</v>
      </c>
      <c r="H278" s="43" t="s">
        <v>1572</v>
      </c>
      <c r="I278" s="43" t="s">
        <v>1551</v>
      </c>
      <c r="J278" s="43">
        <v>16.52</v>
      </c>
      <c r="K278" s="43">
        <v>8.26</v>
      </c>
      <c r="L278" s="43">
        <v>8.26</v>
      </c>
    </row>
    <row r="279" spans="1:12">
      <c r="A279">
        <f t="shared" si="14"/>
        <v>10</v>
      </c>
      <c r="B279" t="str">
        <f t="shared" si="15"/>
        <v>octubre</v>
      </c>
      <c r="C279" s="55">
        <v>44479</v>
      </c>
      <c r="D279" s="43" t="s">
        <v>1576</v>
      </c>
      <c r="E279" s="43" t="s">
        <v>1547</v>
      </c>
      <c r="F279" s="43" t="s">
        <v>1553</v>
      </c>
      <c r="G279" s="43" t="s">
        <v>1549</v>
      </c>
      <c r="H279" s="43" t="s">
        <v>1567</v>
      </c>
      <c r="I279" s="43" t="s">
        <v>1560</v>
      </c>
      <c r="J279" s="43">
        <v>71.89</v>
      </c>
      <c r="K279" s="43">
        <v>35.950000000000003</v>
      </c>
      <c r="L279" s="43">
        <v>35.950000000000003</v>
      </c>
    </row>
    <row r="280" spans="1:12">
      <c r="A280">
        <f t="shared" si="14"/>
        <v>10</v>
      </c>
      <c r="B280" t="str">
        <f t="shared" si="15"/>
        <v>octubre</v>
      </c>
      <c r="C280" s="55">
        <v>44480</v>
      </c>
      <c r="D280" s="43" t="s">
        <v>1587</v>
      </c>
      <c r="E280" s="43" t="s">
        <v>1547</v>
      </c>
      <c r="F280" s="43" t="s">
        <v>1548</v>
      </c>
      <c r="G280" s="43" t="s">
        <v>1554</v>
      </c>
      <c r="H280" s="43" t="s">
        <v>1559</v>
      </c>
      <c r="I280" s="43" t="s">
        <v>1551</v>
      </c>
      <c r="J280" s="43">
        <v>23.13</v>
      </c>
      <c r="K280" s="43">
        <v>11.57</v>
      </c>
      <c r="L280" s="43">
        <v>11.57</v>
      </c>
    </row>
    <row r="281" spans="1:12">
      <c r="A281">
        <f t="shared" si="14"/>
        <v>10</v>
      </c>
      <c r="B281" t="str">
        <f t="shared" si="15"/>
        <v>octubre</v>
      </c>
      <c r="C281" s="55">
        <v>44480</v>
      </c>
      <c r="D281" s="43" t="s">
        <v>1587</v>
      </c>
      <c r="E281" s="43" t="s">
        <v>1547</v>
      </c>
      <c r="F281" s="43" t="s">
        <v>1553</v>
      </c>
      <c r="G281" s="43" t="s">
        <v>1554</v>
      </c>
      <c r="H281" s="43" t="s">
        <v>1563</v>
      </c>
      <c r="I281" s="43" t="s">
        <v>1560</v>
      </c>
      <c r="J281" s="43">
        <v>56.19</v>
      </c>
      <c r="K281" s="43">
        <v>28.1</v>
      </c>
      <c r="L281" s="43">
        <v>28.1</v>
      </c>
    </row>
    <row r="282" spans="1:12">
      <c r="A282">
        <f t="shared" si="14"/>
        <v>10</v>
      </c>
      <c r="B282" t="str">
        <f t="shared" si="15"/>
        <v>octubre</v>
      </c>
      <c r="C282" s="55">
        <v>44480</v>
      </c>
      <c r="D282" s="43" t="s">
        <v>1588</v>
      </c>
      <c r="E282" s="43" t="s">
        <v>1557</v>
      </c>
      <c r="F282" s="43" t="s">
        <v>1566</v>
      </c>
      <c r="G282" s="43" t="s">
        <v>1562</v>
      </c>
      <c r="H282" s="43" t="s">
        <v>1578</v>
      </c>
      <c r="I282" s="43" t="s">
        <v>1564</v>
      </c>
      <c r="J282" s="43">
        <v>24.79</v>
      </c>
      <c r="K282" s="43">
        <v>12.39</v>
      </c>
      <c r="L282" s="43">
        <v>12.39</v>
      </c>
    </row>
    <row r="283" spans="1:12">
      <c r="A283">
        <f t="shared" si="14"/>
        <v>10</v>
      </c>
      <c r="B283" t="str">
        <f t="shared" si="15"/>
        <v>octubre</v>
      </c>
      <c r="C283" s="55">
        <v>44480</v>
      </c>
      <c r="D283" s="43" t="s">
        <v>1546</v>
      </c>
      <c r="E283" s="43" t="s">
        <v>1557</v>
      </c>
      <c r="F283" s="43" t="s">
        <v>1566</v>
      </c>
      <c r="G283" s="43" t="s">
        <v>1554</v>
      </c>
      <c r="H283" s="43" t="s">
        <v>1563</v>
      </c>
      <c r="I283" s="43" t="s">
        <v>1560</v>
      </c>
      <c r="J283" s="43">
        <v>28.09</v>
      </c>
      <c r="K283" s="43">
        <v>14.05</v>
      </c>
      <c r="L283" s="43">
        <v>14.05</v>
      </c>
    </row>
    <row r="284" spans="1:12">
      <c r="A284">
        <f t="shared" si="14"/>
        <v>10</v>
      </c>
      <c r="B284" t="str">
        <f t="shared" si="15"/>
        <v>octubre</v>
      </c>
      <c r="C284" s="55">
        <v>44482</v>
      </c>
      <c r="D284" s="43" t="s">
        <v>1589</v>
      </c>
      <c r="E284" s="43" t="s">
        <v>1547</v>
      </c>
      <c r="F284" s="43" t="s">
        <v>1553</v>
      </c>
      <c r="G284" s="43" t="s">
        <v>1568</v>
      </c>
      <c r="H284" s="43" t="s">
        <v>1569</v>
      </c>
      <c r="I284" s="43" t="s">
        <v>1551</v>
      </c>
      <c r="J284" s="43">
        <v>34.700000000000003</v>
      </c>
      <c r="K284" s="43">
        <v>17.350000000000001</v>
      </c>
      <c r="L284" s="43">
        <v>17.350000000000001</v>
      </c>
    </row>
    <row r="285" spans="1:12">
      <c r="A285">
        <f t="shared" si="14"/>
        <v>10</v>
      </c>
      <c r="B285" t="str">
        <f t="shared" si="15"/>
        <v>octubre</v>
      </c>
      <c r="C285" s="55">
        <v>44483</v>
      </c>
      <c r="D285" s="43" t="s">
        <v>1589</v>
      </c>
      <c r="E285" s="43" t="s">
        <v>1547</v>
      </c>
      <c r="F285" s="43" t="s">
        <v>1548</v>
      </c>
      <c r="G285" s="43" t="s">
        <v>1549</v>
      </c>
      <c r="H285" s="43" t="s">
        <v>1569</v>
      </c>
      <c r="I285" s="43" t="s">
        <v>1560</v>
      </c>
      <c r="J285" s="43">
        <v>21.48</v>
      </c>
      <c r="K285" s="43">
        <v>10.74</v>
      </c>
      <c r="L285" s="43">
        <v>10.74</v>
      </c>
    </row>
    <row r="286" spans="1:12">
      <c r="A286">
        <f t="shared" si="14"/>
        <v>10</v>
      </c>
      <c r="B286" t="str">
        <f t="shared" si="15"/>
        <v>octubre</v>
      </c>
      <c r="C286" s="55">
        <v>44483</v>
      </c>
      <c r="D286" s="43" t="s">
        <v>1571</v>
      </c>
      <c r="E286" s="43" t="s">
        <v>1557</v>
      </c>
      <c r="F286" s="43" t="s">
        <v>1561</v>
      </c>
      <c r="G286" s="43" t="s">
        <v>1568</v>
      </c>
      <c r="H286" s="43" t="s">
        <v>1550</v>
      </c>
      <c r="I286" s="43" t="s">
        <v>1564</v>
      </c>
      <c r="J286" s="43">
        <v>14.04</v>
      </c>
      <c r="K286" s="43">
        <v>7.02</v>
      </c>
      <c r="L286" s="43">
        <v>7.02</v>
      </c>
    </row>
    <row r="287" spans="1:12">
      <c r="A287">
        <f t="shared" si="14"/>
        <v>10</v>
      </c>
      <c r="B287" t="str">
        <f t="shared" si="15"/>
        <v>octubre</v>
      </c>
      <c r="C287" s="55">
        <v>44484</v>
      </c>
      <c r="D287" s="43" t="s">
        <v>1581</v>
      </c>
      <c r="E287" s="43" t="s">
        <v>1557</v>
      </c>
      <c r="F287" s="43" t="s">
        <v>1561</v>
      </c>
      <c r="G287" s="43" t="s">
        <v>1549</v>
      </c>
      <c r="H287" s="43" t="s">
        <v>1555</v>
      </c>
      <c r="I287" s="43" t="s">
        <v>1560</v>
      </c>
      <c r="J287" s="43">
        <v>26.44</v>
      </c>
      <c r="K287" s="43">
        <v>13.22</v>
      </c>
      <c r="L287" s="43">
        <v>13.22</v>
      </c>
    </row>
    <row r="288" spans="1:12">
      <c r="A288">
        <f t="shared" si="14"/>
        <v>10</v>
      </c>
      <c r="B288" t="str">
        <f t="shared" si="15"/>
        <v>octubre</v>
      </c>
      <c r="C288" s="55">
        <v>44485</v>
      </c>
      <c r="D288" s="43" t="s">
        <v>1583</v>
      </c>
      <c r="E288" s="43" t="s">
        <v>1547</v>
      </c>
      <c r="F288" s="43" t="s">
        <v>1575</v>
      </c>
      <c r="G288" s="43" t="s">
        <v>1568</v>
      </c>
      <c r="H288" s="43" t="s">
        <v>1578</v>
      </c>
      <c r="I288" s="43" t="s">
        <v>1560</v>
      </c>
      <c r="J288" s="43">
        <v>38.01</v>
      </c>
      <c r="K288" s="43">
        <v>19</v>
      </c>
      <c r="L288" s="43">
        <v>19</v>
      </c>
    </row>
    <row r="289" spans="1:12">
      <c r="A289">
        <f t="shared" si="14"/>
        <v>10</v>
      </c>
      <c r="B289" t="str">
        <f t="shared" si="15"/>
        <v>octubre</v>
      </c>
      <c r="C289" s="55">
        <v>44485</v>
      </c>
      <c r="D289" s="43" t="s">
        <v>1588</v>
      </c>
      <c r="E289" s="43" t="s">
        <v>1547</v>
      </c>
      <c r="F289" s="43" t="s">
        <v>1561</v>
      </c>
      <c r="G289" s="43" t="s">
        <v>1568</v>
      </c>
      <c r="H289" s="43" t="s">
        <v>1550</v>
      </c>
      <c r="I289" s="43" t="s">
        <v>1560</v>
      </c>
      <c r="J289" s="43">
        <v>16.52</v>
      </c>
      <c r="K289" s="43">
        <v>8.26</v>
      </c>
      <c r="L289" s="43">
        <v>8.26</v>
      </c>
    </row>
    <row r="290" spans="1:12">
      <c r="A290">
        <f t="shared" si="14"/>
        <v>10</v>
      </c>
      <c r="B290" t="str">
        <f t="shared" si="15"/>
        <v>octubre</v>
      </c>
      <c r="C290" s="55">
        <v>44485</v>
      </c>
      <c r="D290" s="43" t="s">
        <v>1556</v>
      </c>
      <c r="E290" s="43" t="s">
        <v>1557</v>
      </c>
      <c r="F290" s="43" t="s">
        <v>1553</v>
      </c>
      <c r="G290" s="43" t="s">
        <v>1562</v>
      </c>
      <c r="H290" s="43" t="s">
        <v>1555</v>
      </c>
      <c r="I290" s="43" t="s">
        <v>1564</v>
      </c>
      <c r="J290" s="43">
        <v>49.58</v>
      </c>
      <c r="K290" s="43">
        <v>24.79</v>
      </c>
      <c r="L290" s="43">
        <v>24.79</v>
      </c>
    </row>
    <row r="291" spans="1:12">
      <c r="A291">
        <f t="shared" si="14"/>
        <v>10</v>
      </c>
      <c r="B291" t="str">
        <f t="shared" si="15"/>
        <v>octubre</v>
      </c>
      <c r="C291" s="55">
        <v>44485</v>
      </c>
      <c r="D291" s="43" t="s">
        <v>1576</v>
      </c>
      <c r="E291" s="43" t="s">
        <v>1547</v>
      </c>
      <c r="F291" s="43" t="s">
        <v>1553</v>
      </c>
      <c r="G291" s="43" t="s">
        <v>1549</v>
      </c>
      <c r="H291" s="43" t="s">
        <v>1569</v>
      </c>
      <c r="I291" s="43" t="s">
        <v>1560</v>
      </c>
      <c r="J291" s="43">
        <v>80.16</v>
      </c>
      <c r="K291" s="43">
        <v>40.08</v>
      </c>
      <c r="L291" s="43">
        <v>40.08</v>
      </c>
    </row>
    <row r="292" spans="1:12">
      <c r="A292">
        <f t="shared" si="14"/>
        <v>10</v>
      </c>
      <c r="B292" t="str">
        <f t="shared" si="15"/>
        <v>octubre</v>
      </c>
      <c r="C292" s="55">
        <v>44486</v>
      </c>
      <c r="D292" s="43" t="s">
        <v>1570</v>
      </c>
      <c r="E292" s="43" t="s">
        <v>1557</v>
      </c>
      <c r="F292" s="43" t="s">
        <v>1590</v>
      </c>
      <c r="G292" s="43" t="s">
        <v>1562</v>
      </c>
      <c r="H292" s="43" t="s">
        <v>1567</v>
      </c>
      <c r="I292" s="43" t="s">
        <v>1560</v>
      </c>
      <c r="J292" s="43">
        <v>19.829999999999998</v>
      </c>
      <c r="K292" s="43">
        <v>9.91</v>
      </c>
      <c r="L292" s="43">
        <v>9.91</v>
      </c>
    </row>
    <row r="293" spans="1:12">
      <c r="A293">
        <f t="shared" si="14"/>
        <v>10</v>
      </c>
      <c r="B293" t="str">
        <f t="shared" si="15"/>
        <v>octubre</v>
      </c>
      <c r="C293" s="55">
        <v>44486</v>
      </c>
      <c r="D293" s="43" t="s">
        <v>1581</v>
      </c>
      <c r="E293" s="43" t="s">
        <v>1547</v>
      </c>
      <c r="F293" s="43" t="s">
        <v>1577</v>
      </c>
      <c r="G293" s="43" t="s">
        <v>1562</v>
      </c>
      <c r="H293" s="43" t="s">
        <v>1550</v>
      </c>
      <c r="I293" s="43" t="s">
        <v>1560</v>
      </c>
      <c r="J293" s="43">
        <v>6.6</v>
      </c>
      <c r="K293" s="43">
        <v>3.3</v>
      </c>
      <c r="L293" s="43">
        <v>3.3</v>
      </c>
    </row>
    <row r="294" spans="1:12">
      <c r="A294">
        <f t="shared" si="14"/>
        <v>10</v>
      </c>
      <c r="B294" t="str">
        <f t="shared" si="15"/>
        <v>octubre</v>
      </c>
      <c r="C294" s="55">
        <v>44489</v>
      </c>
      <c r="D294" s="43" t="s">
        <v>1546</v>
      </c>
      <c r="E294" s="43" t="s">
        <v>1557</v>
      </c>
      <c r="F294" s="43" t="s">
        <v>1553</v>
      </c>
      <c r="G294" s="43" t="s">
        <v>1562</v>
      </c>
      <c r="H294" s="43" t="s">
        <v>1569</v>
      </c>
      <c r="I294" s="43" t="s">
        <v>1560</v>
      </c>
      <c r="J294" s="43">
        <v>41.31</v>
      </c>
      <c r="K294" s="43">
        <v>20.66</v>
      </c>
      <c r="L294" s="43">
        <v>20.66</v>
      </c>
    </row>
    <row r="295" spans="1:12">
      <c r="A295">
        <f t="shared" si="14"/>
        <v>10</v>
      </c>
      <c r="B295" t="str">
        <f t="shared" si="15"/>
        <v>octubre</v>
      </c>
      <c r="C295" s="55">
        <v>44490</v>
      </c>
      <c r="D295" s="43" t="s">
        <v>1584</v>
      </c>
      <c r="E295" s="43" t="s">
        <v>1557</v>
      </c>
      <c r="F295" s="43" t="s">
        <v>1548</v>
      </c>
      <c r="G295" s="43" t="s">
        <v>1568</v>
      </c>
      <c r="H295" s="43" t="s">
        <v>1578</v>
      </c>
      <c r="I295" s="43" t="s">
        <v>1564</v>
      </c>
      <c r="J295" s="43">
        <v>23.96</v>
      </c>
      <c r="K295" s="43">
        <v>11.98</v>
      </c>
      <c r="L295" s="43">
        <v>11.98</v>
      </c>
    </row>
    <row r="296" spans="1:12">
      <c r="A296">
        <f t="shared" si="14"/>
        <v>10</v>
      </c>
      <c r="B296" t="str">
        <f t="shared" si="15"/>
        <v>octubre</v>
      </c>
      <c r="C296" s="55">
        <v>44491</v>
      </c>
      <c r="D296" s="43" t="s">
        <v>1581</v>
      </c>
      <c r="E296" s="43" t="s">
        <v>1547</v>
      </c>
      <c r="F296" s="43" t="s">
        <v>1566</v>
      </c>
      <c r="G296" s="43" t="s">
        <v>1562</v>
      </c>
      <c r="H296" s="43" t="s">
        <v>1555</v>
      </c>
      <c r="I296" s="43" t="s">
        <v>1551</v>
      </c>
      <c r="J296" s="43">
        <v>38.01</v>
      </c>
      <c r="K296" s="43">
        <v>19</v>
      </c>
      <c r="L296" s="43">
        <v>19</v>
      </c>
    </row>
    <row r="297" spans="1:12">
      <c r="A297">
        <f t="shared" si="14"/>
        <v>10</v>
      </c>
      <c r="B297" t="str">
        <f t="shared" si="15"/>
        <v>octubre</v>
      </c>
      <c r="C297" s="55">
        <v>44491</v>
      </c>
      <c r="D297" s="43" t="s">
        <v>1585</v>
      </c>
      <c r="E297" s="43" t="s">
        <v>1557</v>
      </c>
      <c r="F297" s="43" t="s">
        <v>1561</v>
      </c>
      <c r="G297" s="43" t="s">
        <v>1562</v>
      </c>
      <c r="H297" s="43" t="s">
        <v>1567</v>
      </c>
      <c r="I297" s="43" t="s">
        <v>1560</v>
      </c>
      <c r="J297" s="43">
        <v>4.95</v>
      </c>
      <c r="K297" s="43">
        <v>2.48</v>
      </c>
      <c r="L297" s="43">
        <v>2.48</v>
      </c>
    </row>
    <row r="298" spans="1:12">
      <c r="A298">
        <f t="shared" si="14"/>
        <v>10</v>
      </c>
      <c r="B298" t="str">
        <f t="shared" si="15"/>
        <v>octubre</v>
      </c>
      <c r="C298" s="55">
        <v>44492</v>
      </c>
      <c r="D298" s="43" t="s">
        <v>1589</v>
      </c>
      <c r="E298" s="43" t="s">
        <v>1557</v>
      </c>
      <c r="F298" s="43" t="s">
        <v>1561</v>
      </c>
      <c r="G298" s="43" t="s">
        <v>1549</v>
      </c>
      <c r="H298" s="43" t="s">
        <v>1555</v>
      </c>
      <c r="I298" s="43" t="s">
        <v>1560</v>
      </c>
      <c r="J298" s="43">
        <v>14.04</v>
      </c>
      <c r="K298" s="43">
        <v>7.02</v>
      </c>
      <c r="L298" s="43">
        <v>7.02</v>
      </c>
    </row>
    <row r="299" spans="1:12">
      <c r="A299">
        <f t="shared" si="14"/>
        <v>10</v>
      </c>
      <c r="B299" t="str">
        <f t="shared" si="15"/>
        <v>octubre</v>
      </c>
      <c r="C299" s="55">
        <v>44492</v>
      </c>
      <c r="D299" s="43" t="s">
        <v>1571</v>
      </c>
      <c r="E299" s="43" t="s">
        <v>1547</v>
      </c>
      <c r="F299" s="43" t="s">
        <v>1566</v>
      </c>
      <c r="G299" s="43" t="s">
        <v>1549</v>
      </c>
      <c r="H299" s="43" t="s">
        <v>1559</v>
      </c>
      <c r="I299" s="43" t="s">
        <v>1551</v>
      </c>
      <c r="J299" s="43">
        <v>35.53</v>
      </c>
      <c r="K299" s="43">
        <v>17.760000000000002</v>
      </c>
      <c r="L299" s="43">
        <v>17.760000000000002</v>
      </c>
    </row>
    <row r="300" spans="1:12">
      <c r="A300">
        <f t="shared" si="14"/>
        <v>10</v>
      </c>
      <c r="B300" t="str">
        <f t="shared" si="15"/>
        <v>octubre</v>
      </c>
      <c r="C300" s="55">
        <v>44493</v>
      </c>
      <c r="D300" s="43" t="s">
        <v>1570</v>
      </c>
      <c r="E300" s="43" t="s">
        <v>1547</v>
      </c>
      <c r="F300" s="43" t="s">
        <v>1561</v>
      </c>
      <c r="G300" s="43" t="s">
        <v>1554</v>
      </c>
      <c r="H300" s="43" t="s">
        <v>1567</v>
      </c>
      <c r="I300" s="43" t="s">
        <v>1560</v>
      </c>
      <c r="J300" s="43">
        <v>26.44</v>
      </c>
      <c r="K300" s="43">
        <v>13.22</v>
      </c>
      <c r="L300" s="43">
        <v>13.22</v>
      </c>
    </row>
    <row r="301" spans="1:12">
      <c r="A301">
        <f t="shared" si="14"/>
        <v>10</v>
      </c>
      <c r="B301" t="str">
        <f t="shared" si="15"/>
        <v>octubre</v>
      </c>
      <c r="C301" s="55">
        <v>44494</v>
      </c>
      <c r="D301" s="43" t="s">
        <v>1586</v>
      </c>
      <c r="E301" s="43" t="s">
        <v>1547</v>
      </c>
      <c r="F301" s="43" t="s">
        <v>1553</v>
      </c>
      <c r="G301" s="43" t="s">
        <v>1554</v>
      </c>
      <c r="H301" s="43" t="s">
        <v>1563</v>
      </c>
      <c r="I301" s="43" t="s">
        <v>1560</v>
      </c>
      <c r="J301" s="43">
        <v>69.41</v>
      </c>
      <c r="K301" s="43">
        <v>34.71</v>
      </c>
      <c r="L301" s="43">
        <v>34.71</v>
      </c>
    </row>
    <row r="302" spans="1:12">
      <c r="A302">
        <f t="shared" si="14"/>
        <v>10</v>
      </c>
      <c r="B302" t="str">
        <f t="shared" si="15"/>
        <v>octubre</v>
      </c>
      <c r="C302" s="55">
        <v>44494</v>
      </c>
      <c r="D302" s="43" t="s">
        <v>1585</v>
      </c>
      <c r="E302" s="43" t="s">
        <v>1557</v>
      </c>
      <c r="F302" s="43" t="s">
        <v>1566</v>
      </c>
      <c r="G302" s="43" t="s">
        <v>1549</v>
      </c>
      <c r="H302" s="43" t="s">
        <v>1578</v>
      </c>
      <c r="I302" s="43" t="s">
        <v>1560</v>
      </c>
      <c r="J302" s="43">
        <v>34.700000000000003</v>
      </c>
      <c r="K302" s="43">
        <v>17.350000000000001</v>
      </c>
      <c r="L302" s="43">
        <v>17.350000000000001</v>
      </c>
    </row>
    <row r="303" spans="1:12">
      <c r="A303">
        <f t="shared" si="14"/>
        <v>10</v>
      </c>
      <c r="B303" t="str">
        <f t="shared" si="15"/>
        <v>octubre</v>
      </c>
      <c r="C303" s="55">
        <v>44494</v>
      </c>
      <c r="D303" s="43" t="s">
        <v>1546</v>
      </c>
      <c r="E303" s="43" t="s">
        <v>1557</v>
      </c>
      <c r="F303" s="43" t="s">
        <v>1580</v>
      </c>
      <c r="G303" s="43" t="s">
        <v>1549</v>
      </c>
      <c r="H303" s="43" t="s">
        <v>1569</v>
      </c>
      <c r="I303" s="43" t="s">
        <v>1564</v>
      </c>
      <c r="J303" s="43">
        <v>91.73</v>
      </c>
      <c r="K303" s="43">
        <v>45.86</v>
      </c>
      <c r="L303" s="43">
        <v>45.86</v>
      </c>
    </row>
    <row r="304" spans="1:12">
      <c r="A304">
        <f t="shared" si="14"/>
        <v>10</v>
      </c>
      <c r="B304" t="str">
        <f t="shared" si="15"/>
        <v>octubre</v>
      </c>
      <c r="C304" s="55">
        <v>44496</v>
      </c>
      <c r="D304" s="43" t="s">
        <v>1585</v>
      </c>
      <c r="E304" s="43" t="s">
        <v>1547</v>
      </c>
      <c r="F304" s="43" t="s">
        <v>1561</v>
      </c>
      <c r="G304" s="43" t="s">
        <v>1554</v>
      </c>
      <c r="H304" s="43" t="s">
        <v>1563</v>
      </c>
      <c r="I304" s="43" t="s">
        <v>1560</v>
      </c>
      <c r="J304" s="43">
        <v>21.48</v>
      </c>
      <c r="K304" s="43">
        <v>10.74</v>
      </c>
      <c r="L304" s="43">
        <v>10.74</v>
      </c>
    </row>
    <row r="305" spans="1:12">
      <c r="A305">
        <f t="shared" si="14"/>
        <v>10</v>
      </c>
      <c r="B305" t="str">
        <f t="shared" si="15"/>
        <v>octubre</v>
      </c>
      <c r="C305" s="55">
        <v>44497</v>
      </c>
      <c r="D305" s="43" t="s">
        <v>1589</v>
      </c>
      <c r="E305" s="43" t="s">
        <v>1547</v>
      </c>
      <c r="F305" s="43" t="s">
        <v>1590</v>
      </c>
      <c r="G305" s="43" t="s">
        <v>1549</v>
      </c>
      <c r="H305" s="43" t="s">
        <v>1572</v>
      </c>
      <c r="I305" s="43" t="s">
        <v>1560</v>
      </c>
      <c r="J305" s="43">
        <v>22.31</v>
      </c>
      <c r="K305" s="43">
        <v>11.15</v>
      </c>
      <c r="L305" s="43">
        <v>11.15</v>
      </c>
    </row>
    <row r="306" spans="1:12">
      <c r="A306">
        <f t="shared" si="14"/>
        <v>10</v>
      </c>
      <c r="B306" t="str">
        <f t="shared" si="15"/>
        <v>octubre</v>
      </c>
      <c r="C306" s="55">
        <v>44497</v>
      </c>
      <c r="D306" s="43" t="s">
        <v>1587</v>
      </c>
      <c r="E306" s="43" t="s">
        <v>1557</v>
      </c>
      <c r="F306" s="43" t="s">
        <v>1575</v>
      </c>
      <c r="G306" s="43" t="s">
        <v>1568</v>
      </c>
      <c r="H306" s="43" t="s">
        <v>1567</v>
      </c>
      <c r="I306" s="43" t="s">
        <v>1560</v>
      </c>
      <c r="J306" s="43">
        <v>38.01</v>
      </c>
      <c r="K306" s="43">
        <v>19</v>
      </c>
      <c r="L306" s="43">
        <v>19</v>
      </c>
    </row>
    <row r="307" spans="1:12">
      <c r="A307">
        <f t="shared" si="14"/>
        <v>10</v>
      </c>
      <c r="B307" t="str">
        <f t="shared" si="15"/>
        <v>octubre</v>
      </c>
      <c r="C307" s="55">
        <v>44497</v>
      </c>
      <c r="D307" s="43" t="s">
        <v>1588</v>
      </c>
      <c r="E307" s="43" t="s">
        <v>1557</v>
      </c>
      <c r="F307" s="43" t="s">
        <v>1590</v>
      </c>
      <c r="G307" s="43" t="s">
        <v>1554</v>
      </c>
      <c r="H307" s="43" t="s">
        <v>1555</v>
      </c>
      <c r="I307" s="43" t="s">
        <v>1564</v>
      </c>
      <c r="J307" s="43">
        <v>14.87</v>
      </c>
      <c r="K307" s="43">
        <v>7.43</v>
      </c>
      <c r="L307" s="43">
        <v>7.43</v>
      </c>
    </row>
    <row r="308" spans="1:12">
      <c r="A308">
        <f t="shared" si="14"/>
        <v>10</v>
      </c>
      <c r="B308" t="str">
        <f t="shared" si="15"/>
        <v>octubre</v>
      </c>
      <c r="C308" s="55">
        <v>44499</v>
      </c>
      <c r="D308" s="43" t="s">
        <v>1585</v>
      </c>
      <c r="E308" s="43" t="s">
        <v>1547</v>
      </c>
      <c r="F308" s="43" t="s">
        <v>1558</v>
      </c>
      <c r="G308" s="43" t="s">
        <v>1549</v>
      </c>
      <c r="H308" s="43" t="s">
        <v>1559</v>
      </c>
      <c r="I308" s="43" t="s">
        <v>1551</v>
      </c>
      <c r="J308" s="43">
        <v>16.52</v>
      </c>
      <c r="K308" s="43">
        <v>8.26</v>
      </c>
      <c r="L308" s="43">
        <v>8.26</v>
      </c>
    </row>
    <row r="309" spans="1:12">
      <c r="A309">
        <f t="shared" si="14"/>
        <v>11</v>
      </c>
      <c r="B309" t="str">
        <f t="shared" si="15"/>
        <v>noviembre</v>
      </c>
      <c r="C309" s="55">
        <v>44501</v>
      </c>
      <c r="D309" s="43" t="s">
        <v>1579</v>
      </c>
      <c r="E309" s="43" t="s">
        <v>1547</v>
      </c>
      <c r="F309" s="43" t="s">
        <v>1566</v>
      </c>
      <c r="G309" s="43" t="s">
        <v>1554</v>
      </c>
      <c r="H309" s="43" t="s">
        <v>1555</v>
      </c>
      <c r="I309" s="43" t="s">
        <v>1551</v>
      </c>
      <c r="J309" s="43">
        <v>36.36</v>
      </c>
      <c r="K309" s="43">
        <v>18.18</v>
      </c>
      <c r="L309" s="43">
        <v>18.18</v>
      </c>
    </row>
    <row r="310" spans="1:12">
      <c r="A310">
        <f t="shared" si="14"/>
        <v>11</v>
      </c>
      <c r="B310" t="str">
        <f t="shared" si="15"/>
        <v>noviembre</v>
      </c>
      <c r="C310" s="55">
        <v>44502</v>
      </c>
      <c r="D310" s="43" t="s">
        <v>1546</v>
      </c>
      <c r="E310" s="43" t="s">
        <v>1557</v>
      </c>
      <c r="F310" s="43" t="s">
        <v>1558</v>
      </c>
      <c r="G310" s="43" t="s">
        <v>1554</v>
      </c>
      <c r="H310" s="43" t="s">
        <v>1559</v>
      </c>
      <c r="I310" s="43" t="s">
        <v>1564</v>
      </c>
      <c r="J310" s="43">
        <v>14.87</v>
      </c>
      <c r="K310" s="43">
        <v>7.43</v>
      </c>
      <c r="L310" s="43">
        <v>7.43</v>
      </c>
    </row>
    <row r="311" spans="1:12">
      <c r="A311">
        <f t="shared" si="14"/>
        <v>11</v>
      </c>
      <c r="B311" t="str">
        <f t="shared" si="15"/>
        <v>noviembre</v>
      </c>
      <c r="C311" s="55">
        <v>44502</v>
      </c>
      <c r="D311" s="43" t="s">
        <v>1546</v>
      </c>
      <c r="E311" s="43" t="s">
        <v>1547</v>
      </c>
      <c r="F311" s="43" t="s">
        <v>1558</v>
      </c>
      <c r="G311" s="43" t="s">
        <v>1562</v>
      </c>
      <c r="H311" s="43" t="s">
        <v>1563</v>
      </c>
      <c r="I311" s="43" t="s">
        <v>1560</v>
      </c>
      <c r="J311" s="43">
        <v>13.21</v>
      </c>
      <c r="K311" s="43">
        <v>6.61</v>
      </c>
      <c r="L311" s="43">
        <v>6.61</v>
      </c>
    </row>
    <row r="312" spans="1:12">
      <c r="A312">
        <f t="shared" si="14"/>
        <v>11</v>
      </c>
      <c r="B312" t="str">
        <f t="shared" si="15"/>
        <v>noviembre</v>
      </c>
      <c r="C312" s="55">
        <v>44502</v>
      </c>
      <c r="D312" s="43" t="s">
        <v>1576</v>
      </c>
      <c r="E312" s="43" t="s">
        <v>1547</v>
      </c>
      <c r="F312" s="43" t="s">
        <v>1548</v>
      </c>
      <c r="G312" s="43" t="s">
        <v>1554</v>
      </c>
      <c r="H312" s="43" t="s">
        <v>1559</v>
      </c>
      <c r="I312" s="43" t="s">
        <v>1560</v>
      </c>
      <c r="J312" s="43">
        <v>22.31</v>
      </c>
      <c r="K312" s="43">
        <v>11.15</v>
      </c>
      <c r="L312" s="43">
        <v>11.15</v>
      </c>
    </row>
    <row r="313" spans="1:12">
      <c r="A313">
        <f t="shared" si="14"/>
        <v>11</v>
      </c>
      <c r="B313" t="str">
        <f t="shared" si="15"/>
        <v>noviembre</v>
      </c>
      <c r="C313" s="55">
        <v>44502</v>
      </c>
      <c r="D313" s="43" t="s">
        <v>1587</v>
      </c>
      <c r="E313" s="43" t="s">
        <v>1557</v>
      </c>
      <c r="F313" s="43" t="s">
        <v>1548</v>
      </c>
      <c r="G313" s="43" t="s">
        <v>1549</v>
      </c>
      <c r="H313" s="43" t="s">
        <v>1572</v>
      </c>
      <c r="I313" s="43" t="s">
        <v>1564</v>
      </c>
      <c r="J313" s="43">
        <v>20.65</v>
      </c>
      <c r="K313" s="43">
        <v>10.33</v>
      </c>
      <c r="L313" s="43">
        <v>10.33</v>
      </c>
    </row>
    <row r="314" spans="1:12">
      <c r="A314">
        <f t="shared" si="14"/>
        <v>11</v>
      </c>
      <c r="B314" t="str">
        <f t="shared" si="15"/>
        <v>noviembre</v>
      </c>
      <c r="C314" s="55">
        <v>44503</v>
      </c>
      <c r="D314" s="43" t="s">
        <v>1556</v>
      </c>
      <c r="E314" s="43" t="s">
        <v>1557</v>
      </c>
      <c r="F314" s="43" t="s">
        <v>1548</v>
      </c>
      <c r="G314" s="43" t="s">
        <v>1562</v>
      </c>
      <c r="H314" s="43" t="s">
        <v>1578</v>
      </c>
      <c r="I314" s="43" t="s">
        <v>1564</v>
      </c>
      <c r="J314" s="43">
        <v>21.48</v>
      </c>
      <c r="K314" s="43">
        <v>10.74</v>
      </c>
      <c r="L314" s="43">
        <v>10.74</v>
      </c>
    </row>
    <row r="315" spans="1:12">
      <c r="A315">
        <f t="shared" si="14"/>
        <v>11</v>
      </c>
      <c r="B315" t="str">
        <f t="shared" si="15"/>
        <v>noviembre</v>
      </c>
      <c r="C315" s="55">
        <v>44504</v>
      </c>
      <c r="D315" s="43" t="s">
        <v>1565</v>
      </c>
      <c r="E315" s="43" t="s">
        <v>1547</v>
      </c>
      <c r="F315" s="43" t="s">
        <v>1548</v>
      </c>
      <c r="G315" s="43" t="s">
        <v>1554</v>
      </c>
      <c r="H315" s="43" t="s">
        <v>1572</v>
      </c>
      <c r="I315" s="43" t="s">
        <v>1551</v>
      </c>
      <c r="J315" s="43">
        <v>20.65</v>
      </c>
      <c r="K315" s="43">
        <v>10.33</v>
      </c>
      <c r="L315" s="43">
        <v>10.33</v>
      </c>
    </row>
    <row r="316" spans="1:12">
      <c r="A316">
        <f t="shared" si="14"/>
        <v>11</v>
      </c>
      <c r="B316" t="str">
        <f t="shared" si="15"/>
        <v>noviembre</v>
      </c>
      <c r="C316" s="55">
        <v>44505</v>
      </c>
      <c r="D316" s="43" t="s">
        <v>1579</v>
      </c>
      <c r="E316" s="43" t="s">
        <v>1557</v>
      </c>
      <c r="F316" s="43" t="s">
        <v>1558</v>
      </c>
      <c r="G316" s="43" t="s">
        <v>1562</v>
      </c>
      <c r="H316" s="43" t="s">
        <v>1567</v>
      </c>
      <c r="I316" s="43" t="s">
        <v>1560</v>
      </c>
      <c r="J316" s="43">
        <v>9.08</v>
      </c>
      <c r="K316" s="43">
        <v>4.54</v>
      </c>
      <c r="L316" s="43">
        <v>4.54</v>
      </c>
    </row>
    <row r="317" spans="1:12">
      <c r="A317">
        <f t="shared" si="14"/>
        <v>11</v>
      </c>
      <c r="B317" t="str">
        <f t="shared" si="15"/>
        <v>noviembre</v>
      </c>
      <c r="C317" s="55">
        <v>44506</v>
      </c>
      <c r="D317" s="43" t="s">
        <v>1552</v>
      </c>
      <c r="E317" s="43" t="s">
        <v>1557</v>
      </c>
      <c r="F317" s="43" t="s">
        <v>1558</v>
      </c>
      <c r="G317" s="43" t="s">
        <v>1568</v>
      </c>
      <c r="H317" s="43" t="s">
        <v>1569</v>
      </c>
      <c r="I317" s="43" t="s">
        <v>1560</v>
      </c>
      <c r="J317" s="43">
        <v>16.52</v>
      </c>
      <c r="K317" s="43">
        <v>8.26</v>
      </c>
      <c r="L317" s="43">
        <v>8.26</v>
      </c>
    </row>
    <row r="318" spans="1:12">
      <c r="A318">
        <f t="shared" si="14"/>
        <v>11</v>
      </c>
      <c r="B318" t="str">
        <f t="shared" si="15"/>
        <v>noviembre</v>
      </c>
      <c r="C318" s="55">
        <v>44506</v>
      </c>
      <c r="D318" s="43" t="s">
        <v>1573</v>
      </c>
      <c r="E318" s="43" t="s">
        <v>1547</v>
      </c>
      <c r="F318" s="43" t="s">
        <v>1577</v>
      </c>
      <c r="G318" s="43" t="s">
        <v>1568</v>
      </c>
      <c r="H318" s="43" t="s">
        <v>1567</v>
      </c>
      <c r="I318" s="43" t="s">
        <v>1551</v>
      </c>
      <c r="J318" s="43">
        <v>12.39</v>
      </c>
      <c r="K318" s="43">
        <v>6.19</v>
      </c>
      <c r="L318" s="43">
        <v>6.19</v>
      </c>
    </row>
    <row r="319" spans="1:12">
      <c r="A319">
        <f t="shared" si="14"/>
        <v>11</v>
      </c>
      <c r="B319" t="str">
        <f t="shared" si="15"/>
        <v>noviembre</v>
      </c>
      <c r="C319" s="55">
        <v>44507</v>
      </c>
      <c r="D319" s="43" t="s">
        <v>1579</v>
      </c>
      <c r="E319" s="43" t="s">
        <v>1557</v>
      </c>
      <c r="F319" s="43" t="s">
        <v>1561</v>
      </c>
      <c r="G319" s="43" t="s">
        <v>1554</v>
      </c>
      <c r="H319" s="43" t="s">
        <v>1569</v>
      </c>
      <c r="I319" s="43" t="s">
        <v>1564</v>
      </c>
      <c r="J319" s="43">
        <v>14.87</v>
      </c>
      <c r="K319" s="43">
        <v>7.43</v>
      </c>
      <c r="L319" s="43">
        <v>7.43</v>
      </c>
    </row>
    <row r="320" spans="1:12">
      <c r="A320">
        <f t="shared" si="14"/>
        <v>11</v>
      </c>
      <c r="B320" t="str">
        <f t="shared" si="15"/>
        <v>noviembre</v>
      </c>
      <c r="C320" s="55">
        <v>44508</v>
      </c>
      <c r="D320" s="43" t="s">
        <v>1556</v>
      </c>
      <c r="E320" s="43" t="s">
        <v>1547</v>
      </c>
      <c r="F320" s="43" t="s">
        <v>1577</v>
      </c>
      <c r="G320" s="43" t="s">
        <v>1554</v>
      </c>
      <c r="H320" s="43" t="s">
        <v>1550</v>
      </c>
      <c r="I320" s="43" t="s">
        <v>1551</v>
      </c>
      <c r="J320" s="43">
        <v>15.69</v>
      </c>
      <c r="K320" s="43">
        <v>7.85</v>
      </c>
      <c r="L320" s="43">
        <v>7.85</v>
      </c>
    </row>
    <row r="321" spans="1:12">
      <c r="A321">
        <f t="shared" si="14"/>
        <v>11</v>
      </c>
      <c r="B321" t="str">
        <f t="shared" si="15"/>
        <v>noviembre</v>
      </c>
      <c r="C321" s="55">
        <v>44509</v>
      </c>
      <c r="D321" s="43" t="s">
        <v>1586</v>
      </c>
      <c r="E321" s="43" t="s">
        <v>1557</v>
      </c>
      <c r="F321" s="43" t="s">
        <v>1558</v>
      </c>
      <c r="G321" s="43" t="s">
        <v>1562</v>
      </c>
      <c r="H321" s="43" t="s">
        <v>1555</v>
      </c>
      <c r="I321" s="43" t="s">
        <v>1560</v>
      </c>
      <c r="J321" s="43">
        <v>11.56</v>
      </c>
      <c r="K321" s="43">
        <v>5.78</v>
      </c>
      <c r="L321" s="43">
        <v>5.78</v>
      </c>
    </row>
    <row r="322" spans="1:12">
      <c r="A322">
        <f t="shared" si="14"/>
        <v>11</v>
      </c>
      <c r="B322" t="str">
        <f t="shared" si="15"/>
        <v>noviembre</v>
      </c>
      <c r="C322" s="55">
        <v>44511</v>
      </c>
      <c r="D322" s="43" t="s">
        <v>1571</v>
      </c>
      <c r="E322" s="43" t="s">
        <v>1557</v>
      </c>
      <c r="F322" s="43" t="s">
        <v>1575</v>
      </c>
      <c r="G322" s="43" t="s">
        <v>1554</v>
      </c>
      <c r="H322" s="43" t="s">
        <v>1550</v>
      </c>
      <c r="I322" s="43" t="s">
        <v>1564</v>
      </c>
      <c r="J322" s="43">
        <v>29.74</v>
      </c>
      <c r="K322" s="43">
        <v>14.87</v>
      </c>
      <c r="L322" s="43">
        <v>14.87</v>
      </c>
    </row>
    <row r="323" spans="1:12">
      <c r="A323">
        <f t="shared" ref="A323:A369" si="16">MONTH(C323)</f>
        <v>11</v>
      </c>
      <c r="B323" t="str">
        <f t="shared" ref="B323:B369" si="17">CHOOSE(MONTH(C323),"enero","febrero","marzo","abril","mayo","junio","julio","agosto","septiembre","octubre","noviembre","diciembre")</f>
        <v>noviembre</v>
      </c>
      <c r="C323" s="55">
        <v>44512</v>
      </c>
      <c r="D323" s="43" t="s">
        <v>1565</v>
      </c>
      <c r="E323" s="43" t="s">
        <v>1557</v>
      </c>
      <c r="F323" s="43" t="s">
        <v>1553</v>
      </c>
      <c r="G323" s="43" t="s">
        <v>1554</v>
      </c>
      <c r="H323" s="43" t="s">
        <v>1550</v>
      </c>
      <c r="I323" s="43" t="s">
        <v>1564</v>
      </c>
      <c r="J323" s="43">
        <v>97.51</v>
      </c>
      <c r="K323" s="43">
        <v>48.76</v>
      </c>
      <c r="L323" s="43">
        <v>48.76</v>
      </c>
    </row>
    <row r="324" spans="1:12">
      <c r="A324">
        <f t="shared" si="16"/>
        <v>11</v>
      </c>
      <c r="B324" t="str">
        <f t="shared" si="17"/>
        <v>noviembre</v>
      </c>
      <c r="C324" s="55">
        <v>44513</v>
      </c>
      <c r="D324" s="43" t="s">
        <v>1570</v>
      </c>
      <c r="E324" s="43" t="s">
        <v>1547</v>
      </c>
      <c r="F324" s="43" t="s">
        <v>1558</v>
      </c>
      <c r="G324" s="43" t="s">
        <v>1554</v>
      </c>
      <c r="H324" s="43" t="s">
        <v>1563</v>
      </c>
      <c r="I324" s="43" t="s">
        <v>1551</v>
      </c>
      <c r="J324" s="43">
        <v>10.74</v>
      </c>
      <c r="K324" s="43">
        <v>5.37</v>
      </c>
      <c r="L324" s="43">
        <v>5.37</v>
      </c>
    </row>
    <row r="325" spans="1:12">
      <c r="A325">
        <f t="shared" si="16"/>
        <v>11</v>
      </c>
      <c r="B325" t="str">
        <f t="shared" si="17"/>
        <v>noviembre</v>
      </c>
      <c r="C325" s="55">
        <v>44514</v>
      </c>
      <c r="D325" s="43" t="s">
        <v>1573</v>
      </c>
      <c r="E325" s="43" t="s">
        <v>1547</v>
      </c>
      <c r="F325" s="43" t="s">
        <v>1558</v>
      </c>
      <c r="G325" s="43" t="s">
        <v>1549</v>
      </c>
      <c r="H325" s="43" t="s">
        <v>1559</v>
      </c>
      <c r="I325" s="43" t="s">
        <v>1551</v>
      </c>
      <c r="J325" s="43">
        <v>16.52</v>
      </c>
      <c r="K325" s="43">
        <v>8.26</v>
      </c>
      <c r="L325" s="43">
        <v>8.26</v>
      </c>
    </row>
    <row r="326" spans="1:12">
      <c r="A326">
        <f t="shared" si="16"/>
        <v>11</v>
      </c>
      <c r="B326" t="str">
        <f t="shared" si="17"/>
        <v>noviembre</v>
      </c>
      <c r="C326" s="55">
        <v>44514</v>
      </c>
      <c r="D326" s="43" t="s">
        <v>1589</v>
      </c>
      <c r="E326" s="43" t="s">
        <v>1547</v>
      </c>
      <c r="F326" s="43" t="s">
        <v>1558</v>
      </c>
      <c r="G326" s="43" t="s">
        <v>1562</v>
      </c>
      <c r="H326" s="43" t="s">
        <v>1563</v>
      </c>
      <c r="I326" s="43" t="s">
        <v>1560</v>
      </c>
      <c r="J326" s="43">
        <v>14.87</v>
      </c>
      <c r="K326" s="43">
        <v>7.43</v>
      </c>
      <c r="L326" s="43">
        <v>7.43</v>
      </c>
    </row>
    <row r="327" spans="1:12">
      <c r="A327">
        <f t="shared" si="16"/>
        <v>11</v>
      </c>
      <c r="B327" t="str">
        <f t="shared" si="17"/>
        <v>noviembre</v>
      </c>
      <c r="C327" s="55">
        <v>44516</v>
      </c>
      <c r="D327" s="43" t="s">
        <v>1579</v>
      </c>
      <c r="E327" s="43" t="s">
        <v>1547</v>
      </c>
      <c r="F327" s="43" t="s">
        <v>1575</v>
      </c>
      <c r="G327" s="43" t="s">
        <v>1554</v>
      </c>
      <c r="H327" s="43" t="s">
        <v>1563</v>
      </c>
      <c r="I327" s="43" t="s">
        <v>1551</v>
      </c>
      <c r="J327" s="43">
        <v>41.31</v>
      </c>
      <c r="K327" s="43">
        <v>20.66</v>
      </c>
      <c r="L327" s="43">
        <v>20.66</v>
      </c>
    </row>
    <row r="328" spans="1:12">
      <c r="A328">
        <f t="shared" si="16"/>
        <v>11</v>
      </c>
      <c r="B328" t="str">
        <f t="shared" si="17"/>
        <v>noviembre</v>
      </c>
      <c r="C328" s="55">
        <v>44516</v>
      </c>
      <c r="D328" s="43" t="s">
        <v>1582</v>
      </c>
      <c r="E328" s="43" t="s">
        <v>1547</v>
      </c>
      <c r="F328" s="43" t="s">
        <v>1561</v>
      </c>
      <c r="G328" s="43" t="s">
        <v>1568</v>
      </c>
      <c r="H328" s="43" t="s">
        <v>1569</v>
      </c>
      <c r="I328" s="43" t="s">
        <v>1560</v>
      </c>
      <c r="J328" s="43">
        <v>27.26</v>
      </c>
      <c r="K328" s="43">
        <v>13.63</v>
      </c>
      <c r="L328" s="43">
        <v>13.63</v>
      </c>
    </row>
    <row r="329" spans="1:12">
      <c r="A329">
        <f t="shared" si="16"/>
        <v>11</v>
      </c>
      <c r="B329" t="str">
        <f t="shared" si="17"/>
        <v>noviembre</v>
      </c>
      <c r="C329" s="55">
        <v>44517</v>
      </c>
      <c r="D329" s="43" t="s">
        <v>1570</v>
      </c>
      <c r="E329" s="43" t="s">
        <v>1547</v>
      </c>
      <c r="F329" s="43" t="s">
        <v>1566</v>
      </c>
      <c r="G329" s="43" t="s">
        <v>1562</v>
      </c>
      <c r="H329" s="43" t="s">
        <v>1559</v>
      </c>
      <c r="I329" s="43" t="s">
        <v>1560</v>
      </c>
      <c r="J329" s="43">
        <v>21.48</v>
      </c>
      <c r="K329" s="43">
        <v>10.74</v>
      </c>
      <c r="L329" s="43">
        <v>10.74</v>
      </c>
    </row>
    <row r="330" spans="1:12">
      <c r="A330">
        <f t="shared" si="16"/>
        <v>11</v>
      </c>
      <c r="B330" t="str">
        <f t="shared" si="17"/>
        <v>noviembre</v>
      </c>
      <c r="C330" s="55">
        <v>44519</v>
      </c>
      <c r="D330" s="43" t="s">
        <v>1565</v>
      </c>
      <c r="E330" s="43" t="s">
        <v>1547</v>
      </c>
      <c r="F330" s="43" t="s">
        <v>1566</v>
      </c>
      <c r="G330" s="43" t="s">
        <v>1562</v>
      </c>
      <c r="H330" s="43" t="s">
        <v>1559</v>
      </c>
      <c r="I330" s="43" t="s">
        <v>1551</v>
      </c>
      <c r="J330" s="43">
        <v>18.170000000000002</v>
      </c>
      <c r="K330" s="43">
        <v>9.09</v>
      </c>
      <c r="L330" s="43">
        <v>9.09</v>
      </c>
    </row>
    <row r="331" spans="1:12">
      <c r="A331">
        <f t="shared" si="16"/>
        <v>11</v>
      </c>
      <c r="B331" t="str">
        <f t="shared" si="17"/>
        <v>noviembre</v>
      </c>
      <c r="C331" s="55">
        <v>44519</v>
      </c>
      <c r="D331" s="43" t="s">
        <v>1586</v>
      </c>
      <c r="E331" s="43" t="s">
        <v>1547</v>
      </c>
      <c r="F331" s="43" t="s">
        <v>1558</v>
      </c>
      <c r="G331" s="43" t="s">
        <v>1562</v>
      </c>
      <c r="H331" s="43" t="s">
        <v>1572</v>
      </c>
      <c r="I331" s="43" t="s">
        <v>1560</v>
      </c>
      <c r="J331" s="43">
        <v>20</v>
      </c>
      <c r="K331" s="43">
        <v>10</v>
      </c>
      <c r="L331" s="43">
        <v>10</v>
      </c>
    </row>
    <row r="332" spans="1:12">
      <c r="A332">
        <f t="shared" si="16"/>
        <v>11</v>
      </c>
      <c r="B332" t="str">
        <f t="shared" si="17"/>
        <v>noviembre</v>
      </c>
      <c r="C332" s="55">
        <v>44520</v>
      </c>
      <c r="D332" s="43" t="s">
        <v>1570</v>
      </c>
      <c r="E332" s="43" t="s">
        <v>1547</v>
      </c>
      <c r="F332" s="43" t="s">
        <v>1577</v>
      </c>
      <c r="G332" s="43" t="s">
        <v>1554</v>
      </c>
      <c r="H332" s="43" t="s">
        <v>1569</v>
      </c>
      <c r="I332" s="43" t="s">
        <v>1551</v>
      </c>
      <c r="J332" s="43">
        <v>10.74</v>
      </c>
      <c r="K332" s="43">
        <v>5.37</v>
      </c>
      <c r="L332" s="43">
        <v>5.37</v>
      </c>
    </row>
    <row r="333" spans="1:12">
      <c r="A333">
        <f t="shared" si="16"/>
        <v>11</v>
      </c>
      <c r="B333" t="str">
        <f t="shared" si="17"/>
        <v>noviembre</v>
      </c>
      <c r="C333" s="55">
        <v>44523</v>
      </c>
      <c r="D333" s="43" t="s">
        <v>1576</v>
      </c>
      <c r="E333" s="43" t="s">
        <v>1557</v>
      </c>
      <c r="F333" s="43" t="s">
        <v>1558</v>
      </c>
      <c r="G333" s="43" t="s">
        <v>1554</v>
      </c>
      <c r="H333" s="43" t="s">
        <v>1555</v>
      </c>
      <c r="I333" s="43" t="s">
        <v>1564</v>
      </c>
      <c r="J333" s="43">
        <v>12.39</v>
      </c>
      <c r="K333" s="43">
        <v>6.19</v>
      </c>
      <c r="L333" s="43">
        <v>6.19</v>
      </c>
    </row>
    <row r="334" spans="1:12">
      <c r="A334">
        <f t="shared" si="16"/>
        <v>11</v>
      </c>
      <c r="B334" t="str">
        <f t="shared" si="17"/>
        <v>noviembre</v>
      </c>
      <c r="C334" s="55">
        <v>44524</v>
      </c>
      <c r="D334" s="43" t="s">
        <v>1589</v>
      </c>
      <c r="E334" s="43" t="s">
        <v>1557</v>
      </c>
      <c r="F334" s="43" t="s">
        <v>1553</v>
      </c>
      <c r="G334" s="43" t="s">
        <v>1549</v>
      </c>
      <c r="H334" s="43" t="s">
        <v>1555</v>
      </c>
      <c r="I334" s="43" t="s">
        <v>1564</v>
      </c>
      <c r="J334" s="43">
        <v>41.31</v>
      </c>
      <c r="K334" s="43">
        <v>20.66</v>
      </c>
      <c r="L334" s="43">
        <v>20.66</v>
      </c>
    </row>
    <row r="335" spans="1:12">
      <c r="A335">
        <f t="shared" si="16"/>
        <v>11</v>
      </c>
      <c r="B335" t="str">
        <f t="shared" si="17"/>
        <v>noviembre</v>
      </c>
      <c r="C335" s="55">
        <v>44525</v>
      </c>
      <c r="D335" s="43" t="s">
        <v>1552</v>
      </c>
      <c r="E335" s="43" t="s">
        <v>1557</v>
      </c>
      <c r="F335" s="43" t="s">
        <v>1553</v>
      </c>
      <c r="G335" s="43" t="s">
        <v>1549</v>
      </c>
      <c r="H335" s="43" t="s">
        <v>1567</v>
      </c>
      <c r="I335" s="43" t="s">
        <v>1564</v>
      </c>
      <c r="J335" s="43">
        <v>82.64</v>
      </c>
      <c r="K335" s="43">
        <v>41.32</v>
      </c>
      <c r="L335" s="43">
        <v>41.32</v>
      </c>
    </row>
    <row r="336" spans="1:12">
      <c r="A336">
        <f t="shared" si="16"/>
        <v>11</v>
      </c>
      <c r="B336" t="str">
        <f t="shared" si="17"/>
        <v>noviembre</v>
      </c>
      <c r="C336" s="55">
        <v>44527</v>
      </c>
      <c r="D336" s="43" t="s">
        <v>1579</v>
      </c>
      <c r="E336" s="43" t="s">
        <v>1547</v>
      </c>
      <c r="F336" s="43" t="s">
        <v>1575</v>
      </c>
      <c r="G336" s="43" t="s">
        <v>1554</v>
      </c>
      <c r="H336" s="43" t="s">
        <v>1550</v>
      </c>
      <c r="I336" s="43" t="s">
        <v>1551</v>
      </c>
      <c r="J336" s="43">
        <v>29.74</v>
      </c>
      <c r="K336" s="43">
        <v>14.87</v>
      </c>
      <c r="L336" s="43">
        <v>14.87</v>
      </c>
    </row>
    <row r="337" spans="1:12">
      <c r="A337">
        <f t="shared" si="16"/>
        <v>11</v>
      </c>
      <c r="B337" t="str">
        <f t="shared" si="17"/>
        <v>noviembre</v>
      </c>
      <c r="C337" s="55">
        <v>44528</v>
      </c>
      <c r="D337" s="43" t="s">
        <v>1587</v>
      </c>
      <c r="E337" s="43" t="s">
        <v>1557</v>
      </c>
      <c r="F337" s="43" t="s">
        <v>1561</v>
      </c>
      <c r="G337" s="43" t="s">
        <v>1549</v>
      </c>
      <c r="H337" s="43" t="s">
        <v>1569</v>
      </c>
      <c r="I337" s="43" t="s">
        <v>1564</v>
      </c>
      <c r="J337" s="43">
        <v>28.09</v>
      </c>
      <c r="K337" s="43">
        <v>14.05</v>
      </c>
      <c r="L337" s="43">
        <v>14.05</v>
      </c>
    </row>
    <row r="338" spans="1:12">
      <c r="A338">
        <f t="shared" si="16"/>
        <v>11</v>
      </c>
      <c r="B338" t="str">
        <f t="shared" si="17"/>
        <v>noviembre</v>
      </c>
      <c r="C338" s="55">
        <v>44528</v>
      </c>
      <c r="D338" s="43" t="s">
        <v>1586</v>
      </c>
      <c r="E338" s="43" t="s">
        <v>1547</v>
      </c>
      <c r="F338" s="43" t="s">
        <v>1566</v>
      </c>
      <c r="G338" s="43" t="s">
        <v>1554</v>
      </c>
      <c r="H338" s="43" t="s">
        <v>1555</v>
      </c>
      <c r="I338" s="43" t="s">
        <v>1551</v>
      </c>
      <c r="J338" s="43">
        <v>33.049999999999997</v>
      </c>
      <c r="K338" s="43">
        <v>16.52</v>
      </c>
      <c r="L338" s="43">
        <v>16.52</v>
      </c>
    </row>
    <row r="339" spans="1:12">
      <c r="A339">
        <f t="shared" si="16"/>
        <v>11</v>
      </c>
      <c r="B339" t="str">
        <f t="shared" si="17"/>
        <v>noviembre</v>
      </c>
      <c r="C339" s="55">
        <v>44528</v>
      </c>
      <c r="D339" s="43" t="s">
        <v>1552</v>
      </c>
      <c r="E339" s="43" t="s">
        <v>1557</v>
      </c>
      <c r="F339" s="43" t="s">
        <v>1580</v>
      </c>
      <c r="G339" s="43" t="s">
        <v>1549</v>
      </c>
      <c r="H339" s="43" t="s">
        <v>1550</v>
      </c>
      <c r="I339" s="43" t="s">
        <v>1560</v>
      </c>
      <c r="J339" s="43">
        <v>94.21</v>
      </c>
      <c r="K339" s="43">
        <v>47.1</v>
      </c>
      <c r="L339" s="43">
        <v>47.1</v>
      </c>
    </row>
    <row r="340" spans="1:12">
      <c r="A340">
        <f t="shared" si="16"/>
        <v>11</v>
      </c>
      <c r="B340" t="str">
        <f t="shared" si="17"/>
        <v>noviembre</v>
      </c>
      <c r="C340" s="55">
        <v>44529</v>
      </c>
      <c r="D340" s="43" t="s">
        <v>1571</v>
      </c>
      <c r="E340" s="43" t="s">
        <v>1547</v>
      </c>
      <c r="F340" s="43" t="s">
        <v>1558</v>
      </c>
      <c r="G340" s="43" t="s">
        <v>1554</v>
      </c>
      <c r="H340" s="43" t="s">
        <v>1578</v>
      </c>
      <c r="I340" s="43" t="s">
        <v>1560</v>
      </c>
      <c r="J340" s="43">
        <v>14.04</v>
      </c>
      <c r="K340" s="43">
        <v>7.02</v>
      </c>
      <c r="L340" s="43">
        <v>7.02</v>
      </c>
    </row>
    <row r="341" spans="1:12">
      <c r="A341">
        <f t="shared" si="16"/>
        <v>11</v>
      </c>
      <c r="B341" t="str">
        <f t="shared" si="17"/>
        <v>noviembre</v>
      </c>
      <c r="C341" s="55">
        <v>44529</v>
      </c>
      <c r="D341" s="43" t="s">
        <v>1571</v>
      </c>
      <c r="E341" s="43" t="s">
        <v>1547</v>
      </c>
      <c r="F341" s="43" t="s">
        <v>1553</v>
      </c>
      <c r="G341" s="43" t="s">
        <v>1568</v>
      </c>
      <c r="H341" s="43" t="s">
        <v>1550</v>
      </c>
      <c r="I341" s="43" t="s">
        <v>1551</v>
      </c>
      <c r="J341" s="43">
        <v>67.760000000000005</v>
      </c>
      <c r="K341" s="43">
        <v>33.880000000000003</v>
      </c>
      <c r="L341" s="43">
        <v>33.880000000000003</v>
      </c>
    </row>
    <row r="342" spans="1:12">
      <c r="A342">
        <f t="shared" si="16"/>
        <v>11</v>
      </c>
      <c r="B342" t="str">
        <f t="shared" si="17"/>
        <v>noviembre</v>
      </c>
      <c r="C342" s="55">
        <v>44529</v>
      </c>
      <c r="D342" s="43" t="s">
        <v>1579</v>
      </c>
      <c r="E342" s="43" t="s">
        <v>1557</v>
      </c>
      <c r="F342" s="43" t="s">
        <v>1558</v>
      </c>
      <c r="G342" s="43" t="s">
        <v>1568</v>
      </c>
      <c r="H342" s="43" t="s">
        <v>1563</v>
      </c>
      <c r="I342" s="43" t="s">
        <v>1560</v>
      </c>
      <c r="J342" s="43">
        <v>9.91</v>
      </c>
      <c r="K342" s="43">
        <v>4.95</v>
      </c>
      <c r="L342" s="43">
        <v>4.95</v>
      </c>
    </row>
    <row r="343" spans="1:12">
      <c r="A343">
        <f t="shared" si="16"/>
        <v>12</v>
      </c>
      <c r="B343" t="str">
        <f t="shared" si="17"/>
        <v>diciembre</v>
      </c>
      <c r="C343" s="55">
        <v>44531</v>
      </c>
      <c r="D343" s="43" t="s">
        <v>1570</v>
      </c>
      <c r="E343" s="43" t="s">
        <v>1557</v>
      </c>
      <c r="F343" s="43" t="s">
        <v>1561</v>
      </c>
      <c r="G343" s="43" t="s">
        <v>1562</v>
      </c>
      <c r="H343" s="43" t="s">
        <v>1567</v>
      </c>
      <c r="I343" s="43" t="s">
        <v>1564</v>
      </c>
      <c r="J343" s="43">
        <v>11.56</v>
      </c>
      <c r="K343" s="43">
        <v>5.78</v>
      </c>
      <c r="L343" s="43">
        <v>5.78</v>
      </c>
    </row>
    <row r="344" spans="1:12">
      <c r="A344">
        <f t="shared" si="16"/>
        <v>12</v>
      </c>
      <c r="B344" t="str">
        <f t="shared" si="17"/>
        <v>diciembre</v>
      </c>
      <c r="C344" s="55">
        <v>44532</v>
      </c>
      <c r="D344" s="43" t="s">
        <v>1582</v>
      </c>
      <c r="E344" s="43" t="s">
        <v>1547</v>
      </c>
      <c r="F344" s="43" t="s">
        <v>1548</v>
      </c>
      <c r="G344" s="43" t="s">
        <v>1562</v>
      </c>
      <c r="H344" s="43" t="s">
        <v>1578</v>
      </c>
      <c r="I344" s="43" t="s">
        <v>1551</v>
      </c>
      <c r="J344" s="43">
        <v>28.92</v>
      </c>
      <c r="K344" s="43">
        <v>14.46</v>
      </c>
      <c r="L344" s="43">
        <v>14.46</v>
      </c>
    </row>
    <row r="345" spans="1:12">
      <c r="A345">
        <f t="shared" si="16"/>
        <v>12</v>
      </c>
      <c r="B345" t="str">
        <f t="shared" si="17"/>
        <v>diciembre</v>
      </c>
      <c r="C345" s="55">
        <v>44532</v>
      </c>
      <c r="D345" s="43" t="s">
        <v>1574</v>
      </c>
      <c r="E345" s="43" t="s">
        <v>1557</v>
      </c>
      <c r="F345" s="43" t="s">
        <v>1580</v>
      </c>
      <c r="G345" s="43" t="s">
        <v>1549</v>
      </c>
      <c r="H345" s="43" t="s">
        <v>1555</v>
      </c>
      <c r="I345" s="43" t="s">
        <v>1560</v>
      </c>
      <c r="J345" s="43">
        <v>90.9</v>
      </c>
      <c r="K345" s="43">
        <v>45.45</v>
      </c>
      <c r="L345" s="43">
        <v>45.45</v>
      </c>
    </row>
    <row r="346" spans="1:12">
      <c r="A346">
        <f t="shared" si="16"/>
        <v>12</v>
      </c>
      <c r="B346" t="str">
        <f t="shared" si="17"/>
        <v>diciembre</v>
      </c>
      <c r="C346" s="55">
        <v>44537</v>
      </c>
      <c r="D346" s="43" t="s">
        <v>1546</v>
      </c>
      <c r="E346" s="43" t="s">
        <v>1557</v>
      </c>
      <c r="F346" s="43" t="s">
        <v>1548</v>
      </c>
      <c r="G346" s="43" t="s">
        <v>1554</v>
      </c>
      <c r="H346" s="43" t="s">
        <v>1563</v>
      </c>
      <c r="I346" s="43" t="s">
        <v>1560</v>
      </c>
      <c r="J346" s="43">
        <v>22.31</v>
      </c>
      <c r="K346" s="43">
        <v>11.15</v>
      </c>
      <c r="L346" s="43">
        <v>11.15</v>
      </c>
    </row>
    <row r="347" spans="1:12">
      <c r="A347">
        <f t="shared" si="16"/>
        <v>12</v>
      </c>
      <c r="B347" t="str">
        <f t="shared" si="17"/>
        <v>diciembre</v>
      </c>
      <c r="C347" s="55">
        <v>44540</v>
      </c>
      <c r="D347" s="43" t="s">
        <v>1552</v>
      </c>
      <c r="E347" s="43" t="s">
        <v>1557</v>
      </c>
      <c r="F347" s="43" t="s">
        <v>1558</v>
      </c>
      <c r="G347" s="43" t="s">
        <v>1554</v>
      </c>
      <c r="H347" s="43" t="s">
        <v>1563</v>
      </c>
      <c r="I347" s="43" t="s">
        <v>1560</v>
      </c>
      <c r="J347" s="43">
        <v>11.56</v>
      </c>
      <c r="K347" s="43">
        <v>5.78</v>
      </c>
      <c r="L347" s="43">
        <v>5.78</v>
      </c>
    </row>
    <row r="348" spans="1:12">
      <c r="A348">
        <f t="shared" si="16"/>
        <v>12</v>
      </c>
      <c r="B348" t="str">
        <f t="shared" si="17"/>
        <v>diciembre</v>
      </c>
      <c r="C348" s="55">
        <v>44541</v>
      </c>
      <c r="D348" s="43" t="s">
        <v>1565</v>
      </c>
      <c r="E348" s="43" t="s">
        <v>1557</v>
      </c>
      <c r="F348" s="43" t="s">
        <v>1558</v>
      </c>
      <c r="G348" s="43" t="s">
        <v>1568</v>
      </c>
      <c r="H348" s="43" t="s">
        <v>1563</v>
      </c>
      <c r="I348" s="43" t="s">
        <v>1560</v>
      </c>
      <c r="J348" s="43">
        <v>13.21</v>
      </c>
      <c r="K348" s="43">
        <v>6.61</v>
      </c>
      <c r="L348" s="43">
        <v>6.61</v>
      </c>
    </row>
    <row r="349" spans="1:12">
      <c r="A349">
        <f t="shared" si="16"/>
        <v>12</v>
      </c>
      <c r="B349" t="str">
        <f t="shared" si="17"/>
        <v>diciembre</v>
      </c>
      <c r="C349" s="55">
        <v>44541</v>
      </c>
      <c r="D349" s="43" t="s">
        <v>1586</v>
      </c>
      <c r="E349" s="43" t="s">
        <v>1547</v>
      </c>
      <c r="F349" s="43" t="s">
        <v>1575</v>
      </c>
      <c r="G349" s="43" t="s">
        <v>1568</v>
      </c>
      <c r="H349" s="43" t="s">
        <v>1578</v>
      </c>
      <c r="I349" s="43" t="s">
        <v>1551</v>
      </c>
      <c r="J349" s="43">
        <v>33.049999999999997</v>
      </c>
      <c r="K349" s="43">
        <v>16.52</v>
      </c>
      <c r="L349" s="43">
        <v>16.52</v>
      </c>
    </row>
    <row r="350" spans="1:12">
      <c r="A350">
        <f t="shared" si="16"/>
        <v>12</v>
      </c>
      <c r="B350" t="str">
        <f t="shared" si="17"/>
        <v>diciembre</v>
      </c>
      <c r="C350" s="55">
        <v>44541</v>
      </c>
      <c r="D350" s="43" t="s">
        <v>1587</v>
      </c>
      <c r="E350" s="43" t="s">
        <v>1547</v>
      </c>
      <c r="F350" s="43" t="s">
        <v>1577</v>
      </c>
      <c r="G350" s="43" t="s">
        <v>1562</v>
      </c>
      <c r="H350" s="43" t="s">
        <v>1563</v>
      </c>
      <c r="I350" s="43" t="s">
        <v>1560</v>
      </c>
      <c r="J350" s="43">
        <v>14.87</v>
      </c>
      <c r="K350" s="43">
        <v>7.43</v>
      </c>
      <c r="L350" s="43">
        <v>7.43</v>
      </c>
    </row>
    <row r="351" spans="1:12">
      <c r="A351">
        <f t="shared" si="16"/>
        <v>12</v>
      </c>
      <c r="B351" t="str">
        <f t="shared" si="17"/>
        <v>diciembre</v>
      </c>
      <c r="C351" s="55">
        <v>44542</v>
      </c>
      <c r="D351" s="43" t="s">
        <v>1576</v>
      </c>
      <c r="E351" s="43" t="s">
        <v>1557</v>
      </c>
      <c r="F351" s="43" t="s">
        <v>1575</v>
      </c>
      <c r="G351" s="43" t="s">
        <v>1549</v>
      </c>
      <c r="H351" s="43" t="s">
        <v>1567</v>
      </c>
      <c r="I351" s="43" t="s">
        <v>1564</v>
      </c>
      <c r="J351" s="43">
        <v>38.83</v>
      </c>
      <c r="K351" s="43">
        <v>19.420000000000002</v>
      </c>
      <c r="L351" s="43">
        <v>19.420000000000002</v>
      </c>
    </row>
    <row r="352" spans="1:12">
      <c r="A352">
        <f t="shared" si="16"/>
        <v>12</v>
      </c>
      <c r="B352" t="str">
        <f t="shared" si="17"/>
        <v>diciembre</v>
      </c>
      <c r="C352" s="55">
        <v>44543</v>
      </c>
      <c r="D352" s="43" t="s">
        <v>1584</v>
      </c>
      <c r="E352" s="43" t="s">
        <v>1547</v>
      </c>
      <c r="F352" s="43" t="s">
        <v>1561</v>
      </c>
      <c r="G352" s="43" t="s">
        <v>1549</v>
      </c>
      <c r="H352" s="43" t="s">
        <v>1569</v>
      </c>
      <c r="I352" s="43" t="s">
        <v>1551</v>
      </c>
      <c r="J352" s="43">
        <v>25.61</v>
      </c>
      <c r="K352" s="43">
        <v>12.81</v>
      </c>
      <c r="L352" s="43">
        <v>12.81</v>
      </c>
    </row>
    <row r="353" spans="1:12">
      <c r="A353">
        <f t="shared" si="16"/>
        <v>12</v>
      </c>
      <c r="B353" t="str">
        <f t="shared" si="17"/>
        <v>diciembre</v>
      </c>
      <c r="C353" s="55">
        <v>44544</v>
      </c>
      <c r="D353" s="43" t="s">
        <v>1582</v>
      </c>
      <c r="E353" s="43" t="s">
        <v>1547</v>
      </c>
      <c r="F353" s="43" t="s">
        <v>1558</v>
      </c>
      <c r="G353" s="43" t="s">
        <v>1568</v>
      </c>
      <c r="H353" s="43" t="s">
        <v>1555</v>
      </c>
      <c r="I353" s="43" t="s">
        <v>1560</v>
      </c>
      <c r="J353" s="43">
        <v>23</v>
      </c>
      <c r="K353" s="43">
        <v>11.5</v>
      </c>
      <c r="L353" s="43">
        <v>11.5</v>
      </c>
    </row>
    <row r="354" spans="1:12">
      <c r="A354">
        <f t="shared" si="16"/>
        <v>12</v>
      </c>
      <c r="B354" t="str">
        <f t="shared" si="17"/>
        <v>diciembre</v>
      </c>
      <c r="C354" s="55">
        <v>44544</v>
      </c>
      <c r="D354" s="43" t="s">
        <v>1570</v>
      </c>
      <c r="E354" s="43" t="s">
        <v>1557</v>
      </c>
      <c r="F354" s="43" t="s">
        <v>1558</v>
      </c>
      <c r="G354" s="43" t="s">
        <v>1568</v>
      </c>
      <c r="H354" s="43" t="s">
        <v>1550</v>
      </c>
      <c r="I354" s="43" t="s">
        <v>1560</v>
      </c>
      <c r="J354" s="43">
        <v>14.04</v>
      </c>
      <c r="K354" s="43">
        <v>7.02</v>
      </c>
      <c r="L354" s="43">
        <v>7.02</v>
      </c>
    </row>
    <row r="355" spans="1:12">
      <c r="A355">
        <f t="shared" si="16"/>
        <v>12</v>
      </c>
      <c r="B355" t="str">
        <f t="shared" si="17"/>
        <v>diciembre</v>
      </c>
      <c r="C355" s="55">
        <v>44545</v>
      </c>
      <c r="D355" s="43" t="s">
        <v>1552</v>
      </c>
      <c r="E355" s="43" t="s">
        <v>1547</v>
      </c>
      <c r="F355" s="43" t="s">
        <v>1575</v>
      </c>
      <c r="G355" s="43" t="s">
        <v>1549</v>
      </c>
      <c r="H355" s="43" t="s">
        <v>1550</v>
      </c>
      <c r="I355" s="43" t="s">
        <v>1560</v>
      </c>
      <c r="J355" s="43">
        <v>31.4</v>
      </c>
      <c r="K355" s="43">
        <v>15.7</v>
      </c>
      <c r="L355" s="43">
        <v>15.7</v>
      </c>
    </row>
    <row r="356" spans="1:12">
      <c r="A356">
        <f t="shared" si="16"/>
        <v>12</v>
      </c>
      <c r="B356" t="str">
        <f t="shared" si="17"/>
        <v>diciembre</v>
      </c>
      <c r="C356" s="55">
        <v>44546</v>
      </c>
      <c r="D356" s="43" t="s">
        <v>1584</v>
      </c>
      <c r="E356" s="43" t="s">
        <v>1547</v>
      </c>
      <c r="F356" s="43" t="s">
        <v>1558</v>
      </c>
      <c r="G356" s="43" t="s">
        <v>1549</v>
      </c>
      <c r="H356" s="43" t="s">
        <v>1578</v>
      </c>
      <c r="I356" s="43" t="s">
        <v>1560</v>
      </c>
      <c r="J356" s="43">
        <v>17.350000000000001</v>
      </c>
      <c r="K356" s="43">
        <v>8.67</v>
      </c>
      <c r="L356" s="43">
        <v>8.67</v>
      </c>
    </row>
    <row r="357" spans="1:12">
      <c r="A357">
        <f t="shared" si="16"/>
        <v>12</v>
      </c>
      <c r="B357" t="str">
        <f t="shared" si="17"/>
        <v>diciembre</v>
      </c>
      <c r="C357" s="55">
        <v>44546</v>
      </c>
      <c r="D357" s="43" t="s">
        <v>1587</v>
      </c>
      <c r="E357" s="43" t="s">
        <v>1547</v>
      </c>
      <c r="F357" s="43" t="s">
        <v>1553</v>
      </c>
      <c r="G357" s="43" t="s">
        <v>1568</v>
      </c>
      <c r="H357" s="43" t="s">
        <v>1563</v>
      </c>
      <c r="I357" s="43" t="s">
        <v>1560</v>
      </c>
      <c r="J357" s="43">
        <v>89.25</v>
      </c>
      <c r="K357" s="43">
        <v>44.62</v>
      </c>
      <c r="L357" s="43">
        <v>44.62</v>
      </c>
    </row>
    <row r="358" spans="1:12">
      <c r="A358">
        <f t="shared" si="16"/>
        <v>12</v>
      </c>
      <c r="B358" t="str">
        <f t="shared" si="17"/>
        <v>diciembre</v>
      </c>
      <c r="C358" s="55">
        <v>44550</v>
      </c>
      <c r="D358" s="43" t="s">
        <v>1589</v>
      </c>
      <c r="E358" s="43" t="s">
        <v>1547</v>
      </c>
      <c r="F358" s="43" t="s">
        <v>1553</v>
      </c>
      <c r="G358" s="43" t="s">
        <v>1562</v>
      </c>
      <c r="H358" s="43" t="s">
        <v>1572</v>
      </c>
      <c r="I358" s="43" t="s">
        <v>1560</v>
      </c>
      <c r="J358" s="43">
        <v>95.86</v>
      </c>
      <c r="K358" s="43">
        <v>47.93</v>
      </c>
      <c r="L358" s="43">
        <v>47.93</v>
      </c>
    </row>
    <row r="359" spans="1:12">
      <c r="A359">
        <f t="shared" si="16"/>
        <v>12</v>
      </c>
      <c r="B359" t="str">
        <f t="shared" si="17"/>
        <v>diciembre</v>
      </c>
      <c r="C359" s="55">
        <v>44550</v>
      </c>
      <c r="D359" s="43" t="s">
        <v>1579</v>
      </c>
      <c r="E359" s="43" t="s">
        <v>1547</v>
      </c>
      <c r="F359" s="43" t="s">
        <v>1577</v>
      </c>
      <c r="G359" s="43" t="s">
        <v>1568</v>
      </c>
      <c r="H359" s="43" t="s">
        <v>1563</v>
      </c>
      <c r="I359" s="43" t="s">
        <v>1560</v>
      </c>
      <c r="J359" s="43">
        <v>4.95</v>
      </c>
      <c r="K359" s="43">
        <v>2.48</v>
      </c>
      <c r="L359" s="43">
        <v>2.48</v>
      </c>
    </row>
    <row r="360" spans="1:12">
      <c r="A360">
        <f t="shared" si="16"/>
        <v>12</v>
      </c>
      <c r="B360" t="str">
        <f t="shared" si="17"/>
        <v>diciembre</v>
      </c>
      <c r="C360" s="55">
        <v>44551</v>
      </c>
      <c r="D360" s="43" t="s">
        <v>1556</v>
      </c>
      <c r="E360" s="43" t="s">
        <v>1557</v>
      </c>
      <c r="F360" s="43" t="s">
        <v>1553</v>
      </c>
      <c r="G360" s="43" t="s">
        <v>1562</v>
      </c>
      <c r="H360" s="43" t="s">
        <v>1555</v>
      </c>
      <c r="I360" s="43" t="s">
        <v>1560</v>
      </c>
      <c r="J360" s="43">
        <v>95.03</v>
      </c>
      <c r="K360" s="43">
        <v>47.52</v>
      </c>
      <c r="L360" s="43">
        <v>47.52</v>
      </c>
    </row>
    <row r="361" spans="1:12">
      <c r="A361">
        <f t="shared" si="16"/>
        <v>12</v>
      </c>
      <c r="B361" t="str">
        <f t="shared" si="17"/>
        <v>diciembre</v>
      </c>
      <c r="C361" s="55">
        <v>44552</v>
      </c>
      <c r="D361" s="43" t="s">
        <v>1589</v>
      </c>
      <c r="E361" s="43" t="s">
        <v>1547</v>
      </c>
      <c r="F361" s="43" t="s">
        <v>1553</v>
      </c>
      <c r="G361" s="43" t="s">
        <v>1562</v>
      </c>
      <c r="H361" s="43" t="s">
        <v>1567</v>
      </c>
      <c r="I361" s="43" t="s">
        <v>1560</v>
      </c>
      <c r="J361" s="43">
        <v>65.28</v>
      </c>
      <c r="K361" s="43">
        <v>32.64</v>
      </c>
      <c r="L361" s="43">
        <v>32.64</v>
      </c>
    </row>
    <row r="362" spans="1:12">
      <c r="A362">
        <f t="shared" si="16"/>
        <v>12</v>
      </c>
      <c r="B362" t="str">
        <f t="shared" si="17"/>
        <v>diciembre</v>
      </c>
      <c r="C362" s="55">
        <v>44552</v>
      </c>
      <c r="D362" s="43" t="s">
        <v>1589</v>
      </c>
      <c r="E362" s="43" t="s">
        <v>1547</v>
      </c>
      <c r="F362" s="43" t="s">
        <v>1558</v>
      </c>
      <c r="G362" s="43" t="s">
        <v>1568</v>
      </c>
      <c r="H362" s="43" t="s">
        <v>1569</v>
      </c>
      <c r="I362" s="43" t="s">
        <v>1551</v>
      </c>
      <c r="J362" s="43">
        <v>16.52</v>
      </c>
      <c r="K362" s="43">
        <v>8.26</v>
      </c>
      <c r="L362" s="43">
        <v>8.26</v>
      </c>
    </row>
    <row r="363" spans="1:12">
      <c r="A363">
        <f t="shared" si="16"/>
        <v>12</v>
      </c>
      <c r="B363" t="str">
        <f t="shared" si="17"/>
        <v>diciembre</v>
      </c>
      <c r="C363" s="55">
        <v>44553</v>
      </c>
      <c r="D363" s="43" t="s">
        <v>1571</v>
      </c>
      <c r="E363" s="43" t="s">
        <v>1557</v>
      </c>
      <c r="F363" s="43" t="s">
        <v>1558</v>
      </c>
      <c r="G363" s="43" t="s">
        <v>1549</v>
      </c>
      <c r="H363" s="43" t="s">
        <v>1572</v>
      </c>
      <c r="I363" s="43" t="s">
        <v>1560</v>
      </c>
      <c r="J363" s="43">
        <v>14.87</v>
      </c>
      <c r="K363" s="43">
        <v>7.43</v>
      </c>
      <c r="L363" s="43">
        <v>7.43</v>
      </c>
    </row>
    <row r="364" spans="1:12">
      <c r="A364">
        <f t="shared" si="16"/>
        <v>12</v>
      </c>
      <c r="B364" t="str">
        <f t="shared" si="17"/>
        <v>diciembre</v>
      </c>
      <c r="C364" s="55">
        <v>44555</v>
      </c>
      <c r="D364" s="43" t="s">
        <v>1584</v>
      </c>
      <c r="E364" s="43" t="s">
        <v>1547</v>
      </c>
      <c r="F364" s="43" t="s">
        <v>1548</v>
      </c>
      <c r="G364" s="43" t="s">
        <v>1554</v>
      </c>
      <c r="H364" s="43" t="s">
        <v>1555</v>
      </c>
      <c r="I364" s="43" t="s">
        <v>1560</v>
      </c>
      <c r="J364" s="43">
        <v>24.79</v>
      </c>
      <c r="K364" s="43">
        <v>12.39</v>
      </c>
      <c r="L364" s="43">
        <v>12.39</v>
      </c>
    </row>
    <row r="365" spans="1:12">
      <c r="A365">
        <f t="shared" si="16"/>
        <v>12</v>
      </c>
      <c r="B365" t="str">
        <f t="shared" si="17"/>
        <v>diciembre</v>
      </c>
      <c r="C365" s="55">
        <v>44555</v>
      </c>
      <c r="D365" s="43" t="s">
        <v>1579</v>
      </c>
      <c r="E365" s="43" t="s">
        <v>1547</v>
      </c>
      <c r="F365" s="43" t="s">
        <v>1553</v>
      </c>
      <c r="G365" s="43" t="s">
        <v>1554</v>
      </c>
      <c r="H365" s="43" t="s">
        <v>1563</v>
      </c>
      <c r="I365" s="43" t="s">
        <v>1551</v>
      </c>
      <c r="J365" s="43">
        <v>42.14</v>
      </c>
      <c r="K365" s="43">
        <v>21.07</v>
      </c>
      <c r="L365" s="43">
        <v>21.07</v>
      </c>
    </row>
    <row r="366" spans="1:12">
      <c r="A366">
        <f t="shared" si="16"/>
        <v>12</v>
      </c>
      <c r="B366" t="str">
        <f t="shared" si="17"/>
        <v>diciembre</v>
      </c>
      <c r="C366" s="55">
        <v>44556</v>
      </c>
      <c r="D366" s="43" t="s">
        <v>1587</v>
      </c>
      <c r="E366" s="43" t="s">
        <v>1557</v>
      </c>
      <c r="F366" s="43" t="s">
        <v>1558</v>
      </c>
      <c r="G366" s="43" t="s">
        <v>1549</v>
      </c>
      <c r="H366" s="43" t="s">
        <v>1550</v>
      </c>
      <c r="I366" s="43" t="s">
        <v>1564</v>
      </c>
      <c r="J366" s="43">
        <v>13.21</v>
      </c>
      <c r="K366" s="43">
        <v>6.61</v>
      </c>
      <c r="L366" s="43">
        <v>6.61</v>
      </c>
    </row>
    <row r="367" spans="1:12">
      <c r="A367">
        <f t="shared" si="16"/>
        <v>12</v>
      </c>
      <c r="B367" t="str">
        <f t="shared" si="17"/>
        <v>diciembre</v>
      </c>
      <c r="C367" s="55">
        <v>44559</v>
      </c>
      <c r="D367" s="43" t="s">
        <v>1574</v>
      </c>
      <c r="E367" s="43" t="s">
        <v>1557</v>
      </c>
      <c r="F367" s="43" t="s">
        <v>1561</v>
      </c>
      <c r="G367" s="43" t="s">
        <v>1549</v>
      </c>
      <c r="H367" s="43" t="s">
        <v>1563</v>
      </c>
      <c r="I367" s="43" t="s">
        <v>1560</v>
      </c>
      <c r="J367" s="43">
        <v>26.44</v>
      </c>
      <c r="K367" s="43">
        <v>13.22</v>
      </c>
      <c r="L367" s="43">
        <v>13.22</v>
      </c>
    </row>
    <row r="368" spans="1:12">
      <c r="A368">
        <f t="shared" si="16"/>
        <v>12</v>
      </c>
      <c r="B368" t="str">
        <f t="shared" si="17"/>
        <v>diciembre</v>
      </c>
      <c r="C368" s="55">
        <v>44560</v>
      </c>
      <c r="D368" s="43" t="s">
        <v>1586</v>
      </c>
      <c r="E368" s="43" t="s">
        <v>1547</v>
      </c>
      <c r="F368" s="43" t="s">
        <v>1577</v>
      </c>
      <c r="G368" s="43" t="s">
        <v>1568</v>
      </c>
      <c r="H368" s="43" t="s">
        <v>1563</v>
      </c>
      <c r="I368" s="43" t="s">
        <v>1551</v>
      </c>
      <c r="J368" s="43">
        <v>11.56</v>
      </c>
      <c r="K368" s="43">
        <v>5.78</v>
      </c>
      <c r="L368" s="43">
        <v>5.78</v>
      </c>
    </row>
    <row r="369" spans="1:12">
      <c r="A369">
        <f t="shared" si="16"/>
        <v>12</v>
      </c>
      <c r="B369" t="str">
        <f t="shared" si="17"/>
        <v>diciembre</v>
      </c>
      <c r="C369" s="55">
        <v>44561</v>
      </c>
      <c r="D369" s="43" t="s">
        <v>1586</v>
      </c>
      <c r="E369" s="43" t="s">
        <v>1547</v>
      </c>
      <c r="F369" s="43" t="s">
        <v>1577</v>
      </c>
      <c r="G369" s="43" t="s">
        <v>1549</v>
      </c>
      <c r="H369" s="43" t="s">
        <v>1578</v>
      </c>
      <c r="I369" s="43" t="s">
        <v>1560</v>
      </c>
      <c r="J369" s="43">
        <v>15.69</v>
      </c>
      <c r="K369" s="43">
        <v>7.85</v>
      </c>
      <c r="L369" s="43">
        <v>7.85</v>
      </c>
    </row>
  </sheetData>
  <conditionalFormatting sqref="Q4:Q15">
    <cfRule type="cellIs" dxfId="43" priority="4" operator="lessThan">
      <formula>600</formula>
    </cfRule>
  </conditionalFormatting>
  <conditionalFormatting sqref="Y19:AJ27">
    <cfRule type="colorScale" priority="3">
      <colorScale>
        <cfvo type="min"/>
        <cfvo type="percentile" val="50"/>
        <cfvo type="max"/>
        <color rgb="FF63BE7B"/>
        <color rgb="FFFFEB84"/>
        <color rgb="FFF8696B"/>
      </colorScale>
    </cfRule>
  </conditionalFormatting>
  <conditionalFormatting sqref="Q20:Q38">
    <cfRule type="dataBar" priority="2">
      <dataBar>
        <cfvo type="min"/>
        <cfvo type="max"/>
        <color rgb="FFFFB628"/>
      </dataBar>
      <extLst>
        <ext xmlns:x14="http://schemas.microsoft.com/office/spreadsheetml/2009/9/main" uri="{B025F937-C7B1-47D3-B67F-A62EFF666E3E}">
          <x14:id>{B8EEFA93-1500-4A7A-B67D-7CC3ADE89E8D}</x14:id>
        </ext>
      </extLst>
    </cfRule>
  </conditionalFormatting>
  <conditionalFormatting sqref="Y4:AJ12">
    <cfRule type="expression" dxfId="42" priority="1">
      <formula>Y4=MAX(Y$4:Y$12)</formula>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B8EEFA93-1500-4A7A-B67D-7CC3ADE89E8D}">
            <x14:dataBar minLength="0" maxLength="100" border="1" negativeBarBorderColorSameAsPositive="0">
              <x14:cfvo type="autoMin"/>
              <x14:cfvo type="autoMax"/>
              <x14:borderColor rgb="FFFFB628"/>
              <x14:negativeFillColor rgb="FFFF0000"/>
              <x14:negativeBorderColor rgb="FFFF0000"/>
              <x14:axisColor rgb="FF000000"/>
            </x14:dataBar>
          </x14:cfRule>
          <xm:sqref>Q20:Q38</xm:sqref>
        </x14:conditionalFormatting>
      </x14:conditionalFormattings>
    </ext>
    <ext xmlns:x14="http://schemas.microsoft.com/office/spreadsheetml/2009/9/main" uri="{05C60535-1F16-4fd2-B633-F4F36F0B64E0}">
      <x14:sparklineGroups xmlns:xm="http://schemas.microsoft.com/office/excel/2006/main">
        <x14:sparklineGroup displayEmptyCellsAs="gap" markers="1" first="1" last="1" negative="1" xr2:uid="{AB992560-1E4D-4228-A826-499D1A39581F}">
          <x14:colorSeries rgb="FF376092"/>
          <x14:colorNegative rgb="FFD00000"/>
          <x14:colorAxis rgb="FF000000"/>
          <x14:colorMarkers rgb="FFD00000"/>
          <x14:colorFirst rgb="FFD00000"/>
          <x14:colorLast rgb="FFD00000"/>
          <x14:colorHigh rgb="FFD00000"/>
          <x14:colorLow rgb="FFD00000"/>
          <x14:sparklines>
            <x14:sparkline>
              <xm:f>CONDICIONALES!Y19:AJ19</xm:f>
              <xm:sqref>W19</xm:sqref>
            </x14:sparkline>
            <x14:sparkline>
              <xm:f>CONDICIONALES!Y20:AJ20</xm:f>
              <xm:sqref>W20</xm:sqref>
            </x14:sparkline>
            <x14:sparkline>
              <xm:f>CONDICIONALES!Y21:AJ21</xm:f>
              <xm:sqref>W21</xm:sqref>
            </x14:sparkline>
            <x14:sparkline>
              <xm:f>CONDICIONALES!Y22:AJ22</xm:f>
              <xm:sqref>W22</xm:sqref>
            </x14:sparkline>
            <x14:sparkline>
              <xm:f>CONDICIONALES!Y23:AJ23</xm:f>
              <xm:sqref>W23</xm:sqref>
            </x14:sparkline>
            <x14:sparkline>
              <xm:f>CONDICIONALES!Y24:AJ24</xm:f>
              <xm:sqref>W24</xm:sqref>
            </x14:sparkline>
            <x14:sparkline>
              <xm:f>CONDICIONALES!Y25:AJ25</xm:f>
              <xm:sqref>W25</xm:sqref>
            </x14:sparkline>
            <x14:sparkline>
              <xm:f>CONDICIONALES!Y26:AJ26</xm:f>
              <xm:sqref>W26</xm:sqref>
            </x14:sparkline>
            <x14:sparkline>
              <xm:f>CONDICIONALES!Y27:AJ27</xm:f>
              <xm:sqref>W27</xm:sqref>
            </x14:sparkline>
            <x14:sparkline>
              <xm:f>CONDICIONALES!Y28:AJ28</xm:f>
              <xm:sqref>W28</xm:sqref>
            </x14:sparkline>
          </x14:sparklines>
        </x14:sparklineGroup>
      </x14:sparklineGroup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06595-9186-4223-A7EF-91643A000CAC}">
  <dimension ref="A1:E213"/>
  <sheetViews>
    <sheetView workbookViewId="0">
      <selection sqref="A1:E214"/>
    </sheetView>
  </sheetViews>
  <sheetFormatPr baseColWidth="10" defaultRowHeight="15"/>
  <cols>
    <col min="1" max="1" width="13.140625" bestFit="1" customWidth="1"/>
    <col min="2" max="2" width="8.42578125" bestFit="1" customWidth="1"/>
    <col min="3" max="3" width="13.28515625" bestFit="1" customWidth="1"/>
    <col min="4" max="4" width="13.42578125" bestFit="1" customWidth="1"/>
    <col min="5" max="5" width="13.5703125" bestFit="1" customWidth="1"/>
  </cols>
  <sheetData>
    <row r="1" spans="1:5">
      <c r="A1" t="s">
        <v>615</v>
      </c>
      <c r="B1" t="s">
        <v>512</v>
      </c>
      <c r="C1" t="s">
        <v>616</v>
      </c>
      <c r="D1" t="s">
        <v>617</v>
      </c>
      <c r="E1" t="s">
        <v>618</v>
      </c>
    </row>
    <row r="2" spans="1:5">
      <c r="A2" t="s">
        <v>585</v>
      </c>
      <c r="B2">
        <v>2025</v>
      </c>
      <c r="C2" t="s">
        <v>619</v>
      </c>
      <c r="D2" t="s">
        <v>620</v>
      </c>
      <c r="E2">
        <v>0.28000000000000003</v>
      </c>
    </row>
    <row r="3" spans="1:5">
      <c r="A3" t="s">
        <v>621</v>
      </c>
      <c r="B3">
        <v>2025</v>
      </c>
      <c r="C3" t="s">
        <v>622</v>
      </c>
      <c r="D3" t="s">
        <v>623</v>
      </c>
      <c r="E3">
        <v>0.02</v>
      </c>
    </row>
    <row r="4" spans="1:5">
      <c r="A4" t="s">
        <v>624</v>
      </c>
      <c r="B4">
        <v>2025</v>
      </c>
      <c r="C4" t="s">
        <v>625</v>
      </c>
      <c r="D4" t="s">
        <v>626</v>
      </c>
      <c r="E4">
        <v>0.13</v>
      </c>
    </row>
    <row r="5" spans="1:5">
      <c r="A5" t="s">
        <v>588</v>
      </c>
      <c r="B5">
        <v>2024</v>
      </c>
      <c r="C5" t="s">
        <v>627</v>
      </c>
      <c r="D5" t="s">
        <v>628</v>
      </c>
    </row>
    <row r="6" spans="1:5">
      <c r="A6" t="s">
        <v>588</v>
      </c>
      <c r="B6">
        <v>2025</v>
      </c>
      <c r="C6" t="s">
        <v>629</v>
      </c>
      <c r="D6" t="s">
        <v>627</v>
      </c>
      <c r="E6">
        <v>0.08</v>
      </c>
    </row>
    <row r="7" spans="1:5">
      <c r="A7" t="s">
        <v>596</v>
      </c>
      <c r="B7">
        <v>2024</v>
      </c>
      <c r="C7" t="s">
        <v>627</v>
      </c>
      <c r="D7" t="s">
        <v>630</v>
      </c>
    </row>
    <row r="8" spans="1:5">
      <c r="A8" t="s">
        <v>596</v>
      </c>
      <c r="B8">
        <v>2025</v>
      </c>
      <c r="C8" t="s">
        <v>631</v>
      </c>
      <c r="D8" t="s">
        <v>627</v>
      </c>
      <c r="E8">
        <v>0.05</v>
      </c>
    </row>
    <row r="9" spans="1:5">
      <c r="A9" t="s">
        <v>605</v>
      </c>
      <c r="B9">
        <v>2025</v>
      </c>
      <c r="C9" t="s">
        <v>632</v>
      </c>
      <c r="D9" t="s">
        <v>633</v>
      </c>
      <c r="E9">
        <v>0.19</v>
      </c>
    </row>
    <row r="10" spans="1:5">
      <c r="A10" t="s">
        <v>634</v>
      </c>
      <c r="B10">
        <v>2024</v>
      </c>
      <c r="C10" t="s">
        <v>635</v>
      </c>
      <c r="D10" t="s">
        <v>636</v>
      </c>
      <c r="E10">
        <v>0.09</v>
      </c>
    </row>
    <row r="11" spans="1:5">
      <c r="A11" t="s">
        <v>637</v>
      </c>
      <c r="B11">
        <v>2024</v>
      </c>
      <c r="C11" t="s">
        <v>638</v>
      </c>
      <c r="D11" t="s">
        <v>639</v>
      </c>
      <c r="E11">
        <v>0.28000000000000003</v>
      </c>
    </row>
    <row r="12" spans="1:5">
      <c r="A12" t="s">
        <v>640</v>
      </c>
      <c r="B12">
        <v>2024</v>
      </c>
      <c r="C12" t="s">
        <v>641</v>
      </c>
      <c r="D12" t="s">
        <v>642</v>
      </c>
      <c r="E12">
        <v>0.01</v>
      </c>
    </row>
    <row r="13" spans="1:5">
      <c r="A13" t="s">
        <v>643</v>
      </c>
      <c r="B13">
        <v>2024</v>
      </c>
      <c r="C13" t="s">
        <v>644</v>
      </c>
      <c r="D13" t="s">
        <v>645</v>
      </c>
      <c r="E13">
        <v>0.5</v>
      </c>
    </row>
    <row r="14" spans="1:5">
      <c r="A14" t="s">
        <v>646</v>
      </c>
      <c r="B14">
        <v>2024</v>
      </c>
      <c r="C14" t="s">
        <v>647</v>
      </c>
      <c r="D14" t="s">
        <v>648</v>
      </c>
      <c r="E14">
        <v>0.38</v>
      </c>
    </row>
    <row r="15" spans="1:5">
      <c r="A15" t="s">
        <v>649</v>
      </c>
      <c r="B15">
        <v>2024</v>
      </c>
      <c r="C15" t="s">
        <v>650</v>
      </c>
      <c r="D15" t="s">
        <v>651</v>
      </c>
      <c r="E15">
        <v>0.4</v>
      </c>
    </row>
    <row r="16" spans="1:5">
      <c r="A16" t="s">
        <v>652</v>
      </c>
      <c r="B16">
        <v>2023</v>
      </c>
      <c r="C16" t="s">
        <v>653</v>
      </c>
      <c r="D16" t="s">
        <v>654</v>
      </c>
      <c r="E16">
        <v>0.23</v>
      </c>
    </row>
    <row r="17" spans="1:5">
      <c r="A17" t="s">
        <v>655</v>
      </c>
      <c r="B17">
        <v>2024</v>
      </c>
      <c r="C17" t="s">
        <v>656</v>
      </c>
      <c r="D17" t="s">
        <v>657</v>
      </c>
      <c r="E17">
        <v>0.37</v>
      </c>
    </row>
    <row r="18" spans="1:5">
      <c r="A18" t="s">
        <v>658</v>
      </c>
      <c r="B18">
        <v>2024</v>
      </c>
      <c r="C18" t="s">
        <v>659</v>
      </c>
      <c r="D18" t="s">
        <v>660</v>
      </c>
      <c r="E18">
        <v>0.4</v>
      </c>
    </row>
    <row r="19" spans="1:5">
      <c r="A19" t="s">
        <v>661</v>
      </c>
      <c r="B19">
        <v>2024</v>
      </c>
      <c r="C19" t="s">
        <v>662</v>
      </c>
      <c r="D19" t="s">
        <v>663</v>
      </c>
      <c r="E19">
        <v>0.59</v>
      </c>
    </row>
    <row r="20" spans="1:5">
      <c r="A20" t="s">
        <v>664</v>
      </c>
      <c r="B20">
        <v>2024</v>
      </c>
      <c r="C20" t="s">
        <v>665</v>
      </c>
      <c r="D20" t="s">
        <v>666</v>
      </c>
      <c r="E20">
        <v>0.44</v>
      </c>
    </row>
    <row r="21" spans="1:5">
      <c r="A21" t="s">
        <v>570</v>
      </c>
      <c r="B21">
        <v>2024</v>
      </c>
      <c r="C21" t="s">
        <v>667</v>
      </c>
      <c r="D21" t="s">
        <v>668</v>
      </c>
      <c r="E21">
        <v>-0.13</v>
      </c>
    </row>
    <row r="22" spans="1:5">
      <c r="A22" t="s">
        <v>572</v>
      </c>
      <c r="B22">
        <v>2024</v>
      </c>
      <c r="C22" t="s">
        <v>669</v>
      </c>
      <c r="D22" t="s">
        <v>670</v>
      </c>
      <c r="E22">
        <v>-7.0000000000000007E-2</v>
      </c>
    </row>
    <row r="23" spans="1:5">
      <c r="A23" t="s">
        <v>571</v>
      </c>
      <c r="B23">
        <v>2024</v>
      </c>
      <c r="C23" t="s">
        <v>671</v>
      </c>
      <c r="D23" t="s">
        <v>672</v>
      </c>
      <c r="E23">
        <v>0.14000000000000001</v>
      </c>
    </row>
    <row r="24" spans="1:5">
      <c r="A24" t="s">
        <v>673</v>
      </c>
      <c r="B24">
        <v>2024</v>
      </c>
      <c r="C24" t="s">
        <v>674</v>
      </c>
      <c r="D24" t="s">
        <v>675</v>
      </c>
      <c r="E24">
        <v>0.41</v>
      </c>
    </row>
    <row r="25" spans="1:5">
      <c r="A25" t="s">
        <v>676</v>
      </c>
      <c r="B25">
        <v>2024</v>
      </c>
      <c r="C25" t="s">
        <v>677</v>
      </c>
      <c r="D25" t="s">
        <v>678</v>
      </c>
      <c r="E25">
        <v>0.32</v>
      </c>
    </row>
    <row r="26" spans="1:5">
      <c r="A26" t="s">
        <v>679</v>
      </c>
      <c r="B26">
        <v>2024</v>
      </c>
      <c r="C26" t="s">
        <v>680</v>
      </c>
      <c r="D26" t="s">
        <v>681</v>
      </c>
      <c r="E26">
        <v>0.4</v>
      </c>
    </row>
    <row r="27" spans="1:5">
      <c r="A27" t="s">
        <v>682</v>
      </c>
      <c r="B27">
        <v>2024</v>
      </c>
      <c r="C27" t="s">
        <v>683</v>
      </c>
      <c r="D27" t="s">
        <v>684</v>
      </c>
      <c r="E27">
        <v>0.42</v>
      </c>
    </row>
    <row r="28" spans="1:5">
      <c r="A28" t="s">
        <v>685</v>
      </c>
      <c r="B28">
        <v>2025</v>
      </c>
      <c r="C28" t="s">
        <v>686</v>
      </c>
      <c r="D28" t="s">
        <v>687</v>
      </c>
      <c r="E28">
        <v>0.1</v>
      </c>
    </row>
    <row r="29" spans="1:5">
      <c r="A29" t="s">
        <v>688</v>
      </c>
      <c r="B29">
        <v>2024</v>
      </c>
      <c r="C29" t="s">
        <v>689</v>
      </c>
      <c r="D29" t="s">
        <v>690</v>
      </c>
      <c r="E29">
        <v>0.48</v>
      </c>
    </row>
    <row r="30" spans="1:5">
      <c r="A30" t="s">
        <v>574</v>
      </c>
      <c r="B30">
        <v>2024</v>
      </c>
      <c r="C30" t="s">
        <v>691</v>
      </c>
      <c r="D30" t="s">
        <v>692</v>
      </c>
      <c r="E30">
        <v>0.34</v>
      </c>
    </row>
    <row r="31" spans="1:5">
      <c r="A31" t="s">
        <v>693</v>
      </c>
      <c r="B31">
        <v>2024</v>
      </c>
      <c r="C31" t="s">
        <v>694</v>
      </c>
      <c r="D31" t="s">
        <v>695</v>
      </c>
      <c r="E31">
        <v>0.26</v>
      </c>
    </row>
    <row r="32" spans="1:5">
      <c r="A32" t="s">
        <v>696</v>
      </c>
      <c r="B32">
        <v>2024</v>
      </c>
      <c r="C32" t="s">
        <v>697</v>
      </c>
      <c r="D32" t="s">
        <v>698</v>
      </c>
      <c r="E32">
        <v>0.35</v>
      </c>
    </row>
    <row r="33" spans="1:5">
      <c r="A33" t="s">
        <v>699</v>
      </c>
      <c r="B33">
        <v>2024</v>
      </c>
      <c r="C33" t="s">
        <v>700</v>
      </c>
      <c r="D33" t="s">
        <v>701</v>
      </c>
      <c r="E33">
        <v>0.75</v>
      </c>
    </row>
    <row r="34" spans="1:5">
      <c r="A34" t="s">
        <v>702</v>
      </c>
      <c r="B34">
        <v>2024</v>
      </c>
      <c r="C34" t="s">
        <v>703</v>
      </c>
      <c r="D34" t="s">
        <v>704</v>
      </c>
      <c r="E34">
        <v>0.41</v>
      </c>
    </row>
    <row r="35" spans="1:5">
      <c r="A35" t="s">
        <v>705</v>
      </c>
      <c r="B35">
        <v>2024</v>
      </c>
      <c r="C35" t="s">
        <v>706</v>
      </c>
      <c r="D35" t="s">
        <v>707</v>
      </c>
      <c r="E35">
        <v>7.0000000000000007E-2</v>
      </c>
    </row>
    <row r="36" spans="1:5">
      <c r="A36" t="s">
        <v>708</v>
      </c>
      <c r="B36">
        <v>2024</v>
      </c>
      <c r="C36" t="s">
        <v>709</v>
      </c>
      <c r="D36" t="s">
        <v>710</v>
      </c>
      <c r="E36">
        <v>0.34</v>
      </c>
    </row>
    <row r="37" spans="1:5">
      <c r="A37" t="s">
        <v>711</v>
      </c>
      <c r="B37">
        <v>2024</v>
      </c>
      <c r="C37" t="s">
        <v>712</v>
      </c>
      <c r="D37" t="s">
        <v>713</v>
      </c>
      <c r="E37">
        <v>0.34</v>
      </c>
    </row>
    <row r="38" spans="1:5">
      <c r="A38" t="s">
        <v>714</v>
      </c>
      <c r="B38">
        <v>2023</v>
      </c>
      <c r="C38" t="s">
        <v>715</v>
      </c>
      <c r="D38" t="s">
        <v>716</v>
      </c>
      <c r="E38">
        <v>0.5</v>
      </c>
    </row>
    <row r="39" spans="1:5">
      <c r="A39" t="s">
        <v>717</v>
      </c>
      <c r="B39">
        <v>2024</v>
      </c>
      <c r="C39" t="s">
        <v>718</v>
      </c>
      <c r="D39" t="s">
        <v>719</v>
      </c>
      <c r="E39">
        <v>-0.3</v>
      </c>
    </row>
    <row r="40" spans="1:5">
      <c r="A40" t="s">
        <v>720</v>
      </c>
      <c r="B40">
        <v>2024</v>
      </c>
      <c r="C40" t="s">
        <v>721</v>
      </c>
      <c r="D40" t="s">
        <v>722</v>
      </c>
      <c r="E40">
        <v>0.4</v>
      </c>
    </row>
    <row r="41" spans="1:5">
      <c r="A41" t="s">
        <v>723</v>
      </c>
      <c r="B41">
        <v>2024</v>
      </c>
      <c r="C41" t="s">
        <v>724</v>
      </c>
      <c r="D41" t="s">
        <v>725</v>
      </c>
      <c r="E41">
        <v>0.35</v>
      </c>
    </row>
    <row r="42" spans="1:5">
      <c r="A42" t="s">
        <v>726</v>
      </c>
      <c r="B42">
        <v>2024</v>
      </c>
      <c r="C42" t="s">
        <v>727</v>
      </c>
      <c r="D42" t="s">
        <v>728</v>
      </c>
      <c r="E42">
        <v>0.2</v>
      </c>
    </row>
    <row r="43" spans="1:5">
      <c r="A43" t="s">
        <v>729</v>
      </c>
      <c r="B43">
        <v>2024</v>
      </c>
      <c r="C43" t="s">
        <v>730</v>
      </c>
      <c r="D43" t="s">
        <v>731</v>
      </c>
      <c r="E43">
        <v>0.61</v>
      </c>
    </row>
    <row r="44" spans="1:5">
      <c r="A44" t="s">
        <v>729</v>
      </c>
      <c r="B44">
        <v>2024</v>
      </c>
      <c r="C44" t="s">
        <v>732</v>
      </c>
      <c r="D44" t="s">
        <v>733</v>
      </c>
      <c r="E44">
        <v>0.15</v>
      </c>
    </row>
    <row r="45" spans="1:5">
      <c r="A45" t="s">
        <v>729</v>
      </c>
      <c r="B45">
        <v>2024</v>
      </c>
      <c r="C45" t="s">
        <v>734</v>
      </c>
      <c r="D45" t="s">
        <v>735</v>
      </c>
      <c r="E45">
        <v>0.26</v>
      </c>
    </row>
    <row r="46" spans="1:5">
      <c r="A46" t="s">
        <v>577</v>
      </c>
      <c r="B46">
        <v>2025</v>
      </c>
      <c r="C46" t="s">
        <v>736</v>
      </c>
      <c r="D46" t="s">
        <v>737</v>
      </c>
      <c r="E46">
        <v>0.13</v>
      </c>
    </row>
    <row r="47" spans="1:5">
      <c r="A47" t="s">
        <v>738</v>
      </c>
      <c r="B47">
        <v>2024</v>
      </c>
      <c r="C47" t="s">
        <v>739</v>
      </c>
      <c r="D47" t="s">
        <v>740</v>
      </c>
      <c r="E47">
        <v>0.6</v>
      </c>
    </row>
    <row r="48" spans="1:5">
      <c r="A48" t="s">
        <v>578</v>
      </c>
      <c r="B48">
        <v>2024</v>
      </c>
      <c r="C48" t="s">
        <v>741</v>
      </c>
      <c r="D48" t="s">
        <v>742</v>
      </c>
      <c r="E48">
        <v>0.26</v>
      </c>
    </row>
    <row r="49" spans="1:5">
      <c r="A49" t="s">
        <v>743</v>
      </c>
      <c r="B49">
        <v>2024</v>
      </c>
      <c r="C49" t="s">
        <v>744</v>
      </c>
      <c r="D49" t="s">
        <v>745</v>
      </c>
      <c r="E49">
        <v>0.35</v>
      </c>
    </row>
    <row r="50" spans="1:5">
      <c r="A50" t="s">
        <v>160</v>
      </c>
      <c r="B50">
        <v>2024</v>
      </c>
      <c r="C50" t="s">
        <v>746</v>
      </c>
      <c r="D50" t="s">
        <v>747</v>
      </c>
      <c r="E50">
        <v>0.16</v>
      </c>
    </row>
    <row r="51" spans="1:5">
      <c r="A51" t="s">
        <v>738</v>
      </c>
      <c r="B51">
        <v>2024</v>
      </c>
      <c r="C51" t="s">
        <v>748</v>
      </c>
      <c r="D51" t="s">
        <v>749</v>
      </c>
      <c r="E51">
        <v>0.43</v>
      </c>
    </row>
    <row r="52" spans="1:5">
      <c r="A52" t="s">
        <v>750</v>
      </c>
      <c r="B52">
        <v>2021</v>
      </c>
      <c r="C52" t="s">
        <v>751</v>
      </c>
      <c r="D52" t="s">
        <v>752</v>
      </c>
    </row>
    <row r="53" spans="1:5">
      <c r="A53" t="s">
        <v>750</v>
      </c>
      <c r="B53">
        <v>2024</v>
      </c>
      <c r="C53" t="s">
        <v>627</v>
      </c>
      <c r="D53" t="s">
        <v>627</v>
      </c>
      <c r="E53">
        <v>-0.11</v>
      </c>
    </row>
    <row r="54" spans="1:5">
      <c r="A54" t="s">
        <v>753</v>
      </c>
      <c r="B54">
        <v>2024</v>
      </c>
      <c r="C54" t="s">
        <v>754</v>
      </c>
      <c r="D54" t="s">
        <v>755</v>
      </c>
      <c r="E54">
        <v>0.72</v>
      </c>
    </row>
    <row r="55" spans="1:5">
      <c r="A55" t="s">
        <v>756</v>
      </c>
      <c r="B55">
        <v>2024</v>
      </c>
      <c r="C55" t="s">
        <v>627</v>
      </c>
      <c r="D55" t="s">
        <v>757</v>
      </c>
    </row>
    <row r="56" spans="1:5">
      <c r="A56" t="s">
        <v>756</v>
      </c>
      <c r="B56">
        <v>2025</v>
      </c>
      <c r="C56" t="s">
        <v>758</v>
      </c>
      <c r="D56" t="s">
        <v>627</v>
      </c>
      <c r="E56">
        <v>0.38</v>
      </c>
    </row>
    <row r="57" spans="1:5">
      <c r="A57" t="s">
        <v>759</v>
      </c>
      <c r="B57">
        <v>2024</v>
      </c>
      <c r="C57" t="s">
        <v>627</v>
      </c>
      <c r="D57" t="s">
        <v>760</v>
      </c>
    </row>
    <row r="58" spans="1:5">
      <c r="A58" t="s">
        <v>759</v>
      </c>
      <c r="B58">
        <v>2025</v>
      </c>
      <c r="C58" t="s">
        <v>761</v>
      </c>
      <c r="D58" t="s">
        <v>627</v>
      </c>
      <c r="E58">
        <v>0.25</v>
      </c>
    </row>
    <row r="59" spans="1:5">
      <c r="A59" t="s">
        <v>762</v>
      </c>
      <c r="B59">
        <v>2024</v>
      </c>
      <c r="C59" t="s">
        <v>763</v>
      </c>
      <c r="D59" t="s">
        <v>764</v>
      </c>
      <c r="E59">
        <v>0.7</v>
      </c>
    </row>
    <row r="60" spans="1:5">
      <c r="A60" t="s">
        <v>582</v>
      </c>
      <c r="B60">
        <v>2025</v>
      </c>
      <c r="C60" t="s">
        <v>765</v>
      </c>
      <c r="D60" t="s">
        <v>766</v>
      </c>
      <c r="E60">
        <v>0.28999999999999998</v>
      </c>
    </row>
    <row r="61" spans="1:5">
      <c r="A61" t="s">
        <v>767</v>
      </c>
      <c r="B61">
        <v>2024</v>
      </c>
      <c r="C61" t="s">
        <v>768</v>
      </c>
      <c r="D61" t="s">
        <v>769</v>
      </c>
      <c r="E61">
        <v>0.21</v>
      </c>
    </row>
    <row r="62" spans="1:5">
      <c r="A62" t="s">
        <v>729</v>
      </c>
      <c r="B62">
        <v>2024</v>
      </c>
      <c r="C62" t="s">
        <v>770</v>
      </c>
      <c r="D62" t="s">
        <v>771</v>
      </c>
      <c r="E62">
        <v>0.5</v>
      </c>
    </row>
    <row r="63" spans="1:5">
      <c r="A63" t="s">
        <v>772</v>
      </c>
      <c r="B63">
        <v>2024</v>
      </c>
      <c r="C63" t="s">
        <v>773</v>
      </c>
      <c r="D63" t="s">
        <v>774</v>
      </c>
      <c r="E63">
        <v>0.37</v>
      </c>
    </row>
    <row r="64" spans="1:5">
      <c r="A64" t="s">
        <v>584</v>
      </c>
      <c r="B64">
        <v>2024</v>
      </c>
      <c r="C64" t="s">
        <v>775</v>
      </c>
      <c r="D64" t="s">
        <v>776</v>
      </c>
      <c r="E64">
        <v>-0.2</v>
      </c>
    </row>
    <row r="65" spans="1:5">
      <c r="A65" t="s">
        <v>586</v>
      </c>
      <c r="B65">
        <v>2024</v>
      </c>
      <c r="C65" t="s">
        <v>627</v>
      </c>
      <c r="D65" t="s">
        <v>777</v>
      </c>
    </row>
    <row r="66" spans="1:5">
      <c r="A66" t="s">
        <v>586</v>
      </c>
      <c r="B66">
        <v>2025</v>
      </c>
      <c r="C66" t="s">
        <v>778</v>
      </c>
      <c r="D66" t="s">
        <v>627</v>
      </c>
      <c r="E66">
        <v>0.06</v>
      </c>
    </row>
    <row r="67" spans="1:5">
      <c r="A67" t="s">
        <v>779</v>
      </c>
      <c r="B67">
        <v>2024</v>
      </c>
      <c r="C67" t="s">
        <v>780</v>
      </c>
      <c r="D67" t="s">
        <v>781</v>
      </c>
      <c r="E67">
        <v>0.24</v>
      </c>
    </row>
    <row r="68" spans="1:5">
      <c r="A68" t="s">
        <v>782</v>
      </c>
      <c r="B68">
        <v>2019</v>
      </c>
      <c r="C68" t="s">
        <v>783</v>
      </c>
      <c r="D68" t="s">
        <v>784</v>
      </c>
      <c r="E68">
        <v>0.38</v>
      </c>
    </row>
    <row r="69" spans="1:5">
      <c r="A69" t="s">
        <v>785</v>
      </c>
      <c r="B69">
        <v>2024</v>
      </c>
      <c r="C69" t="s">
        <v>786</v>
      </c>
      <c r="D69" t="s">
        <v>787</v>
      </c>
      <c r="E69">
        <v>0.76</v>
      </c>
    </row>
    <row r="70" spans="1:5">
      <c r="A70" t="s">
        <v>587</v>
      </c>
      <c r="B70">
        <v>2024</v>
      </c>
      <c r="C70" t="s">
        <v>627</v>
      </c>
      <c r="D70" t="s">
        <v>788</v>
      </c>
    </row>
    <row r="71" spans="1:5">
      <c r="A71" t="s">
        <v>587</v>
      </c>
      <c r="B71">
        <v>2025</v>
      </c>
      <c r="C71" t="s">
        <v>789</v>
      </c>
      <c r="D71" t="s">
        <v>627</v>
      </c>
      <c r="E71">
        <v>0.02</v>
      </c>
    </row>
    <row r="72" spans="1:5">
      <c r="A72" t="s">
        <v>790</v>
      </c>
      <c r="B72">
        <v>2024</v>
      </c>
      <c r="C72" t="s">
        <v>791</v>
      </c>
      <c r="D72" t="s">
        <v>792</v>
      </c>
      <c r="E72">
        <v>0.35</v>
      </c>
    </row>
    <row r="73" spans="1:5">
      <c r="A73" t="s">
        <v>637</v>
      </c>
      <c r="B73">
        <v>2024</v>
      </c>
      <c r="C73" t="s">
        <v>793</v>
      </c>
      <c r="D73" t="s">
        <v>794</v>
      </c>
      <c r="E73">
        <v>7.0000000000000007E-2</v>
      </c>
    </row>
    <row r="74" spans="1:5">
      <c r="A74" t="s">
        <v>795</v>
      </c>
      <c r="B74">
        <v>2024</v>
      </c>
      <c r="C74" t="s">
        <v>796</v>
      </c>
      <c r="D74" t="s">
        <v>797</v>
      </c>
      <c r="E74">
        <v>0.34</v>
      </c>
    </row>
    <row r="75" spans="1:5">
      <c r="A75" t="s">
        <v>798</v>
      </c>
      <c r="B75">
        <v>2024</v>
      </c>
      <c r="C75" t="s">
        <v>799</v>
      </c>
      <c r="D75" t="s">
        <v>800</v>
      </c>
      <c r="E75">
        <v>0.4</v>
      </c>
    </row>
    <row r="76" spans="1:5">
      <c r="A76" t="s">
        <v>801</v>
      </c>
      <c r="B76">
        <v>2024</v>
      </c>
      <c r="C76" t="s">
        <v>802</v>
      </c>
      <c r="D76" t="s">
        <v>803</v>
      </c>
      <c r="E76">
        <v>0.97</v>
      </c>
    </row>
    <row r="77" spans="1:5">
      <c r="A77" t="s">
        <v>804</v>
      </c>
      <c r="B77">
        <v>2024</v>
      </c>
      <c r="C77" t="s">
        <v>805</v>
      </c>
      <c r="D77" t="s">
        <v>806</v>
      </c>
      <c r="E77">
        <v>0.56000000000000005</v>
      </c>
    </row>
    <row r="78" spans="1:5">
      <c r="A78" t="s">
        <v>807</v>
      </c>
      <c r="B78">
        <v>2024</v>
      </c>
      <c r="C78" t="s">
        <v>808</v>
      </c>
      <c r="D78" t="s">
        <v>809</v>
      </c>
      <c r="E78">
        <v>0.56000000000000005</v>
      </c>
    </row>
    <row r="79" spans="1:5">
      <c r="A79" t="s">
        <v>810</v>
      </c>
      <c r="B79">
        <v>2024</v>
      </c>
      <c r="C79" t="s">
        <v>811</v>
      </c>
      <c r="D79" t="s">
        <v>812</v>
      </c>
      <c r="E79">
        <v>0.54</v>
      </c>
    </row>
    <row r="80" spans="1:5">
      <c r="A80" t="s">
        <v>810</v>
      </c>
      <c r="B80">
        <v>2024</v>
      </c>
      <c r="C80" t="s">
        <v>813</v>
      </c>
      <c r="D80" t="s">
        <v>814</v>
      </c>
      <c r="E80">
        <v>0.09</v>
      </c>
    </row>
    <row r="81" spans="1:5">
      <c r="A81" t="s">
        <v>590</v>
      </c>
      <c r="B81">
        <v>2024</v>
      </c>
      <c r="C81" t="s">
        <v>815</v>
      </c>
      <c r="D81" t="s">
        <v>816</v>
      </c>
      <c r="E81">
        <v>0.21</v>
      </c>
    </row>
    <row r="82" spans="1:5">
      <c r="A82" t="s">
        <v>817</v>
      </c>
      <c r="B82">
        <v>2024</v>
      </c>
      <c r="C82" t="s">
        <v>818</v>
      </c>
      <c r="D82" t="s">
        <v>819</v>
      </c>
      <c r="E82">
        <v>0.37</v>
      </c>
    </row>
    <row r="83" spans="1:5">
      <c r="A83" t="s">
        <v>820</v>
      </c>
      <c r="B83">
        <v>2024</v>
      </c>
      <c r="C83" t="s">
        <v>821</v>
      </c>
      <c r="D83" t="s">
        <v>822</v>
      </c>
      <c r="E83">
        <v>0.41</v>
      </c>
    </row>
    <row r="84" spans="1:5">
      <c r="A84" t="s">
        <v>823</v>
      </c>
      <c r="B84">
        <v>2024</v>
      </c>
      <c r="C84" t="s">
        <v>824</v>
      </c>
      <c r="D84" t="s">
        <v>825</v>
      </c>
      <c r="E84">
        <v>4.3600000000000003</v>
      </c>
    </row>
    <row r="85" spans="1:5">
      <c r="A85" t="s">
        <v>826</v>
      </c>
      <c r="B85">
        <v>2024</v>
      </c>
      <c r="C85" t="s">
        <v>827</v>
      </c>
      <c r="D85" t="s">
        <v>828</v>
      </c>
      <c r="E85">
        <v>0.25</v>
      </c>
    </row>
    <row r="86" spans="1:5">
      <c r="A86" t="s">
        <v>592</v>
      </c>
      <c r="B86">
        <v>2024</v>
      </c>
      <c r="C86" t="s">
        <v>829</v>
      </c>
      <c r="D86" t="s">
        <v>830</v>
      </c>
      <c r="E86">
        <v>0.36</v>
      </c>
    </row>
    <row r="87" spans="1:5">
      <c r="A87" t="s">
        <v>831</v>
      </c>
      <c r="B87">
        <v>2025</v>
      </c>
      <c r="C87" t="s">
        <v>832</v>
      </c>
      <c r="D87" t="s">
        <v>833</v>
      </c>
      <c r="E87">
        <v>0.32</v>
      </c>
    </row>
    <row r="88" spans="1:5">
      <c r="A88" t="s">
        <v>834</v>
      </c>
      <c r="B88">
        <v>2024</v>
      </c>
      <c r="C88" t="s">
        <v>835</v>
      </c>
      <c r="D88" t="s">
        <v>836</v>
      </c>
      <c r="E88">
        <v>-0.42</v>
      </c>
    </row>
    <row r="89" spans="1:5">
      <c r="A89" t="s">
        <v>837</v>
      </c>
      <c r="B89">
        <v>2025</v>
      </c>
      <c r="C89" t="s">
        <v>838</v>
      </c>
      <c r="D89" t="s">
        <v>627</v>
      </c>
    </row>
    <row r="90" spans="1:5">
      <c r="A90" t="s">
        <v>837</v>
      </c>
      <c r="B90">
        <v>2024</v>
      </c>
      <c r="C90" t="s">
        <v>627</v>
      </c>
      <c r="D90" t="s">
        <v>839</v>
      </c>
    </row>
    <row r="91" spans="1:5">
      <c r="A91" t="s">
        <v>837</v>
      </c>
      <c r="B91">
        <v>2025</v>
      </c>
      <c r="C91" t="s">
        <v>627</v>
      </c>
      <c r="D91" t="s">
        <v>627</v>
      </c>
      <c r="E91">
        <v>0.04</v>
      </c>
    </row>
    <row r="92" spans="1:5">
      <c r="A92" t="s">
        <v>840</v>
      </c>
      <c r="B92">
        <v>2024</v>
      </c>
      <c r="C92" t="s">
        <v>841</v>
      </c>
      <c r="D92" t="s">
        <v>842</v>
      </c>
      <c r="E92">
        <v>0.5</v>
      </c>
    </row>
    <row r="93" spans="1:5">
      <c r="A93" t="s">
        <v>595</v>
      </c>
      <c r="B93">
        <v>2024</v>
      </c>
      <c r="C93" t="s">
        <v>843</v>
      </c>
      <c r="D93" t="s">
        <v>844</v>
      </c>
      <c r="E93">
        <v>0.26</v>
      </c>
    </row>
    <row r="94" spans="1:5">
      <c r="A94" t="s">
        <v>845</v>
      </c>
      <c r="B94">
        <v>2025</v>
      </c>
      <c r="C94" t="s">
        <v>846</v>
      </c>
      <c r="D94" t="s">
        <v>847</v>
      </c>
      <c r="E94">
        <v>0.31</v>
      </c>
    </row>
    <row r="95" spans="1:5">
      <c r="A95" t="s">
        <v>848</v>
      </c>
      <c r="B95">
        <v>2024</v>
      </c>
      <c r="C95" t="s">
        <v>849</v>
      </c>
      <c r="D95" t="s">
        <v>850</v>
      </c>
      <c r="E95">
        <v>0.65</v>
      </c>
    </row>
    <row r="96" spans="1:5">
      <c r="A96" t="s">
        <v>851</v>
      </c>
      <c r="B96">
        <v>2024</v>
      </c>
      <c r="C96" t="s">
        <v>852</v>
      </c>
      <c r="D96" t="s">
        <v>853</v>
      </c>
      <c r="E96">
        <v>-0.02</v>
      </c>
    </row>
    <row r="97" spans="1:5">
      <c r="A97" t="s">
        <v>854</v>
      </c>
      <c r="B97">
        <v>2024</v>
      </c>
      <c r="C97" t="s">
        <v>855</v>
      </c>
      <c r="D97" t="s">
        <v>856</v>
      </c>
      <c r="E97">
        <v>0.35</v>
      </c>
    </row>
    <row r="98" spans="1:5">
      <c r="A98" t="s">
        <v>857</v>
      </c>
      <c r="B98">
        <v>2024</v>
      </c>
      <c r="C98" t="s">
        <v>858</v>
      </c>
      <c r="D98" t="s">
        <v>859</v>
      </c>
      <c r="E98">
        <v>-0.12</v>
      </c>
    </row>
    <row r="99" spans="1:5">
      <c r="A99" t="s">
        <v>860</v>
      </c>
      <c r="B99">
        <v>2024</v>
      </c>
      <c r="C99" t="s">
        <v>861</v>
      </c>
      <c r="D99" t="s">
        <v>862</v>
      </c>
      <c r="E99">
        <v>-0.05</v>
      </c>
    </row>
    <row r="100" spans="1:5">
      <c r="A100" t="s">
        <v>863</v>
      </c>
      <c r="B100">
        <v>2024</v>
      </c>
      <c r="C100" t="s">
        <v>864</v>
      </c>
      <c r="D100" t="s">
        <v>865</v>
      </c>
      <c r="E100">
        <v>0.25</v>
      </c>
    </row>
    <row r="101" spans="1:5">
      <c r="A101" t="s">
        <v>866</v>
      </c>
      <c r="B101">
        <v>2024</v>
      </c>
      <c r="C101" t="s">
        <v>867</v>
      </c>
      <c r="D101" t="s">
        <v>868</v>
      </c>
      <c r="E101">
        <v>0.47</v>
      </c>
    </row>
    <row r="102" spans="1:5">
      <c r="A102" t="s">
        <v>869</v>
      </c>
      <c r="B102">
        <v>2024</v>
      </c>
      <c r="C102" t="s">
        <v>870</v>
      </c>
      <c r="D102" t="s">
        <v>871</v>
      </c>
      <c r="E102">
        <v>0.9</v>
      </c>
    </row>
    <row r="103" spans="1:5">
      <c r="A103" t="s">
        <v>872</v>
      </c>
      <c r="B103">
        <v>2024</v>
      </c>
      <c r="C103" t="s">
        <v>873</v>
      </c>
      <c r="D103" t="s">
        <v>874</v>
      </c>
      <c r="E103">
        <v>0.6</v>
      </c>
    </row>
    <row r="104" spans="1:5">
      <c r="A104" t="s">
        <v>875</v>
      </c>
      <c r="B104">
        <v>2024</v>
      </c>
      <c r="C104" t="s">
        <v>876</v>
      </c>
      <c r="D104" t="s">
        <v>877</v>
      </c>
      <c r="E104">
        <v>0.53</v>
      </c>
    </row>
    <row r="105" spans="1:5">
      <c r="A105" t="s">
        <v>878</v>
      </c>
      <c r="B105">
        <v>2024</v>
      </c>
      <c r="C105" t="s">
        <v>879</v>
      </c>
      <c r="D105" t="s">
        <v>880</v>
      </c>
      <c r="E105">
        <v>0.33</v>
      </c>
    </row>
    <row r="106" spans="1:5">
      <c r="A106" t="s">
        <v>881</v>
      </c>
      <c r="B106">
        <v>2024</v>
      </c>
      <c r="C106" t="s">
        <v>882</v>
      </c>
      <c r="D106" t="s">
        <v>883</v>
      </c>
      <c r="E106">
        <v>0.03</v>
      </c>
    </row>
    <row r="107" spans="1:5">
      <c r="A107" t="s">
        <v>884</v>
      </c>
      <c r="B107">
        <v>2017</v>
      </c>
      <c r="C107" t="s">
        <v>885</v>
      </c>
      <c r="D107" t="s">
        <v>886</v>
      </c>
      <c r="E107">
        <v>-0.35</v>
      </c>
    </row>
    <row r="108" spans="1:5">
      <c r="A108" t="s">
        <v>884</v>
      </c>
      <c r="B108">
        <v>2024</v>
      </c>
      <c r="C108" t="s">
        <v>887</v>
      </c>
      <c r="D108" t="s">
        <v>888</v>
      </c>
      <c r="E108">
        <v>0.2</v>
      </c>
    </row>
    <row r="109" spans="1:5">
      <c r="A109" t="s">
        <v>889</v>
      </c>
      <c r="B109">
        <v>2024</v>
      </c>
      <c r="C109" t="s">
        <v>890</v>
      </c>
      <c r="D109" t="s">
        <v>891</v>
      </c>
      <c r="E109">
        <v>-0.26</v>
      </c>
    </row>
    <row r="110" spans="1:5">
      <c r="A110" t="s">
        <v>892</v>
      </c>
      <c r="B110">
        <v>2024</v>
      </c>
      <c r="C110" t="s">
        <v>893</v>
      </c>
      <c r="D110" t="s">
        <v>894</v>
      </c>
      <c r="E110">
        <v>0.5</v>
      </c>
    </row>
    <row r="111" spans="1:5">
      <c r="A111" t="s">
        <v>895</v>
      </c>
      <c r="B111">
        <v>2024</v>
      </c>
      <c r="C111" t="s">
        <v>896</v>
      </c>
      <c r="D111" t="s">
        <v>897</v>
      </c>
      <c r="E111">
        <v>0.43</v>
      </c>
    </row>
    <row r="112" spans="1:5">
      <c r="A112" t="s">
        <v>898</v>
      </c>
      <c r="B112">
        <v>2023</v>
      </c>
      <c r="C112" t="s">
        <v>899</v>
      </c>
      <c r="D112" t="s">
        <v>900</v>
      </c>
      <c r="E112">
        <v>-0.08</v>
      </c>
    </row>
    <row r="113" spans="1:5">
      <c r="A113" t="s">
        <v>901</v>
      </c>
      <c r="B113">
        <v>2024</v>
      </c>
      <c r="C113" t="s">
        <v>902</v>
      </c>
      <c r="D113" t="s">
        <v>903</v>
      </c>
      <c r="E113">
        <v>0.47</v>
      </c>
    </row>
    <row r="114" spans="1:5">
      <c r="A114" t="s">
        <v>904</v>
      </c>
      <c r="B114">
        <v>2023</v>
      </c>
      <c r="C114" t="s">
        <v>905</v>
      </c>
      <c r="D114" t="s">
        <v>906</v>
      </c>
      <c r="E114">
        <v>0.48</v>
      </c>
    </row>
    <row r="115" spans="1:5">
      <c r="A115" t="s">
        <v>907</v>
      </c>
      <c r="B115">
        <v>2024</v>
      </c>
      <c r="C115" t="s">
        <v>908</v>
      </c>
      <c r="D115" t="s">
        <v>909</v>
      </c>
      <c r="E115">
        <v>0.5</v>
      </c>
    </row>
    <row r="116" spans="1:5">
      <c r="A116" t="s">
        <v>910</v>
      </c>
      <c r="B116">
        <v>2024</v>
      </c>
      <c r="C116" t="s">
        <v>911</v>
      </c>
      <c r="D116" t="s">
        <v>912</v>
      </c>
      <c r="E116">
        <v>0.4</v>
      </c>
    </row>
    <row r="117" spans="1:5">
      <c r="A117" t="s">
        <v>913</v>
      </c>
      <c r="B117">
        <v>2024</v>
      </c>
      <c r="C117" t="s">
        <v>914</v>
      </c>
      <c r="D117" t="s">
        <v>915</v>
      </c>
      <c r="E117">
        <v>0.28999999999999998</v>
      </c>
    </row>
    <row r="118" spans="1:5">
      <c r="A118" t="s">
        <v>916</v>
      </c>
      <c r="B118">
        <v>2024</v>
      </c>
      <c r="C118" t="s">
        <v>627</v>
      </c>
      <c r="D118" t="s">
        <v>917</v>
      </c>
    </row>
    <row r="119" spans="1:5">
      <c r="A119" t="s">
        <v>916</v>
      </c>
      <c r="B119">
        <v>2025</v>
      </c>
      <c r="C119" t="s">
        <v>918</v>
      </c>
      <c r="D119" t="s">
        <v>627</v>
      </c>
      <c r="E119">
        <v>0.28999999999999998</v>
      </c>
    </row>
    <row r="120" spans="1:5">
      <c r="A120" t="s">
        <v>919</v>
      </c>
      <c r="B120">
        <v>2024</v>
      </c>
      <c r="C120" t="s">
        <v>920</v>
      </c>
      <c r="D120" t="s">
        <v>921</v>
      </c>
      <c r="E120">
        <v>0.04</v>
      </c>
    </row>
    <row r="121" spans="1:5">
      <c r="A121" t="s">
        <v>922</v>
      </c>
      <c r="B121">
        <v>2024</v>
      </c>
      <c r="C121" t="s">
        <v>627</v>
      </c>
      <c r="D121" t="s">
        <v>923</v>
      </c>
    </row>
    <row r="122" spans="1:5">
      <c r="A122" t="s">
        <v>922</v>
      </c>
      <c r="B122">
        <v>2025</v>
      </c>
      <c r="C122" t="s">
        <v>924</v>
      </c>
      <c r="D122" t="s">
        <v>627</v>
      </c>
      <c r="E122">
        <v>0.21</v>
      </c>
    </row>
    <row r="123" spans="1:5">
      <c r="A123" t="s">
        <v>925</v>
      </c>
      <c r="B123">
        <v>2024</v>
      </c>
      <c r="C123" t="s">
        <v>926</v>
      </c>
      <c r="D123" t="s">
        <v>927</v>
      </c>
      <c r="E123">
        <v>0.19</v>
      </c>
    </row>
    <row r="124" spans="1:5">
      <c r="A124" t="s">
        <v>928</v>
      </c>
      <c r="B124">
        <v>2024</v>
      </c>
      <c r="C124" t="s">
        <v>929</v>
      </c>
      <c r="D124" t="s">
        <v>930</v>
      </c>
      <c r="E124">
        <v>0.38</v>
      </c>
    </row>
    <row r="125" spans="1:5">
      <c r="A125" t="s">
        <v>931</v>
      </c>
      <c r="B125">
        <v>2024</v>
      </c>
      <c r="C125" t="s">
        <v>932</v>
      </c>
      <c r="D125" t="s">
        <v>933</v>
      </c>
      <c r="E125">
        <v>0.85</v>
      </c>
    </row>
    <row r="126" spans="1:5">
      <c r="A126" t="s">
        <v>934</v>
      </c>
      <c r="B126">
        <v>2024</v>
      </c>
      <c r="C126" t="s">
        <v>935</v>
      </c>
      <c r="D126" t="s">
        <v>936</v>
      </c>
      <c r="E126">
        <v>0.01</v>
      </c>
    </row>
    <row r="127" spans="1:5">
      <c r="A127" t="s">
        <v>937</v>
      </c>
      <c r="B127">
        <v>2024</v>
      </c>
      <c r="C127" t="s">
        <v>938</v>
      </c>
      <c r="D127" t="s">
        <v>939</v>
      </c>
      <c r="E127">
        <v>0.32</v>
      </c>
    </row>
    <row r="128" spans="1:5">
      <c r="A128" t="s">
        <v>940</v>
      </c>
      <c r="B128">
        <v>2024</v>
      </c>
      <c r="C128" t="s">
        <v>941</v>
      </c>
      <c r="D128" t="s">
        <v>942</v>
      </c>
      <c r="E128">
        <v>0.42</v>
      </c>
    </row>
    <row r="129" spans="1:5">
      <c r="A129" t="s">
        <v>943</v>
      </c>
      <c r="B129">
        <v>2024</v>
      </c>
      <c r="C129" t="s">
        <v>944</v>
      </c>
      <c r="D129" t="s">
        <v>945</v>
      </c>
      <c r="E129">
        <v>0.25</v>
      </c>
    </row>
    <row r="130" spans="1:5">
      <c r="A130" t="s">
        <v>946</v>
      </c>
      <c r="B130">
        <v>2024</v>
      </c>
      <c r="C130" t="s">
        <v>947</v>
      </c>
      <c r="D130" t="s">
        <v>948</v>
      </c>
      <c r="E130">
        <v>0.3</v>
      </c>
    </row>
    <row r="131" spans="1:5">
      <c r="A131" t="s">
        <v>949</v>
      </c>
      <c r="B131">
        <v>2024</v>
      </c>
      <c r="C131" t="s">
        <v>950</v>
      </c>
      <c r="D131" t="s">
        <v>951</v>
      </c>
      <c r="E131">
        <v>0.5</v>
      </c>
    </row>
    <row r="132" spans="1:5">
      <c r="A132" t="s">
        <v>952</v>
      </c>
      <c r="B132">
        <v>2024</v>
      </c>
      <c r="C132" t="s">
        <v>953</v>
      </c>
      <c r="D132" t="s">
        <v>954</v>
      </c>
      <c r="E132">
        <v>-0.1</v>
      </c>
    </row>
    <row r="133" spans="1:5">
      <c r="A133" t="s">
        <v>955</v>
      </c>
      <c r="B133">
        <v>2024</v>
      </c>
      <c r="C133" t="s">
        <v>956</v>
      </c>
      <c r="D133" t="s">
        <v>957</v>
      </c>
      <c r="E133">
        <v>0.51</v>
      </c>
    </row>
    <row r="134" spans="1:5">
      <c r="A134" t="s">
        <v>958</v>
      </c>
      <c r="B134">
        <v>2024</v>
      </c>
      <c r="C134" t="s">
        <v>959</v>
      </c>
      <c r="D134" t="s">
        <v>960</v>
      </c>
      <c r="E134">
        <v>0.63</v>
      </c>
    </row>
    <row r="135" spans="1:5">
      <c r="A135" t="s">
        <v>961</v>
      </c>
      <c r="B135">
        <v>2025</v>
      </c>
      <c r="C135" t="s">
        <v>962</v>
      </c>
      <c r="D135" t="s">
        <v>963</v>
      </c>
      <c r="E135">
        <v>0.4</v>
      </c>
    </row>
    <row r="136" spans="1:5">
      <c r="A136" t="s">
        <v>964</v>
      </c>
      <c r="B136">
        <v>2024</v>
      </c>
      <c r="C136" t="s">
        <v>965</v>
      </c>
      <c r="D136" t="s">
        <v>966</v>
      </c>
      <c r="E136">
        <v>0.49</v>
      </c>
    </row>
    <row r="137" spans="1:5">
      <c r="A137" t="s">
        <v>967</v>
      </c>
      <c r="B137">
        <v>2024</v>
      </c>
      <c r="C137" t="s">
        <v>968</v>
      </c>
      <c r="D137" t="s">
        <v>969</v>
      </c>
      <c r="E137">
        <v>0.33</v>
      </c>
    </row>
    <row r="138" spans="1:5">
      <c r="A138" t="s">
        <v>970</v>
      </c>
      <c r="B138">
        <v>2024</v>
      </c>
      <c r="C138" t="s">
        <v>971</v>
      </c>
      <c r="D138" t="s">
        <v>972</v>
      </c>
      <c r="E138">
        <v>0.18</v>
      </c>
    </row>
    <row r="139" spans="1:5">
      <c r="A139" t="s">
        <v>973</v>
      </c>
      <c r="B139">
        <v>2024</v>
      </c>
      <c r="C139" t="s">
        <v>974</v>
      </c>
      <c r="D139" t="s">
        <v>975</v>
      </c>
      <c r="E139">
        <v>0.14000000000000001</v>
      </c>
    </row>
    <row r="140" spans="1:5">
      <c r="A140" t="s">
        <v>976</v>
      </c>
      <c r="B140">
        <v>2024</v>
      </c>
      <c r="C140" t="s">
        <v>977</v>
      </c>
      <c r="D140" t="s">
        <v>978</v>
      </c>
      <c r="E140">
        <v>0.51</v>
      </c>
    </row>
    <row r="141" spans="1:5">
      <c r="A141" t="s">
        <v>979</v>
      </c>
      <c r="B141">
        <v>2024</v>
      </c>
      <c r="C141" t="s">
        <v>980</v>
      </c>
      <c r="D141" t="s">
        <v>981</v>
      </c>
      <c r="E141">
        <v>0.21</v>
      </c>
    </row>
    <row r="142" spans="1:5">
      <c r="A142" t="s">
        <v>982</v>
      </c>
      <c r="B142">
        <v>2024</v>
      </c>
      <c r="C142" t="s">
        <v>983</v>
      </c>
      <c r="D142" t="s">
        <v>984</v>
      </c>
      <c r="E142">
        <v>0.37</v>
      </c>
    </row>
    <row r="143" spans="1:5">
      <c r="A143" t="s">
        <v>985</v>
      </c>
      <c r="B143">
        <v>2024</v>
      </c>
      <c r="C143" t="s">
        <v>986</v>
      </c>
      <c r="D143" t="s">
        <v>987</v>
      </c>
      <c r="E143">
        <v>1.03</v>
      </c>
    </row>
    <row r="144" spans="1:5">
      <c r="A144" t="s">
        <v>988</v>
      </c>
      <c r="B144">
        <v>2024</v>
      </c>
      <c r="C144" t="s">
        <v>989</v>
      </c>
      <c r="D144" t="s">
        <v>990</v>
      </c>
      <c r="E144">
        <v>0.41</v>
      </c>
    </row>
    <row r="145" spans="1:5">
      <c r="A145" t="s">
        <v>991</v>
      </c>
      <c r="B145">
        <v>2024</v>
      </c>
      <c r="C145" t="s">
        <v>992</v>
      </c>
      <c r="D145" t="s">
        <v>993</v>
      </c>
      <c r="E145">
        <v>0.36</v>
      </c>
    </row>
    <row r="146" spans="1:5">
      <c r="A146" t="s">
        <v>994</v>
      </c>
      <c r="B146">
        <v>2025</v>
      </c>
      <c r="C146" t="s">
        <v>995</v>
      </c>
      <c r="D146" t="s">
        <v>996</v>
      </c>
      <c r="E146">
        <v>0.19</v>
      </c>
    </row>
    <row r="147" spans="1:5">
      <c r="A147" t="s">
        <v>997</v>
      </c>
      <c r="B147">
        <v>2024</v>
      </c>
      <c r="C147" t="s">
        <v>998</v>
      </c>
      <c r="D147" t="s">
        <v>999</v>
      </c>
      <c r="E147">
        <v>0.21</v>
      </c>
    </row>
    <row r="148" spans="1:5">
      <c r="A148" t="s">
        <v>1000</v>
      </c>
      <c r="B148">
        <v>2024</v>
      </c>
      <c r="C148" t="s">
        <v>1001</v>
      </c>
      <c r="D148" t="s">
        <v>1002</v>
      </c>
      <c r="E148">
        <v>0.37</v>
      </c>
    </row>
    <row r="149" spans="1:5">
      <c r="A149" t="s">
        <v>1003</v>
      </c>
      <c r="B149">
        <v>2024</v>
      </c>
      <c r="C149" t="s">
        <v>1004</v>
      </c>
      <c r="D149" t="s">
        <v>1005</v>
      </c>
      <c r="E149">
        <v>0.14000000000000001</v>
      </c>
    </row>
    <row r="150" spans="1:5">
      <c r="A150" t="s">
        <v>1006</v>
      </c>
      <c r="B150">
        <v>2024</v>
      </c>
      <c r="C150" t="s">
        <v>1007</v>
      </c>
      <c r="D150" t="s">
        <v>1008</v>
      </c>
      <c r="E150">
        <v>-7.0000000000000007E-2</v>
      </c>
    </row>
    <row r="151" spans="1:5">
      <c r="A151" t="s">
        <v>1009</v>
      </c>
      <c r="B151">
        <v>2024</v>
      </c>
      <c r="C151" t="s">
        <v>1010</v>
      </c>
      <c r="D151" t="s">
        <v>1011</v>
      </c>
      <c r="E151">
        <v>0.17</v>
      </c>
    </row>
    <row r="152" spans="1:5">
      <c r="A152" t="s">
        <v>1012</v>
      </c>
      <c r="B152">
        <v>2024</v>
      </c>
      <c r="C152" t="s">
        <v>1013</v>
      </c>
      <c r="D152" t="s">
        <v>1014</v>
      </c>
      <c r="E152">
        <v>0.27</v>
      </c>
    </row>
    <row r="153" spans="1:5">
      <c r="A153" t="s">
        <v>1015</v>
      </c>
      <c r="B153">
        <v>2024</v>
      </c>
      <c r="C153" t="s">
        <v>1016</v>
      </c>
      <c r="D153" t="s">
        <v>1017</v>
      </c>
      <c r="E153">
        <v>0.33</v>
      </c>
    </row>
    <row r="154" spans="1:5">
      <c r="A154" t="s">
        <v>1018</v>
      </c>
      <c r="B154">
        <v>2024</v>
      </c>
      <c r="C154" t="s">
        <v>1019</v>
      </c>
      <c r="D154" t="s">
        <v>1020</v>
      </c>
      <c r="E154">
        <v>0.38</v>
      </c>
    </row>
    <row r="155" spans="1:5">
      <c r="A155" t="s">
        <v>1021</v>
      </c>
      <c r="B155">
        <v>2024</v>
      </c>
      <c r="C155" t="s">
        <v>1022</v>
      </c>
      <c r="D155" t="s">
        <v>1023</v>
      </c>
      <c r="E155">
        <v>0.56999999999999995</v>
      </c>
    </row>
    <row r="156" spans="1:5">
      <c r="A156" t="s">
        <v>1024</v>
      </c>
      <c r="B156">
        <v>2024</v>
      </c>
      <c r="C156" t="s">
        <v>1025</v>
      </c>
      <c r="D156" t="s">
        <v>1026</v>
      </c>
      <c r="E156">
        <v>0.25</v>
      </c>
    </row>
    <row r="157" spans="1:5">
      <c r="A157" t="s">
        <v>604</v>
      </c>
      <c r="B157">
        <v>2025</v>
      </c>
      <c r="C157" t="s">
        <v>1027</v>
      </c>
      <c r="D157" t="s">
        <v>627</v>
      </c>
    </row>
    <row r="158" spans="1:5">
      <c r="A158" t="s">
        <v>604</v>
      </c>
      <c r="B158">
        <v>2024</v>
      </c>
      <c r="C158" t="s">
        <v>627</v>
      </c>
      <c r="D158" t="s">
        <v>1028</v>
      </c>
    </row>
    <row r="159" spans="1:5">
      <c r="A159" t="s">
        <v>604</v>
      </c>
      <c r="B159">
        <v>2025</v>
      </c>
      <c r="C159" t="s">
        <v>627</v>
      </c>
      <c r="D159" t="s">
        <v>627</v>
      </c>
      <c r="E159">
        <v>0.36</v>
      </c>
    </row>
    <row r="160" spans="1:5">
      <c r="A160" t="s">
        <v>1029</v>
      </c>
      <c r="B160">
        <v>2024</v>
      </c>
      <c r="C160" t="s">
        <v>1030</v>
      </c>
      <c r="D160" t="s">
        <v>1031</v>
      </c>
      <c r="E160">
        <v>-2.66</v>
      </c>
    </row>
    <row r="161" spans="1:5">
      <c r="A161" t="s">
        <v>1032</v>
      </c>
      <c r="B161">
        <v>2023</v>
      </c>
      <c r="C161" t="s">
        <v>1033</v>
      </c>
      <c r="D161" t="s">
        <v>1034</v>
      </c>
      <c r="E161">
        <v>0.14000000000000001</v>
      </c>
    </row>
    <row r="162" spans="1:5">
      <c r="A162" t="s">
        <v>1035</v>
      </c>
      <c r="B162">
        <v>2024</v>
      </c>
      <c r="C162" t="s">
        <v>1036</v>
      </c>
      <c r="D162" t="s">
        <v>1037</v>
      </c>
      <c r="E162">
        <v>0.43</v>
      </c>
    </row>
    <row r="163" spans="1:5">
      <c r="A163" t="s">
        <v>1038</v>
      </c>
      <c r="B163">
        <v>2024</v>
      </c>
      <c r="C163" t="s">
        <v>1039</v>
      </c>
      <c r="D163" t="s">
        <v>1040</v>
      </c>
      <c r="E163">
        <v>0.24</v>
      </c>
    </row>
    <row r="164" spans="1:5">
      <c r="A164" t="s">
        <v>1041</v>
      </c>
      <c r="B164">
        <v>2024</v>
      </c>
      <c r="C164" t="s">
        <v>1042</v>
      </c>
      <c r="D164" t="s">
        <v>1043</v>
      </c>
      <c r="E164">
        <v>0.09</v>
      </c>
    </row>
    <row r="165" spans="1:5">
      <c r="A165" t="s">
        <v>1044</v>
      </c>
      <c r="B165">
        <v>2024</v>
      </c>
      <c r="C165" t="s">
        <v>1045</v>
      </c>
      <c r="D165" t="s">
        <v>1046</v>
      </c>
      <c r="E165">
        <v>0.39</v>
      </c>
    </row>
    <row r="166" spans="1:5">
      <c r="A166" t="s">
        <v>1047</v>
      </c>
      <c r="B166">
        <v>2024</v>
      </c>
      <c r="C166" t="s">
        <v>1048</v>
      </c>
      <c r="D166" t="s">
        <v>1049</v>
      </c>
      <c r="E166">
        <v>0.43</v>
      </c>
    </row>
    <row r="167" spans="1:5">
      <c r="A167" t="s">
        <v>1050</v>
      </c>
      <c r="B167">
        <v>2024</v>
      </c>
      <c r="C167" t="s">
        <v>1051</v>
      </c>
      <c r="D167" t="s">
        <v>1052</v>
      </c>
      <c r="E167">
        <v>0.89</v>
      </c>
    </row>
    <row r="168" spans="1:5">
      <c r="A168" t="s">
        <v>1053</v>
      </c>
      <c r="B168">
        <v>2024</v>
      </c>
      <c r="C168" t="s">
        <v>1054</v>
      </c>
      <c r="D168" t="s">
        <v>1055</v>
      </c>
      <c r="E168">
        <v>0.26</v>
      </c>
    </row>
    <row r="169" spans="1:5">
      <c r="A169" t="s">
        <v>943</v>
      </c>
      <c r="B169">
        <v>2024</v>
      </c>
      <c r="C169" t="s">
        <v>1056</v>
      </c>
      <c r="D169" t="s">
        <v>1057</v>
      </c>
      <c r="E169">
        <v>0.3</v>
      </c>
    </row>
    <row r="170" spans="1:5">
      <c r="A170" t="s">
        <v>1058</v>
      </c>
      <c r="B170">
        <v>2024</v>
      </c>
      <c r="C170" t="s">
        <v>1059</v>
      </c>
      <c r="D170" t="s">
        <v>1060</v>
      </c>
      <c r="E170">
        <v>0.35</v>
      </c>
    </row>
    <row r="171" spans="1:5">
      <c r="A171" t="s">
        <v>1061</v>
      </c>
      <c r="B171">
        <v>2024</v>
      </c>
      <c r="C171" t="s">
        <v>1062</v>
      </c>
      <c r="D171" t="s">
        <v>1063</v>
      </c>
      <c r="E171">
        <v>-1.4</v>
      </c>
    </row>
    <row r="172" spans="1:5">
      <c r="A172" t="s">
        <v>608</v>
      </c>
      <c r="B172">
        <v>2025</v>
      </c>
      <c r="C172" t="s">
        <v>1064</v>
      </c>
      <c r="D172" t="s">
        <v>627</v>
      </c>
    </row>
    <row r="173" spans="1:5">
      <c r="A173" t="s">
        <v>608</v>
      </c>
      <c r="B173">
        <v>2024</v>
      </c>
      <c r="C173" t="s">
        <v>627</v>
      </c>
      <c r="D173" t="s">
        <v>1065</v>
      </c>
    </row>
    <row r="174" spans="1:5">
      <c r="A174" t="s">
        <v>608</v>
      </c>
      <c r="B174">
        <v>2025</v>
      </c>
      <c r="C174" t="s">
        <v>627</v>
      </c>
      <c r="D174" t="s">
        <v>627</v>
      </c>
      <c r="E174">
        <v>0.15</v>
      </c>
    </row>
    <row r="175" spans="1:5">
      <c r="A175" t="s">
        <v>1066</v>
      </c>
      <c r="B175">
        <v>2024</v>
      </c>
      <c r="C175" t="s">
        <v>1067</v>
      </c>
      <c r="D175" t="s">
        <v>1068</v>
      </c>
      <c r="E175">
        <v>0.44</v>
      </c>
    </row>
    <row r="176" spans="1:5">
      <c r="A176" t="s">
        <v>1069</v>
      </c>
      <c r="B176">
        <v>2025</v>
      </c>
      <c r="C176" t="s">
        <v>1070</v>
      </c>
      <c r="D176" t="s">
        <v>1071</v>
      </c>
      <c r="E176">
        <v>0.11</v>
      </c>
    </row>
    <row r="177" spans="1:5">
      <c r="A177" t="s">
        <v>1072</v>
      </c>
      <c r="B177">
        <v>2024</v>
      </c>
      <c r="C177" t="s">
        <v>1073</v>
      </c>
      <c r="D177" t="s">
        <v>1074</v>
      </c>
      <c r="E177">
        <v>0.19</v>
      </c>
    </row>
    <row r="178" spans="1:5">
      <c r="A178" t="s">
        <v>1075</v>
      </c>
      <c r="B178">
        <v>2024</v>
      </c>
      <c r="C178" t="s">
        <v>1076</v>
      </c>
      <c r="D178" t="s">
        <v>1077</v>
      </c>
      <c r="E178">
        <v>0.44</v>
      </c>
    </row>
    <row r="179" spans="1:5">
      <c r="A179" t="s">
        <v>881</v>
      </c>
      <c r="B179">
        <v>2023</v>
      </c>
      <c r="C179" t="s">
        <v>1078</v>
      </c>
      <c r="D179" t="s">
        <v>1079</v>
      </c>
      <c r="E179">
        <v>0.04</v>
      </c>
    </row>
    <row r="180" spans="1:5">
      <c r="A180" t="s">
        <v>1080</v>
      </c>
      <c r="B180">
        <v>2024</v>
      </c>
      <c r="C180" t="s">
        <v>1081</v>
      </c>
      <c r="D180" t="s">
        <v>1082</v>
      </c>
      <c r="E180">
        <v>0.64</v>
      </c>
    </row>
    <row r="181" spans="1:5">
      <c r="A181" t="s">
        <v>1083</v>
      </c>
      <c r="B181">
        <v>2024</v>
      </c>
      <c r="C181" t="s">
        <v>1084</v>
      </c>
      <c r="D181" t="s">
        <v>1085</v>
      </c>
      <c r="E181">
        <v>0.41</v>
      </c>
    </row>
    <row r="182" spans="1:5">
      <c r="A182" t="s">
        <v>1086</v>
      </c>
      <c r="B182">
        <v>2024</v>
      </c>
      <c r="C182" t="s">
        <v>1087</v>
      </c>
      <c r="D182" t="s">
        <v>1088</v>
      </c>
      <c r="E182">
        <v>0.3</v>
      </c>
    </row>
    <row r="183" spans="1:5">
      <c r="A183" t="s">
        <v>1061</v>
      </c>
      <c r="B183">
        <v>2024</v>
      </c>
      <c r="C183" t="s">
        <v>1089</v>
      </c>
      <c r="D183" t="s">
        <v>1090</v>
      </c>
      <c r="E183">
        <v>-2.61</v>
      </c>
    </row>
    <row r="184" spans="1:5">
      <c r="A184" t="s">
        <v>1091</v>
      </c>
      <c r="B184">
        <v>2024</v>
      </c>
      <c r="C184" t="s">
        <v>1092</v>
      </c>
      <c r="D184" t="s">
        <v>1093</v>
      </c>
      <c r="E184">
        <v>0.11</v>
      </c>
    </row>
    <row r="185" spans="1:5">
      <c r="A185" t="s">
        <v>1094</v>
      </c>
      <c r="B185">
        <v>2024</v>
      </c>
      <c r="C185" t="s">
        <v>1095</v>
      </c>
      <c r="D185" t="s">
        <v>1096</v>
      </c>
      <c r="E185">
        <v>0.26</v>
      </c>
    </row>
    <row r="186" spans="1:5">
      <c r="A186" t="s">
        <v>1097</v>
      </c>
      <c r="B186">
        <v>2023</v>
      </c>
      <c r="C186" t="s">
        <v>1098</v>
      </c>
      <c r="D186" t="s">
        <v>1099</v>
      </c>
      <c r="E186">
        <v>-0.12</v>
      </c>
    </row>
    <row r="187" spans="1:5">
      <c r="A187" t="s">
        <v>1100</v>
      </c>
      <c r="B187">
        <v>2024</v>
      </c>
      <c r="C187" t="s">
        <v>1101</v>
      </c>
      <c r="D187" t="s">
        <v>1102</v>
      </c>
      <c r="E187">
        <v>0.3</v>
      </c>
    </row>
    <row r="188" spans="1:5">
      <c r="A188" t="s">
        <v>1103</v>
      </c>
      <c r="B188">
        <v>2024</v>
      </c>
      <c r="C188" t="s">
        <v>1104</v>
      </c>
      <c r="D188" t="s">
        <v>1105</v>
      </c>
      <c r="E188">
        <v>0.42</v>
      </c>
    </row>
    <row r="189" spans="1:5">
      <c r="A189" t="s">
        <v>1106</v>
      </c>
      <c r="B189">
        <v>2024</v>
      </c>
      <c r="C189" t="s">
        <v>1107</v>
      </c>
      <c r="D189" t="s">
        <v>1108</v>
      </c>
      <c r="E189">
        <v>0.53</v>
      </c>
    </row>
    <row r="190" spans="1:5">
      <c r="A190" t="s">
        <v>1109</v>
      </c>
      <c r="B190">
        <v>2024</v>
      </c>
      <c r="C190" t="s">
        <v>1110</v>
      </c>
      <c r="D190" t="s">
        <v>1111</v>
      </c>
      <c r="E190">
        <v>0.25</v>
      </c>
    </row>
    <row r="191" spans="1:5">
      <c r="A191" t="s">
        <v>1112</v>
      </c>
      <c r="B191">
        <v>2024</v>
      </c>
      <c r="C191" t="s">
        <v>1113</v>
      </c>
      <c r="D191" t="s">
        <v>1114</v>
      </c>
      <c r="E191">
        <v>0.84</v>
      </c>
    </row>
    <row r="192" spans="1:5">
      <c r="A192" t="s">
        <v>1115</v>
      </c>
      <c r="B192">
        <v>2024</v>
      </c>
      <c r="C192" t="s">
        <v>1116</v>
      </c>
      <c r="D192" t="s">
        <v>1117</v>
      </c>
      <c r="E192">
        <v>0.41</v>
      </c>
    </row>
    <row r="193" spans="1:5">
      <c r="A193" t="s">
        <v>1118</v>
      </c>
      <c r="B193">
        <v>2024</v>
      </c>
      <c r="C193" t="s">
        <v>1119</v>
      </c>
      <c r="D193" t="s">
        <v>1120</v>
      </c>
      <c r="E193">
        <v>0.3</v>
      </c>
    </row>
    <row r="194" spans="1:5">
      <c r="A194" t="s">
        <v>1121</v>
      </c>
      <c r="B194">
        <v>2024</v>
      </c>
      <c r="C194" t="s">
        <v>1122</v>
      </c>
      <c r="D194" t="s">
        <v>1123</v>
      </c>
      <c r="E194">
        <v>0.16</v>
      </c>
    </row>
    <row r="195" spans="1:5">
      <c r="A195" t="s">
        <v>1124</v>
      </c>
      <c r="B195">
        <v>2023</v>
      </c>
      <c r="C195" t="s">
        <v>1125</v>
      </c>
      <c r="D195" t="s">
        <v>1126</v>
      </c>
      <c r="E195">
        <v>0.21</v>
      </c>
    </row>
    <row r="196" spans="1:5">
      <c r="A196" t="s">
        <v>1127</v>
      </c>
      <c r="B196">
        <v>2024</v>
      </c>
      <c r="C196" t="s">
        <v>1128</v>
      </c>
      <c r="D196" t="s">
        <v>1129</v>
      </c>
      <c r="E196">
        <v>0.33</v>
      </c>
    </row>
    <row r="197" spans="1:5">
      <c r="A197" t="s">
        <v>1130</v>
      </c>
      <c r="B197">
        <v>2024</v>
      </c>
      <c r="C197" t="s">
        <v>1131</v>
      </c>
      <c r="D197" t="s">
        <v>1132</v>
      </c>
      <c r="E197">
        <v>0.25</v>
      </c>
    </row>
    <row r="198" spans="1:5">
      <c r="A198" t="s">
        <v>1133</v>
      </c>
      <c r="B198">
        <v>2024</v>
      </c>
      <c r="C198" t="s">
        <v>1134</v>
      </c>
      <c r="D198" t="s">
        <v>1135</v>
      </c>
      <c r="E198">
        <v>0.31</v>
      </c>
    </row>
    <row r="199" spans="1:5">
      <c r="A199" t="s">
        <v>1136</v>
      </c>
      <c r="B199">
        <v>2024</v>
      </c>
      <c r="C199" t="s">
        <v>1137</v>
      </c>
      <c r="D199" t="s">
        <v>1138</v>
      </c>
      <c r="E199">
        <v>0.48</v>
      </c>
    </row>
    <row r="200" spans="1:5">
      <c r="A200" t="s">
        <v>1139</v>
      </c>
      <c r="B200">
        <v>2024</v>
      </c>
      <c r="C200" t="s">
        <v>1140</v>
      </c>
      <c r="D200" t="s">
        <v>1141</v>
      </c>
      <c r="E200">
        <v>0.55000000000000004</v>
      </c>
    </row>
    <row r="201" spans="1:5">
      <c r="A201" t="s">
        <v>609</v>
      </c>
      <c r="B201">
        <v>2024</v>
      </c>
      <c r="C201" t="s">
        <v>1142</v>
      </c>
      <c r="D201" t="s">
        <v>1143</v>
      </c>
      <c r="E201">
        <v>0.28999999999999998</v>
      </c>
    </row>
    <row r="202" spans="1:5">
      <c r="A202" t="s">
        <v>1144</v>
      </c>
      <c r="B202">
        <v>2024</v>
      </c>
      <c r="C202" t="s">
        <v>1145</v>
      </c>
      <c r="D202" t="s">
        <v>1146</v>
      </c>
      <c r="E202">
        <v>0.63</v>
      </c>
    </row>
    <row r="203" spans="1:5">
      <c r="A203" t="s">
        <v>1147</v>
      </c>
      <c r="B203">
        <v>2024</v>
      </c>
      <c r="C203" t="s">
        <v>1148</v>
      </c>
      <c r="D203" t="s">
        <v>1149</v>
      </c>
      <c r="E203">
        <v>0.31</v>
      </c>
    </row>
    <row r="204" spans="1:5">
      <c r="A204" t="s">
        <v>1150</v>
      </c>
      <c r="B204">
        <v>2024</v>
      </c>
      <c r="C204" t="s">
        <v>1151</v>
      </c>
      <c r="D204" t="s">
        <v>1152</v>
      </c>
      <c r="E204">
        <v>0.65</v>
      </c>
    </row>
    <row r="205" spans="1:5">
      <c r="A205" t="s">
        <v>881</v>
      </c>
      <c r="B205">
        <v>2024</v>
      </c>
      <c r="C205" t="s">
        <v>1153</v>
      </c>
      <c r="D205" t="s">
        <v>1154</v>
      </c>
      <c r="E205">
        <v>0.41</v>
      </c>
    </row>
    <row r="206" spans="1:5">
      <c r="A206" t="s">
        <v>611</v>
      </c>
      <c r="B206">
        <v>2024</v>
      </c>
      <c r="C206" t="s">
        <v>1155</v>
      </c>
      <c r="D206" t="s">
        <v>1156</v>
      </c>
      <c r="E206">
        <v>0.53</v>
      </c>
    </row>
    <row r="207" spans="1:5">
      <c r="A207" t="s">
        <v>1157</v>
      </c>
      <c r="B207">
        <v>2024</v>
      </c>
      <c r="C207" t="s">
        <v>1158</v>
      </c>
      <c r="D207" t="s">
        <v>1159</v>
      </c>
      <c r="E207">
        <v>0.71</v>
      </c>
    </row>
    <row r="208" spans="1:5">
      <c r="A208" t="s">
        <v>1160</v>
      </c>
      <c r="B208">
        <v>2024</v>
      </c>
      <c r="C208" t="s">
        <v>1161</v>
      </c>
      <c r="D208" t="s">
        <v>1162</v>
      </c>
      <c r="E208">
        <v>0.09</v>
      </c>
    </row>
    <row r="209" spans="1:5">
      <c r="A209" t="s">
        <v>1163</v>
      </c>
      <c r="B209">
        <v>2024</v>
      </c>
      <c r="C209" t="s">
        <v>1164</v>
      </c>
      <c r="D209" t="s">
        <v>1165</v>
      </c>
      <c r="E209">
        <v>0.94</v>
      </c>
    </row>
    <row r="210" spans="1:5">
      <c r="A210" t="s">
        <v>1166</v>
      </c>
      <c r="B210">
        <v>2022</v>
      </c>
      <c r="C210" t="s">
        <v>1167</v>
      </c>
      <c r="D210" t="s">
        <v>1168</v>
      </c>
      <c r="E210">
        <v>0.15</v>
      </c>
    </row>
    <row r="211" spans="1:5">
      <c r="A211" t="s">
        <v>1169</v>
      </c>
      <c r="B211">
        <v>2024</v>
      </c>
      <c r="C211" t="s">
        <v>1170</v>
      </c>
      <c r="D211" t="s">
        <v>1171</v>
      </c>
      <c r="E211">
        <v>0.05</v>
      </c>
    </row>
    <row r="212" spans="1:5">
      <c r="A212" t="s">
        <v>1172</v>
      </c>
      <c r="B212">
        <v>2024</v>
      </c>
      <c r="C212" t="s">
        <v>1173</v>
      </c>
      <c r="D212" t="s">
        <v>1174</v>
      </c>
      <c r="E212">
        <v>0.4</v>
      </c>
    </row>
    <row r="213" spans="1:5">
      <c r="A213" t="s">
        <v>1175</v>
      </c>
      <c r="B213">
        <v>2024</v>
      </c>
      <c r="C213" t="s">
        <v>1176</v>
      </c>
      <c r="D213" t="s">
        <v>1177</v>
      </c>
      <c r="E213">
        <v>0.17</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AEAC4-4EDE-4FD7-A37A-3C203627E252}">
  <dimension ref="A1"/>
  <sheetViews>
    <sheetView workbookViewId="0">
      <selection activeCell="C7" sqref="C7"/>
    </sheetView>
  </sheetViews>
  <sheetFormatPr baseColWidth="10" defaultRowHeight="15"/>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F32AF-EC39-4CCF-B0A6-1894B22327AC}">
  <sheetPr codeName="Hoja13"/>
  <dimension ref="B2:J7"/>
  <sheetViews>
    <sheetView topLeftCell="B1" workbookViewId="0">
      <selection activeCell="D6" sqref="D6"/>
    </sheetView>
  </sheetViews>
  <sheetFormatPr baseColWidth="10" defaultRowHeight="15"/>
  <cols>
    <col min="3" max="3" width="9.28515625" customWidth="1"/>
    <col min="4" max="4" width="10.7109375" bestFit="1" customWidth="1"/>
    <col min="5" max="5" width="11.7109375" customWidth="1"/>
    <col min="6" max="6" width="8.42578125" customWidth="1"/>
    <col min="7" max="7" width="13.28515625" customWidth="1"/>
    <col min="8" max="8" width="16.85546875" customWidth="1"/>
    <col min="9" max="9" width="8" bestFit="1" customWidth="1"/>
    <col min="10" max="10" width="9" bestFit="1" customWidth="1"/>
  </cols>
  <sheetData>
    <row r="2" spans="2:10" ht="165">
      <c r="B2" s="211" t="s">
        <v>510</v>
      </c>
      <c r="C2" t="s">
        <v>497</v>
      </c>
      <c r="D2" t="s">
        <v>498</v>
      </c>
      <c r="E2" t="s">
        <v>499</v>
      </c>
      <c r="F2" t="s">
        <v>500</v>
      </c>
      <c r="G2" t="s">
        <v>501</v>
      </c>
      <c r="H2" t="s">
        <v>502</v>
      </c>
      <c r="I2" t="s">
        <v>503</v>
      </c>
      <c r="J2" t="s">
        <v>504</v>
      </c>
    </row>
    <row r="3" spans="2:10">
      <c r="C3">
        <v>1</v>
      </c>
      <c r="D3" s="210">
        <v>46084</v>
      </c>
      <c r="E3" t="s">
        <v>505</v>
      </c>
      <c r="F3" t="s">
        <v>506</v>
      </c>
      <c r="G3" t="s">
        <v>507</v>
      </c>
      <c r="H3" s="192">
        <v>200</v>
      </c>
      <c r="I3" s="209">
        <f>H3*0.21</f>
        <v>42</v>
      </c>
      <c r="J3" s="209">
        <f>H3+I3</f>
        <v>242</v>
      </c>
    </row>
    <row r="4" spans="2:10">
      <c r="C4">
        <v>2</v>
      </c>
      <c r="D4" s="210">
        <v>46084</v>
      </c>
      <c r="E4" t="s">
        <v>505</v>
      </c>
      <c r="F4" t="s">
        <v>508</v>
      </c>
      <c r="G4" t="s">
        <v>509</v>
      </c>
      <c r="H4" s="192">
        <v>522</v>
      </c>
      <c r="I4" s="209">
        <f>H4*0.21</f>
        <v>109.61999999999999</v>
      </c>
      <c r="J4" s="209">
        <f>H4+I4</f>
        <v>631.62</v>
      </c>
    </row>
    <row r="5" spans="2:10">
      <c r="H5" s="192"/>
      <c r="I5" s="209">
        <f>H5*0.21</f>
        <v>0</v>
      </c>
      <c r="J5" s="209">
        <f>H5+I5</f>
        <v>0</v>
      </c>
    </row>
    <row r="7" spans="2:10">
      <c r="D7" s="210"/>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50F3B-3E5E-4DBB-A3D8-B60E07B3D0E2}">
  <sheetPr codeName="Hoja14"/>
  <dimension ref="A1:L100"/>
  <sheetViews>
    <sheetView topLeftCell="A20" workbookViewId="0">
      <selection activeCell="M32" sqref="M32"/>
    </sheetView>
  </sheetViews>
  <sheetFormatPr baseColWidth="10" defaultRowHeight="15"/>
  <sheetData>
    <row r="1" spans="1:8">
      <c r="H1">
        <v>1</v>
      </c>
    </row>
    <row r="2" spans="1:8">
      <c r="A2" s="43"/>
      <c r="B2" s="43"/>
      <c r="C2" s="43"/>
      <c r="D2" s="43"/>
      <c r="E2" s="43"/>
      <c r="F2" s="43"/>
      <c r="H2">
        <v>2</v>
      </c>
    </row>
    <row r="3" spans="1:8">
      <c r="A3" s="43"/>
      <c r="B3" s="43"/>
      <c r="C3" s="43"/>
      <c r="D3" s="43"/>
      <c r="E3" s="43"/>
      <c r="F3" s="43"/>
      <c r="H3">
        <v>3</v>
      </c>
    </row>
    <row r="4" spans="1:8">
      <c r="A4" s="43"/>
      <c r="B4" s="170" t="s">
        <v>413</v>
      </c>
      <c r="C4" s="170"/>
      <c r="D4" s="170"/>
      <c r="E4" s="170"/>
      <c r="F4" s="43"/>
      <c r="H4">
        <v>4</v>
      </c>
    </row>
    <row r="5" spans="1:8">
      <c r="A5" s="43"/>
      <c r="B5" s="99" t="s">
        <v>414</v>
      </c>
      <c r="C5" s="99" t="s">
        <v>415</v>
      </c>
      <c r="D5" s="43"/>
      <c r="E5" s="43"/>
      <c r="F5" s="43"/>
      <c r="H5">
        <v>5</v>
      </c>
    </row>
    <row r="6" spans="1:8">
      <c r="A6" s="43"/>
      <c r="B6" s="24" t="s">
        <v>418</v>
      </c>
      <c r="C6" s="102">
        <f>HLOOKUP(B6,$B$9:$E$12,3,FALSE)</f>
        <v>40</v>
      </c>
      <c r="D6" s="43"/>
      <c r="E6" s="43"/>
      <c r="F6" s="43"/>
      <c r="H6">
        <v>6</v>
      </c>
    </row>
    <row r="7" spans="1:8">
      <c r="A7" s="43"/>
      <c r="B7" s="43"/>
      <c r="C7" s="43"/>
      <c r="D7" s="43"/>
      <c r="E7" s="43"/>
      <c r="F7" s="43"/>
      <c r="H7">
        <v>7</v>
      </c>
    </row>
    <row r="8" spans="1:8">
      <c r="A8" s="43"/>
      <c r="B8" s="43"/>
      <c r="C8" s="43"/>
      <c r="D8" s="43"/>
      <c r="E8" s="43"/>
      <c r="F8" s="43"/>
      <c r="H8">
        <v>8</v>
      </c>
    </row>
    <row r="9" spans="1:8">
      <c r="A9" s="43"/>
      <c r="B9" s="24"/>
      <c r="C9" s="99" t="s">
        <v>417</v>
      </c>
      <c r="D9" s="99" t="s">
        <v>416</v>
      </c>
      <c r="E9" s="99" t="s">
        <v>418</v>
      </c>
      <c r="F9" s="43"/>
      <c r="H9">
        <v>9</v>
      </c>
    </row>
    <row r="10" spans="1:8">
      <c r="A10" s="43"/>
      <c r="B10" s="24" t="s">
        <v>301</v>
      </c>
      <c r="C10" s="24">
        <v>30</v>
      </c>
      <c r="D10" s="24">
        <v>60</v>
      </c>
      <c r="E10" s="24">
        <v>70</v>
      </c>
      <c r="F10" s="43"/>
      <c r="H10">
        <v>10</v>
      </c>
    </row>
    <row r="11" spans="1:8">
      <c r="A11" s="43"/>
      <c r="B11" s="24" t="s">
        <v>415</v>
      </c>
      <c r="C11" s="24">
        <v>20</v>
      </c>
      <c r="D11" s="171">
        <v>50</v>
      </c>
      <c r="E11" s="24">
        <v>40</v>
      </c>
      <c r="F11" s="43"/>
      <c r="H11">
        <v>11</v>
      </c>
    </row>
    <row r="12" spans="1:8">
      <c r="A12" s="43"/>
      <c r="B12" s="24" t="s">
        <v>419</v>
      </c>
      <c r="C12" s="24">
        <v>10</v>
      </c>
      <c r="D12" s="24">
        <v>10</v>
      </c>
      <c r="E12" s="24">
        <v>30</v>
      </c>
      <c r="F12" s="43"/>
      <c r="H12">
        <v>12</v>
      </c>
    </row>
    <row r="13" spans="1:8">
      <c r="A13" s="43"/>
      <c r="B13" s="43"/>
      <c r="C13" s="43"/>
      <c r="D13" s="43"/>
      <c r="E13" s="43"/>
      <c r="F13" s="43"/>
      <c r="H13">
        <v>13</v>
      </c>
    </row>
    <row r="14" spans="1:8">
      <c r="A14" s="43"/>
      <c r="B14" s="43"/>
      <c r="C14" s="43"/>
      <c r="D14" s="43"/>
      <c r="E14" s="43"/>
      <c r="F14" s="43"/>
      <c r="H14">
        <v>14</v>
      </c>
    </row>
    <row r="15" spans="1:8">
      <c r="A15" s="43"/>
      <c r="B15" s="170" t="s">
        <v>420</v>
      </c>
      <c r="C15" s="170"/>
      <c r="D15" s="170"/>
      <c r="E15" s="170"/>
      <c r="F15" s="43"/>
      <c r="H15">
        <v>15</v>
      </c>
    </row>
    <row r="16" spans="1:8">
      <c r="A16" s="43"/>
      <c r="B16" s="99" t="s">
        <v>414</v>
      </c>
      <c r="C16" s="99" t="s">
        <v>301</v>
      </c>
      <c r="D16" s="43"/>
      <c r="E16" s="43"/>
      <c r="F16" s="43"/>
      <c r="H16">
        <v>16</v>
      </c>
    </row>
    <row r="17" spans="1:12">
      <c r="A17" s="43"/>
      <c r="B17" s="24" t="s">
        <v>417</v>
      </c>
      <c r="C17" s="102">
        <f>HLOOKUP(B17,$C$20:$E$23,F21,FALSE)</f>
        <v>30</v>
      </c>
      <c r="D17" s="43"/>
      <c r="E17" s="43"/>
      <c r="F17" s="43"/>
      <c r="H17">
        <v>17</v>
      </c>
    </row>
    <row r="18" spans="1:12">
      <c r="A18" s="43"/>
      <c r="B18" s="43"/>
      <c r="C18" s="43"/>
      <c r="D18" s="43"/>
      <c r="E18" s="43"/>
      <c r="F18" s="43"/>
      <c r="H18">
        <v>18</v>
      </c>
    </row>
    <row r="19" spans="1:12">
      <c r="A19" s="43"/>
      <c r="B19" s="43"/>
      <c r="C19" s="43"/>
      <c r="D19" s="43"/>
      <c r="E19" s="43"/>
      <c r="F19" s="43"/>
      <c r="H19">
        <v>19</v>
      </c>
    </row>
    <row r="20" spans="1:12">
      <c r="A20" s="43"/>
      <c r="B20" s="24"/>
      <c r="C20" s="99" t="s">
        <v>417</v>
      </c>
      <c r="D20" s="99" t="s">
        <v>416</v>
      </c>
      <c r="E20" s="99" t="s">
        <v>418</v>
      </c>
      <c r="F20" s="43"/>
      <c r="H20">
        <v>20</v>
      </c>
    </row>
    <row r="21" spans="1:12">
      <c r="A21" s="43"/>
      <c r="B21" s="24" t="s">
        <v>301</v>
      </c>
      <c r="C21" s="24">
        <v>30</v>
      </c>
      <c r="D21" s="24">
        <v>60</v>
      </c>
      <c r="E21" s="24">
        <v>70</v>
      </c>
      <c r="F21" s="43">
        <v>2</v>
      </c>
      <c r="H21">
        <v>21</v>
      </c>
    </row>
    <row r="22" spans="1:12">
      <c r="A22" s="43"/>
      <c r="B22" s="24" t="s">
        <v>415</v>
      </c>
      <c r="C22" s="24">
        <v>20</v>
      </c>
      <c r="D22" s="24">
        <v>50</v>
      </c>
      <c r="E22" s="24">
        <v>40</v>
      </c>
      <c r="F22" s="43">
        <v>3</v>
      </c>
      <c r="H22">
        <v>22</v>
      </c>
    </row>
    <row r="23" spans="1:12">
      <c r="A23" s="43"/>
      <c r="B23" s="24" t="s">
        <v>419</v>
      </c>
      <c r="C23" s="24">
        <v>10</v>
      </c>
      <c r="D23" s="24">
        <v>10</v>
      </c>
      <c r="E23" s="24">
        <v>30</v>
      </c>
      <c r="F23" s="43">
        <v>4</v>
      </c>
      <c r="H23">
        <v>23</v>
      </c>
    </row>
    <row r="24" spans="1:12">
      <c r="A24" s="43"/>
      <c r="B24" s="43"/>
      <c r="C24" s="43"/>
      <c r="D24" s="43"/>
      <c r="E24" s="43"/>
      <c r="F24" s="43"/>
      <c r="H24">
        <v>24</v>
      </c>
    </row>
    <row r="25" spans="1:12">
      <c r="A25" s="43"/>
      <c r="B25" s="43"/>
      <c r="C25" s="43"/>
      <c r="D25" s="43"/>
      <c r="E25" s="43"/>
      <c r="F25" s="43"/>
      <c r="H25">
        <v>25</v>
      </c>
    </row>
    <row r="26" spans="1:12">
      <c r="A26" s="43"/>
      <c r="B26" s="43"/>
      <c r="C26" s="43"/>
      <c r="D26" s="43"/>
      <c r="E26" s="43"/>
      <c r="F26" s="43"/>
      <c r="H26">
        <v>26</v>
      </c>
    </row>
    <row r="27" spans="1:12">
      <c r="A27" s="43"/>
      <c r="B27" s="170" t="s">
        <v>421</v>
      </c>
      <c r="C27" s="170"/>
      <c r="D27" s="170"/>
      <c r="E27" s="170"/>
      <c r="F27" s="43"/>
      <c r="H27">
        <v>27</v>
      </c>
      <c r="L27" t="str">
        <f>IF(C29&gt;=20,"BUENO",IF(C29&gt;30,"EXCELENTE","MALO"))</f>
        <v>BUENO</v>
      </c>
    </row>
    <row r="28" spans="1:12">
      <c r="A28" s="43"/>
      <c r="B28" s="99" t="s">
        <v>300</v>
      </c>
      <c r="C28" s="99" t="s">
        <v>301</v>
      </c>
      <c r="D28" s="43"/>
      <c r="E28" s="43"/>
      <c r="F28" s="43"/>
      <c r="H28">
        <v>28</v>
      </c>
    </row>
    <row r="29" spans="1:12">
      <c r="A29" s="43"/>
      <c r="B29" s="24" t="s">
        <v>418</v>
      </c>
      <c r="C29" s="102">
        <f>HLOOKUP(B29,$C$31:$E$34,VLOOKUP(C28,B32:F34,5,FALSE),FALSE)</f>
        <v>70</v>
      </c>
      <c r="D29" s="43"/>
      <c r="E29" s="43"/>
      <c r="F29" s="43"/>
      <c r="H29">
        <v>29</v>
      </c>
    </row>
    <row r="30" spans="1:12">
      <c r="A30" s="43"/>
      <c r="B30" s="43"/>
      <c r="C30" s="43">
        <v>40</v>
      </c>
      <c r="D30" s="43"/>
      <c r="E30" s="43"/>
      <c r="F30" s="43"/>
      <c r="H30">
        <v>30</v>
      </c>
    </row>
    <row r="31" spans="1:12">
      <c r="A31" s="43"/>
      <c r="B31" s="43"/>
      <c r="C31" s="99" t="s">
        <v>417</v>
      </c>
      <c r="D31" s="99" t="s">
        <v>416</v>
      </c>
      <c r="E31" s="99" t="s">
        <v>418</v>
      </c>
      <c r="F31" s="43"/>
      <c r="H31">
        <v>31</v>
      </c>
    </row>
    <row r="32" spans="1:12">
      <c r="A32" s="43"/>
      <c r="B32" s="24" t="s">
        <v>301</v>
      </c>
      <c r="C32" s="24">
        <v>30</v>
      </c>
      <c r="D32" s="171">
        <v>60</v>
      </c>
      <c r="E32" s="24">
        <v>70</v>
      </c>
      <c r="F32" s="172">
        <v>2</v>
      </c>
      <c r="H32">
        <v>32</v>
      </c>
    </row>
    <row r="33" spans="1:8">
      <c r="A33" s="43"/>
      <c r="B33" s="24" t="s">
        <v>415</v>
      </c>
      <c r="C33" s="24">
        <v>20</v>
      </c>
      <c r="D33" s="24">
        <v>50</v>
      </c>
      <c r="E33" s="24">
        <v>40</v>
      </c>
      <c r="F33" s="172">
        <v>3</v>
      </c>
      <c r="H33">
        <v>33</v>
      </c>
    </row>
    <row r="34" spans="1:8">
      <c r="A34" s="43"/>
      <c r="B34" s="24" t="s">
        <v>419</v>
      </c>
      <c r="C34" s="24">
        <v>10</v>
      </c>
      <c r="D34" s="24">
        <v>10</v>
      </c>
      <c r="E34" s="171">
        <v>30</v>
      </c>
      <c r="F34" s="172">
        <v>4</v>
      </c>
      <c r="H34">
        <v>34</v>
      </c>
    </row>
    <row r="35" spans="1:8">
      <c r="A35" s="43"/>
      <c r="B35" s="43"/>
      <c r="C35" s="43"/>
      <c r="D35" s="43"/>
      <c r="E35" s="43"/>
      <c r="F35" s="43"/>
      <c r="H35">
        <v>35</v>
      </c>
    </row>
    <row r="36" spans="1:8">
      <c r="A36" s="43"/>
      <c r="B36" s="43"/>
      <c r="C36" s="43"/>
      <c r="D36" s="43"/>
      <c r="E36" s="43"/>
      <c r="F36" s="43"/>
      <c r="H36">
        <v>36</v>
      </c>
    </row>
    <row r="37" spans="1:8">
      <c r="A37" s="43"/>
      <c r="B37" s="43"/>
      <c r="C37" s="43"/>
      <c r="D37" s="43"/>
      <c r="E37" s="43"/>
      <c r="F37" s="43"/>
      <c r="H37">
        <v>37</v>
      </c>
    </row>
    <row r="38" spans="1:8">
      <c r="A38" s="43"/>
      <c r="B38" s="141" t="s">
        <v>422</v>
      </c>
      <c r="C38" s="43"/>
      <c r="D38" s="43"/>
      <c r="E38" s="43"/>
      <c r="F38" s="43"/>
      <c r="H38">
        <v>38</v>
      </c>
    </row>
    <row r="39" spans="1:8">
      <c r="H39">
        <v>39</v>
      </c>
    </row>
    <row r="40" spans="1:8">
      <c r="H40">
        <v>40</v>
      </c>
    </row>
    <row r="41" spans="1:8">
      <c r="H41">
        <v>41</v>
      </c>
    </row>
    <row r="42" spans="1:8">
      <c r="H42">
        <v>42</v>
      </c>
    </row>
    <row r="43" spans="1:8">
      <c r="H43">
        <v>43</v>
      </c>
    </row>
    <row r="44" spans="1:8">
      <c r="H44">
        <v>44</v>
      </c>
    </row>
    <row r="45" spans="1:8">
      <c r="H45">
        <v>45</v>
      </c>
    </row>
    <row r="46" spans="1:8">
      <c r="H46">
        <v>46</v>
      </c>
    </row>
    <row r="47" spans="1:8">
      <c r="H47">
        <v>47</v>
      </c>
    </row>
    <row r="48" spans="1:8">
      <c r="H48">
        <v>48</v>
      </c>
    </row>
    <row r="49" spans="8:8">
      <c r="H49">
        <v>49</v>
      </c>
    </row>
    <row r="50" spans="8:8">
      <c r="H50">
        <v>50</v>
      </c>
    </row>
    <row r="51" spans="8:8">
      <c r="H51">
        <v>51</v>
      </c>
    </row>
    <row r="52" spans="8:8">
      <c r="H52">
        <v>52</v>
      </c>
    </row>
    <row r="53" spans="8:8">
      <c r="H53">
        <v>53</v>
      </c>
    </row>
    <row r="54" spans="8:8">
      <c r="H54">
        <v>54</v>
      </c>
    </row>
    <row r="55" spans="8:8">
      <c r="H55">
        <v>55</v>
      </c>
    </row>
    <row r="56" spans="8:8">
      <c r="H56">
        <v>56</v>
      </c>
    </row>
    <row r="57" spans="8:8">
      <c r="H57">
        <v>57</v>
      </c>
    </row>
    <row r="58" spans="8:8">
      <c r="H58">
        <v>58</v>
      </c>
    </row>
    <row r="59" spans="8:8">
      <c r="H59">
        <v>59</v>
      </c>
    </row>
    <row r="60" spans="8:8">
      <c r="H60">
        <v>60</v>
      </c>
    </row>
    <row r="61" spans="8:8">
      <c r="H61">
        <v>61</v>
      </c>
    </row>
    <row r="62" spans="8:8">
      <c r="H62">
        <v>62</v>
      </c>
    </row>
    <row r="63" spans="8:8">
      <c r="H63">
        <v>63</v>
      </c>
    </row>
    <row r="64" spans="8:8">
      <c r="H64">
        <v>64</v>
      </c>
    </row>
    <row r="65" spans="8:8">
      <c r="H65">
        <v>65</v>
      </c>
    </row>
    <row r="66" spans="8:8">
      <c r="H66">
        <v>66</v>
      </c>
    </row>
    <row r="67" spans="8:8">
      <c r="H67">
        <v>67</v>
      </c>
    </row>
    <row r="68" spans="8:8">
      <c r="H68">
        <v>68</v>
      </c>
    </row>
    <row r="69" spans="8:8">
      <c r="H69">
        <v>69</v>
      </c>
    </row>
    <row r="70" spans="8:8">
      <c r="H70">
        <v>70</v>
      </c>
    </row>
    <row r="71" spans="8:8">
      <c r="H71">
        <v>71</v>
      </c>
    </row>
    <row r="72" spans="8:8">
      <c r="H72">
        <v>72</v>
      </c>
    </row>
    <row r="73" spans="8:8">
      <c r="H73">
        <v>73</v>
      </c>
    </row>
    <row r="74" spans="8:8">
      <c r="H74">
        <v>74</v>
      </c>
    </row>
    <row r="75" spans="8:8">
      <c r="H75">
        <v>75</v>
      </c>
    </row>
    <row r="76" spans="8:8">
      <c r="H76">
        <v>76</v>
      </c>
    </row>
    <row r="77" spans="8:8">
      <c r="H77">
        <v>77</v>
      </c>
    </row>
    <row r="78" spans="8:8">
      <c r="H78">
        <v>78</v>
      </c>
    </row>
    <row r="79" spans="8:8">
      <c r="H79">
        <v>79</v>
      </c>
    </row>
    <row r="80" spans="8:8">
      <c r="H80">
        <v>80</v>
      </c>
    </row>
    <row r="81" spans="8:8">
      <c r="H81">
        <v>81</v>
      </c>
    </row>
    <row r="82" spans="8:8">
      <c r="H82">
        <v>82</v>
      </c>
    </row>
    <row r="83" spans="8:8">
      <c r="H83">
        <v>83</v>
      </c>
    </row>
    <row r="84" spans="8:8">
      <c r="H84">
        <v>84</v>
      </c>
    </row>
    <row r="85" spans="8:8">
      <c r="H85">
        <v>85</v>
      </c>
    </row>
    <row r="86" spans="8:8">
      <c r="H86">
        <v>86</v>
      </c>
    </row>
    <row r="87" spans="8:8">
      <c r="H87">
        <v>87</v>
      </c>
    </row>
    <row r="88" spans="8:8">
      <c r="H88">
        <v>88</v>
      </c>
    </row>
    <row r="89" spans="8:8">
      <c r="H89">
        <v>89</v>
      </c>
    </row>
    <row r="90" spans="8:8">
      <c r="H90">
        <v>90</v>
      </c>
    </row>
    <row r="91" spans="8:8">
      <c r="H91">
        <v>91</v>
      </c>
    </row>
    <row r="92" spans="8:8">
      <c r="H92">
        <v>92</v>
      </c>
    </row>
    <row r="93" spans="8:8">
      <c r="H93">
        <v>93</v>
      </c>
    </row>
    <row r="94" spans="8:8">
      <c r="H94">
        <v>94</v>
      </c>
    </row>
    <row r="95" spans="8:8">
      <c r="H95">
        <v>95</v>
      </c>
    </row>
    <row r="96" spans="8:8">
      <c r="H96">
        <v>96</v>
      </c>
    </row>
    <row r="97" spans="8:8">
      <c r="H97">
        <v>97</v>
      </c>
    </row>
    <row r="98" spans="8:8">
      <c r="H98">
        <v>98</v>
      </c>
    </row>
    <row r="99" spans="8:8">
      <c r="H99">
        <v>99</v>
      </c>
    </row>
    <row r="100" spans="8:8">
      <c r="H100">
        <v>100</v>
      </c>
    </row>
  </sheetData>
  <dataValidations count="3">
    <dataValidation type="list" allowBlank="1" showInputMessage="1" showErrorMessage="1" sqref="B6" xr:uid="{7ABEE3F1-364F-4C43-9A9C-2CB4EF013A47}">
      <formula1>$C$9:$E$9</formula1>
    </dataValidation>
    <dataValidation type="list" allowBlank="1" showInputMessage="1" showErrorMessage="1" sqref="C28" xr:uid="{FA670EE5-1641-4617-80C8-F407C0F2137C}">
      <formula1>$B$32:$B$34</formula1>
    </dataValidation>
    <dataValidation type="list" allowBlank="1" showInputMessage="1" showErrorMessage="1" sqref="B29" xr:uid="{0AEEDA4D-AE3C-4F7F-85E8-06BCB07B10BF}">
      <formula1>$C$31:$E$31</formula1>
    </dataValidation>
  </dataValidation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B35A0-480C-4817-8E27-98927D75AFBA}">
  <sheetPr codeName="Hoja15"/>
  <dimension ref="A1:S112"/>
  <sheetViews>
    <sheetView topLeftCell="I1" workbookViewId="0">
      <selection activeCell="N18" sqref="N18"/>
    </sheetView>
  </sheetViews>
  <sheetFormatPr baseColWidth="10" defaultRowHeight="15"/>
  <cols>
    <col min="10" max="10" width="16.28515625" bestFit="1" customWidth="1"/>
    <col min="11" max="13" width="15.140625" bestFit="1" customWidth="1"/>
    <col min="17" max="17" width="26.42578125" customWidth="1"/>
    <col min="19" max="19" width="11.85546875" bestFit="1" customWidth="1"/>
  </cols>
  <sheetData>
    <row r="1" spans="1:19" ht="15" customHeight="1">
      <c r="A1" s="43"/>
      <c r="B1" s="43"/>
      <c r="C1" s="43"/>
      <c r="D1" s="43"/>
      <c r="E1" s="43"/>
      <c r="F1" s="43"/>
      <c r="G1" s="43"/>
      <c r="H1" s="43"/>
      <c r="I1" s="43"/>
      <c r="J1" s="43"/>
      <c r="K1" s="43"/>
      <c r="L1" s="43"/>
      <c r="M1" s="43"/>
      <c r="N1" s="314" t="s">
        <v>423</v>
      </c>
      <c r="O1" s="314" t="s">
        <v>424</v>
      </c>
      <c r="P1" s="314" t="s">
        <v>424</v>
      </c>
      <c r="Q1" s="311" t="s">
        <v>425</v>
      </c>
      <c r="R1" s="311" t="s">
        <v>426</v>
      </c>
      <c r="S1" s="311" t="s">
        <v>427</v>
      </c>
    </row>
    <row r="2" spans="1:19">
      <c r="A2" s="43"/>
      <c r="B2" s="317" t="s">
        <v>428</v>
      </c>
      <c r="C2" s="318"/>
      <c r="D2" s="43"/>
      <c r="E2" s="293" t="s">
        <v>429</v>
      </c>
      <c r="F2" s="294"/>
      <c r="G2" s="295"/>
      <c r="H2" s="43"/>
      <c r="I2" s="43"/>
      <c r="J2" s="43"/>
      <c r="K2" s="43"/>
      <c r="L2" s="43"/>
      <c r="M2" s="43"/>
      <c r="N2" s="315"/>
      <c r="O2" s="315"/>
      <c r="P2" s="315"/>
      <c r="Q2" s="312"/>
      <c r="R2" s="312"/>
      <c r="S2" s="312"/>
    </row>
    <row r="3" spans="1:19">
      <c r="A3" s="43"/>
      <c r="B3" s="51">
        <v>10</v>
      </c>
      <c r="C3" s="173" t="s">
        <v>430</v>
      </c>
      <c r="D3" s="43"/>
      <c r="E3" s="24" t="s">
        <v>431</v>
      </c>
      <c r="F3" s="24" t="s">
        <v>432</v>
      </c>
      <c r="G3" s="24" t="s">
        <v>433</v>
      </c>
      <c r="H3" s="43"/>
      <c r="I3" s="43"/>
      <c r="J3" s="43"/>
      <c r="K3" s="43"/>
      <c r="L3" s="43"/>
      <c r="M3" s="43"/>
      <c r="N3" s="315"/>
      <c r="O3" s="315"/>
      <c r="P3" s="315"/>
      <c r="Q3" s="312"/>
      <c r="R3" s="312"/>
      <c r="S3" s="312"/>
    </row>
    <row r="4" spans="1:19">
      <c r="A4" s="43"/>
      <c r="B4" s="51">
        <v>7</v>
      </c>
      <c r="C4" s="173" t="s">
        <v>430</v>
      </c>
      <c r="D4" s="43"/>
      <c r="E4" s="24" t="s">
        <v>434</v>
      </c>
      <c r="F4" s="24" t="s">
        <v>434</v>
      </c>
      <c r="G4" s="24" t="s">
        <v>435</v>
      </c>
      <c r="H4" s="43"/>
      <c r="I4" s="43"/>
      <c r="J4" s="43"/>
      <c r="K4" s="43"/>
      <c r="L4" s="43"/>
      <c r="M4" s="43"/>
      <c r="N4" s="315"/>
      <c r="O4" s="315"/>
      <c r="P4" s="315"/>
      <c r="Q4" s="312"/>
      <c r="R4" s="312"/>
      <c r="S4" s="312"/>
    </row>
    <row r="5" spans="1:19">
      <c r="A5" s="43"/>
      <c r="B5" s="52">
        <v>5</v>
      </c>
      <c r="C5" s="174" t="s">
        <v>436</v>
      </c>
      <c r="D5" s="43"/>
      <c r="E5" s="24" t="s">
        <v>431</v>
      </c>
      <c r="F5" s="24" t="s">
        <v>434</v>
      </c>
      <c r="G5" s="24" t="s">
        <v>435</v>
      </c>
      <c r="H5" s="43"/>
      <c r="I5" s="43"/>
      <c r="J5" s="43"/>
      <c r="K5" s="43"/>
      <c r="L5" s="43"/>
      <c r="M5" s="43"/>
      <c r="N5" s="315"/>
      <c r="O5" s="315"/>
      <c r="P5" s="315"/>
      <c r="Q5" s="312"/>
      <c r="R5" s="312"/>
      <c r="S5" s="312"/>
    </row>
    <row r="6" spans="1:19">
      <c r="A6" s="43"/>
      <c r="B6" s="43"/>
      <c r="C6" s="43"/>
      <c r="D6" s="43"/>
      <c r="E6" s="24" t="s">
        <v>431</v>
      </c>
      <c r="F6" s="24" t="s">
        <v>432</v>
      </c>
      <c r="G6" s="24" t="s">
        <v>433</v>
      </c>
      <c r="H6" s="43"/>
      <c r="I6" s="43"/>
      <c r="J6" s="43"/>
      <c r="K6" s="43"/>
      <c r="L6" s="43"/>
      <c r="M6" s="43"/>
      <c r="N6" s="315"/>
      <c r="O6" s="315"/>
      <c r="P6" s="315"/>
      <c r="Q6" s="312"/>
      <c r="R6" s="312"/>
      <c r="S6" s="312"/>
    </row>
    <row r="7" spans="1:19">
      <c r="A7" s="43"/>
      <c r="B7" s="43"/>
      <c r="C7" s="43"/>
      <c r="D7" s="43"/>
      <c r="E7" s="43"/>
      <c r="F7" s="43"/>
      <c r="G7" s="43"/>
      <c r="H7" s="43"/>
      <c r="I7" s="43"/>
      <c r="J7" s="43"/>
      <c r="K7" s="43"/>
      <c r="L7" s="43"/>
      <c r="M7" s="43"/>
      <c r="N7" s="315"/>
      <c r="O7" s="315"/>
      <c r="P7" s="315"/>
      <c r="Q7" s="312"/>
      <c r="R7" s="312"/>
      <c r="S7" s="312"/>
    </row>
    <row r="8" spans="1:19">
      <c r="A8" s="43"/>
      <c r="B8" s="43"/>
      <c r="C8" s="43"/>
      <c r="D8" s="43"/>
      <c r="E8" s="43"/>
      <c r="F8" s="43"/>
      <c r="G8" s="43"/>
      <c r="H8" s="43"/>
      <c r="I8" s="43"/>
      <c r="J8" s="43"/>
      <c r="K8" s="43"/>
      <c r="L8" s="43" t="s">
        <v>437</v>
      </c>
      <c r="M8" s="43"/>
      <c r="N8" s="315"/>
      <c r="O8" s="315"/>
      <c r="P8" s="315"/>
      <c r="Q8" s="312"/>
      <c r="R8" s="312"/>
      <c r="S8" s="312"/>
    </row>
    <row r="9" spans="1:19">
      <c r="A9" s="43"/>
      <c r="B9" s="43"/>
      <c r="C9" s="43"/>
      <c r="D9" s="43"/>
      <c r="E9" s="43"/>
      <c r="F9" s="43"/>
      <c r="G9" s="43"/>
      <c r="H9" s="43"/>
      <c r="I9" s="43"/>
      <c r="J9" s="43"/>
      <c r="K9" s="43"/>
      <c r="L9" s="43" t="s">
        <v>438</v>
      </c>
      <c r="M9" s="43"/>
      <c r="N9" s="315"/>
      <c r="O9" s="315"/>
      <c r="P9" s="315"/>
      <c r="Q9" s="312"/>
      <c r="R9" s="312"/>
      <c r="S9" s="312"/>
    </row>
    <row r="10" spans="1:19">
      <c r="A10" s="43"/>
      <c r="B10" s="43"/>
      <c r="C10" s="43"/>
      <c r="D10" s="43"/>
      <c r="E10" s="43"/>
      <c r="F10" s="43"/>
      <c r="G10" s="43"/>
      <c r="H10" s="43"/>
      <c r="I10" s="43"/>
      <c r="J10" s="43"/>
      <c r="K10" s="43"/>
      <c r="L10" s="43"/>
      <c r="M10" s="43"/>
      <c r="N10" s="316"/>
      <c r="O10" s="316"/>
      <c r="P10" s="316"/>
      <c r="Q10" s="313"/>
      <c r="R10" s="313"/>
      <c r="S10" s="313"/>
    </row>
    <row r="11" spans="1:19" ht="45" customHeight="1">
      <c r="A11" s="319" t="s">
        <v>0</v>
      </c>
      <c r="B11" s="319" t="s">
        <v>305</v>
      </c>
      <c r="C11" s="319" t="s">
        <v>7</v>
      </c>
      <c r="D11" s="319" t="s">
        <v>3</v>
      </c>
      <c r="E11" s="319" t="s">
        <v>4</v>
      </c>
      <c r="F11" s="319" t="s">
        <v>5</v>
      </c>
      <c r="G11" s="319" t="s">
        <v>6</v>
      </c>
      <c r="H11" s="319" t="s">
        <v>276</v>
      </c>
      <c r="I11" s="319" t="s">
        <v>277</v>
      </c>
      <c r="J11" s="319" t="s">
        <v>175</v>
      </c>
      <c r="K11" s="319" t="s">
        <v>176</v>
      </c>
      <c r="L11" s="319" t="s">
        <v>177</v>
      </c>
      <c r="M11" s="319" t="s">
        <v>178</v>
      </c>
      <c r="N11" s="319" t="s">
        <v>439</v>
      </c>
      <c r="O11" s="175" t="s">
        <v>440</v>
      </c>
      <c r="P11" s="175" t="s">
        <v>440</v>
      </c>
      <c r="Q11" s="319" t="s">
        <v>443</v>
      </c>
      <c r="R11" s="319" t="s">
        <v>444</v>
      </c>
      <c r="S11" s="319" t="s">
        <v>444</v>
      </c>
    </row>
    <row r="12" spans="1:19">
      <c r="A12" s="320"/>
      <c r="B12" s="320"/>
      <c r="C12" s="320"/>
      <c r="D12" s="320"/>
      <c r="E12" s="320"/>
      <c r="F12" s="320"/>
      <c r="G12" s="320"/>
      <c r="H12" s="320"/>
      <c r="I12" s="320"/>
      <c r="J12" s="320"/>
      <c r="K12" s="320"/>
      <c r="L12" s="320"/>
      <c r="M12" s="320"/>
      <c r="N12" s="320"/>
      <c r="O12" s="147" t="s">
        <v>441</v>
      </c>
      <c r="P12" s="147" t="s">
        <v>442</v>
      </c>
      <c r="Q12" s="320"/>
      <c r="R12" s="320"/>
      <c r="S12" s="320"/>
    </row>
    <row r="13" spans="1:19">
      <c r="A13" s="23" t="s">
        <v>57</v>
      </c>
      <c r="B13" s="137" t="s">
        <v>306</v>
      </c>
      <c r="C13" s="24" t="s">
        <v>13</v>
      </c>
      <c r="D13" s="24" t="s">
        <v>54</v>
      </c>
      <c r="E13" s="24" t="s">
        <v>55</v>
      </c>
      <c r="F13" s="24" t="s">
        <v>56</v>
      </c>
      <c r="G13" s="24" t="s">
        <v>12</v>
      </c>
      <c r="H13" s="24">
        <v>3</v>
      </c>
      <c r="I13" s="24">
        <v>8</v>
      </c>
      <c r="J13" s="157">
        <v>0</v>
      </c>
      <c r="K13" s="157">
        <v>0</v>
      </c>
      <c r="L13" s="157">
        <v>96781441</v>
      </c>
      <c r="M13" s="157">
        <v>47643060</v>
      </c>
      <c r="N13" s="23" t="str">
        <f>IF(J13&gt;=50000000,"INTERESANTE","")</f>
        <v/>
      </c>
      <c r="O13" s="23" t="str">
        <f>IF(D13="Agroindustrial",IF(M13&gt;=1,"Agro2016",""),"")</f>
        <v/>
      </c>
      <c r="P13" s="23" t="str">
        <f>IF(D13&lt;&gt;"Agroindustrial",IF(M13&gt;1,"",""),"AGRO2016")</f>
        <v/>
      </c>
      <c r="Q13" s="23" t="str">
        <f>IF(I13&gt;7,"SATISFECHO","INSATISFECHO")</f>
        <v>SATISFECHO</v>
      </c>
      <c r="R13" s="23" t="str">
        <f>IF(G13="SI","CONOCE","DESCONOCE")</f>
        <v>DESCONOCE</v>
      </c>
      <c r="S13" s="23" t="str">
        <f>IF(C13="COLOMBIA",IF(D13="Educación","ELEGIDO","NO ELEGIDO"),"DESCARTADO")</f>
        <v>ELEGIDO</v>
      </c>
    </row>
    <row r="14" spans="1:19">
      <c r="A14" s="23" t="s">
        <v>98</v>
      </c>
      <c r="B14" s="137" t="s">
        <v>307</v>
      </c>
      <c r="C14" s="24" t="s">
        <v>13</v>
      </c>
      <c r="D14" s="24" t="s">
        <v>21</v>
      </c>
      <c r="E14" s="24" t="s">
        <v>10</v>
      </c>
      <c r="F14" s="24" t="s">
        <v>11</v>
      </c>
      <c r="G14" s="24" t="s">
        <v>30</v>
      </c>
      <c r="H14" s="24">
        <v>8</v>
      </c>
      <c r="I14" s="24">
        <v>7</v>
      </c>
      <c r="J14" s="157">
        <v>10000000</v>
      </c>
      <c r="K14" s="157">
        <v>40848959</v>
      </c>
      <c r="L14" s="157">
        <v>92963332</v>
      </c>
      <c r="M14" s="157">
        <v>47565587</v>
      </c>
      <c r="N14" s="23" t="str">
        <f t="shared" ref="N14:N77" si="0">IF(J14&gt;=50000000,"INTERESANTE","")</f>
        <v/>
      </c>
      <c r="O14" s="23" t="str">
        <f t="shared" ref="O14:O77" si="1">IF(D14="Agroindustrial",IF(M14&gt;=1,"Agro2016",""),"")</f>
        <v/>
      </c>
      <c r="P14" s="23" t="str">
        <f t="shared" ref="P14:P77" si="2">IF(D14&lt;&gt;"Agroindustrial",IF(M14&gt;1,"",""),"AGRO2016")</f>
        <v/>
      </c>
      <c r="Q14" s="23" t="str">
        <f t="shared" ref="Q14:Q77" si="3">IF(I14&gt;7,"SATISFECHO","INSATISFECHO")</f>
        <v>INSATISFECHO</v>
      </c>
      <c r="R14" s="23" t="str">
        <f t="shared" ref="R14:R77" si="4">IF(G14="SI","CONOCE","DESCONOCE")</f>
        <v>CONOCE</v>
      </c>
      <c r="S14" s="23" t="str">
        <f t="shared" ref="S14:S77" si="5">IF(C14="COLOMBIA",IF(D14="Educación","ELEGIDO","NO ELEGIDO"),"DESCARTADO")</f>
        <v>NO ELEGIDO</v>
      </c>
    </row>
    <row r="15" spans="1:19">
      <c r="A15" s="23" t="s">
        <v>118</v>
      </c>
      <c r="B15" s="137" t="s">
        <v>308</v>
      </c>
      <c r="C15" s="24" t="s">
        <v>13</v>
      </c>
      <c r="D15" s="24" t="s">
        <v>9</v>
      </c>
      <c r="E15" s="24" t="s">
        <v>17</v>
      </c>
      <c r="F15" s="25" t="s">
        <v>23</v>
      </c>
      <c r="G15" s="24" t="s">
        <v>12</v>
      </c>
      <c r="H15" s="24">
        <v>5</v>
      </c>
      <c r="I15" s="24">
        <v>10</v>
      </c>
      <c r="J15" s="157">
        <v>0</v>
      </c>
      <c r="K15" s="157">
        <v>0</v>
      </c>
      <c r="L15" s="157">
        <v>49599457</v>
      </c>
      <c r="M15" s="157">
        <v>0</v>
      </c>
      <c r="N15" s="23" t="str">
        <f t="shared" si="0"/>
        <v/>
      </c>
      <c r="O15" s="23" t="str">
        <f t="shared" si="1"/>
        <v/>
      </c>
      <c r="P15" s="23" t="str">
        <f t="shared" si="2"/>
        <v/>
      </c>
      <c r="Q15" s="23" t="str">
        <f t="shared" si="3"/>
        <v>SATISFECHO</v>
      </c>
      <c r="R15" s="23" t="str">
        <f t="shared" si="4"/>
        <v>DESCONOCE</v>
      </c>
      <c r="S15" s="23" t="str">
        <f t="shared" si="5"/>
        <v>NO ELEGIDO</v>
      </c>
    </row>
    <row r="16" spans="1:19">
      <c r="A16" s="23" t="s">
        <v>60</v>
      </c>
      <c r="B16" s="137" t="s">
        <v>309</v>
      </c>
      <c r="C16" s="24" t="s">
        <v>13</v>
      </c>
      <c r="D16" s="24" t="s">
        <v>21</v>
      </c>
      <c r="E16" s="24" t="s">
        <v>10</v>
      </c>
      <c r="F16" s="24" t="s">
        <v>27</v>
      </c>
      <c r="G16" s="24" t="s">
        <v>12</v>
      </c>
      <c r="H16" s="24">
        <v>4</v>
      </c>
      <c r="I16" s="24">
        <v>8</v>
      </c>
      <c r="J16" s="157">
        <v>10000000</v>
      </c>
      <c r="K16" s="157">
        <v>78308880</v>
      </c>
      <c r="L16" s="157">
        <v>3248026</v>
      </c>
      <c r="M16" s="157">
        <v>27143270</v>
      </c>
      <c r="N16" s="23" t="str">
        <f t="shared" si="0"/>
        <v/>
      </c>
      <c r="O16" s="23" t="str">
        <f t="shared" si="1"/>
        <v/>
      </c>
      <c r="P16" s="23" t="str">
        <f t="shared" si="2"/>
        <v/>
      </c>
      <c r="Q16" s="23" t="str">
        <f t="shared" si="3"/>
        <v>SATISFECHO</v>
      </c>
      <c r="R16" s="23" t="str">
        <f t="shared" si="4"/>
        <v>DESCONOCE</v>
      </c>
      <c r="S16" s="23" t="str">
        <f t="shared" si="5"/>
        <v>NO ELEGIDO</v>
      </c>
    </row>
    <row r="17" spans="1:19">
      <c r="A17" s="23" t="s">
        <v>8</v>
      </c>
      <c r="B17" s="137" t="s">
        <v>310</v>
      </c>
      <c r="C17" s="24" t="s">
        <v>13</v>
      </c>
      <c r="D17" s="24" t="s">
        <v>9</v>
      </c>
      <c r="E17" s="24" t="s">
        <v>10</v>
      </c>
      <c r="F17" s="24" t="s">
        <v>11</v>
      </c>
      <c r="G17" s="24" t="s">
        <v>12</v>
      </c>
      <c r="H17" s="24">
        <v>4</v>
      </c>
      <c r="I17" s="24">
        <v>9</v>
      </c>
      <c r="J17" s="176">
        <v>50000000</v>
      </c>
      <c r="K17" s="157">
        <v>2910571</v>
      </c>
      <c r="L17" s="157">
        <v>37561085</v>
      </c>
      <c r="M17" s="157">
        <v>19598007</v>
      </c>
      <c r="N17" s="23" t="str">
        <f t="shared" si="0"/>
        <v>INTERESANTE</v>
      </c>
      <c r="O17" s="23" t="str">
        <f t="shared" si="1"/>
        <v/>
      </c>
      <c r="P17" s="23" t="str">
        <f t="shared" si="2"/>
        <v/>
      </c>
      <c r="Q17" s="23" t="str">
        <f t="shared" si="3"/>
        <v>SATISFECHO</v>
      </c>
      <c r="R17" s="23" t="str">
        <f t="shared" si="4"/>
        <v>DESCONOCE</v>
      </c>
      <c r="S17" s="23" t="str">
        <f t="shared" si="5"/>
        <v>NO ELEGIDO</v>
      </c>
    </row>
    <row r="18" spans="1:19">
      <c r="A18" s="23" t="s">
        <v>125</v>
      </c>
      <c r="B18" s="137" t="s">
        <v>311</v>
      </c>
      <c r="C18" s="24" t="s">
        <v>13</v>
      </c>
      <c r="D18" s="24" t="s">
        <v>21</v>
      </c>
      <c r="E18" s="24" t="s">
        <v>10</v>
      </c>
      <c r="F18" s="24" t="s">
        <v>27</v>
      </c>
      <c r="G18" s="24" t="s">
        <v>12</v>
      </c>
      <c r="H18" s="24">
        <v>9</v>
      </c>
      <c r="I18" s="24">
        <v>7</v>
      </c>
      <c r="J18" s="176">
        <v>90000000</v>
      </c>
      <c r="K18" s="157">
        <v>50075523</v>
      </c>
      <c r="L18" s="157">
        <v>59142617</v>
      </c>
      <c r="M18" s="157">
        <v>95314026</v>
      </c>
      <c r="N18" s="23" t="str">
        <f t="shared" si="0"/>
        <v>INTERESANTE</v>
      </c>
      <c r="O18" s="23" t="str">
        <f t="shared" si="1"/>
        <v/>
      </c>
      <c r="P18" s="23" t="str">
        <f t="shared" si="2"/>
        <v/>
      </c>
      <c r="Q18" s="23" t="str">
        <f t="shared" si="3"/>
        <v>INSATISFECHO</v>
      </c>
      <c r="R18" s="23" t="str">
        <f t="shared" si="4"/>
        <v>DESCONOCE</v>
      </c>
      <c r="S18" s="23" t="str">
        <f t="shared" si="5"/>
        <v>NO ELEGIDO</v>
      </c>
    </row>
    <row r="19" spans="1:19">
      <c r="A19" s="23" t="s">
        <v>74</v>
      </c>
      <c r="B19" s="137" t="s">
        <v>312</v>
      </c>
      <c r="C19" s="24" t="s">
        <v>13</v>
      </c>
      <c r="D19" s="24" t="s">
        <v>21</v>
      </c>
      <c r="E19" s="24" t="s">
        <v>17</v>
      </c>
      <c r="F19" s="25" t="s">
        <v>23</v>
      </c>
      <c r="G19" s="24" t="s">
        <v>12</v>
      </c>
      <c r="H19" s="24">
        <v>5</v>
      </c>
      <c r="I19" s="24">
        <v>9</v>
      </c>
      <c r="J19" s="157">
        <v>0</v>
      </c>
      <c r="K19" s="157">
        <v>0</v>
      </c>
      <c r="L19" s="157">
        <v>0</v>
      </c>
      <c r="M19" s="157">
        <v>67714973</v>
      </c>
      <c r="N19" s="23" t="str">
        <f t="shared" si="0"/>
        <v/>
      </c>
      <c r="O19" s="23" t="str">
        <f t="shared" si="1"/>
        <v/>
      </c>
      <c r="P19" s="23" t="str">
        <f t="shared" si="2"/>
        <v/>
      </c>
      <c r="Q19" s="23" t="str">
        <f t="shared" si="3"/>
        <v>SATISFECHO</v>
      </c>
      <c r="R19" s="23" t="str">
        <f t="shared" si="4"/>
        <v>DESCONOCE</v>
      </c>
      <c r="S19" s="23" t="str">
        <f t="shared" si="5"/>
        <v>NO ELEGIDO</v>
      </c>
    </row>
    <row r="20" spans="1:19">
      <c r="A20" s="23" t="s">
        <v>29</v>
      </c>
      <c r="B20" s="137" t="s">
        <v>313</v>
      </c>
      <c r="C20" s="24" t="s">
        <v>13</v>
      </c>
      <c r="D20" s="24" t="s">
        <v>21</v>
      </c>
      <c r="E20" s="24" t="s">
        <v>10</v>
      </c>
      <c r="F20" s="24" t="s">
        <v>11</v>
      </c>
      <c r="G20" s="24" t="s">
        <v>30</v>
      </c>
      <c r="H20" s="24">
        <v>8</v>
      </c>
      <c r="I20" s="24">
        <v>10</v>
      </c>
      <c r="J20" s="157">
        <v>1000000</v>
      </c>
      <c r="K20" s="157">
        <v>5305190</v>
      </c>
      <c r="L20" s="157">
        <v>53291805</v>
      </c>
      <c r="M20" s="157">
        <v>84809282</v>
      </c>
      <c r="N20" s="23" t="str">
        <f t="shared" si="0"/>
        <v/>
      </c>
      <c r="O20" s="23" t="str">
        <f t="shared" si="1"/>
        <v/>
      </c>
      <c r="P20" s="23" t="str">
        <f t="shared" si="2"/>
        <v/>
      </c>
      <c r="Q20" s="23" t="str">
        <f t="shared" si="3"/>
        <v>SATISFECHO</v>
      </c>
      <c r="R20" s="23" t="str">
        <f t="shared" si="4"/>
        <v>CONOCE</v>
      </c>
      <c r="S20" s="23" t="str">
        <f t="shared" si="5"/>
        <v>NO ELEGIDO</v>
      </c>
    </row>
    <row r="21" spans="1:19">
      <c r="A21" s="23" t="s">
        <v>107</v>
      </c>
      <c r="B21" s="137" t="s">
        <v>314</v>
      </c>
      <c r="C21" s="23" t="s">
        <v>13</v>
      </c>
      <c r="D21" s="23" t="s">
        <v>15</v>
      </c>
      <c r="E21" s="23" t="s">
        <v>17</v>
      </c>
      <c r="F21" s="75" t="s">
        <v>23</v>
      </c>
      <c r="G21" s="23" t="s">
        <v>30</v>
      </c>
      <c r="H21" s="24">
        <v>8</v>
      </c>
      <c r="I21" s="24">
        <v>3</v>
      </c>
      <c r="J21" s="157">
        <v>0</v>
      </c>
      <c r="K21" s="157">
        <v>0</v>
      </c>
      <c r="L21" s="157">
        <v>50085574</v>
      </c>
      <c r="M21" s="157">
        <v>42495353</v>
      </c>
      <c r="N21" s="23" t="str">
        <f t="shared" si="0"/>
        <v/>
      </c>
      <c r="O21" s="23" t="str">
        <f t="shared" si="1"/>
        <v>Agro2016</v>
      </c>
      <c r="P21" s="23" t="str">
        <f t="shared" si="2"/>
        <v>AGRO2016</v>
      </c>
      <c r="Q21" s="23" t="str">
        <f t="shared" si="3"/>
        <v>INSATISFECHO</v>
      </c>
      <c r="R21" s="23" t="str">
        <f t="shared" si="4"/>
        <v>CONOCE</v>
      </c>
      <c r="S21" s="23" t="str">
        <f t="shared" si="5"/>
        <v>NO ELEGIDO</v>
      </c>
    </row>
    <row r="22" spans="1:19">
      <c r="A22" s="23" t="s">
        <v>108</v>
      </c>
      <c r="B22" s="137" t="s">
        <v>315</v>
      </c>
      <c r="C22" s="24" t="s">
        <v>13</v>
      </c>
      <c r="D22" s="24" t="s">
        <v>25</v>
      </c>
      <c r="E22" s="24" t="s">
        <v>10</v>
      </c>
      <c r="F22" s="24" t="s">
        <v>27</v>
      </c>
      <c r="G22" s="24" t="s">
        <v>12</v>
      </c>
      <c r="H22" s="24">
        <v>5</v>
      </c>
      <c r="I22" s="24">
        <v>9</v>
      </c>
      <c r="J22" s="157">
        <v>10000000</v>
      </c>
      <c r="K22" s="157">
        <v>38941670</v>
      </c>
      <c r="L22" s="157">
        <v>67846781</v>
      </c>
      <c r="M22" s="157">
        <v>87726693</v>
      </c>
      <c r="N22" s="23" t="str">
        <f t="shared" si="0"/>
        <v/>
      </c>
      <c r="O22" s="23" t="str">
        <f t="shared" si="1"/>
        <v/>
      </c>
      <c r="P22" s="23" t="str">
        <f t="shared" si="2"/>
        <v/>
      </c>
      <c r="Q22" s="23" t="str">
        <f t="shared" si="3"/>
        <v>SATISFECHO</v>
      </c>
      <c r="R22" s="23" t="str">
        <f t="shared" si="4"/>
        <v>DESCONOCE</v>
      </c>
      <c r="S22" s="23" t="str">
        <f t="shared" si="5"/>
        <v>NO ELEGIDO</v>
      </c>
    </row>
    <row r="23" spans="1:19">
      <c r="A23" s="23" t="s">
        <v>129</v>
      </c>
      <c r="B23" s="137" t="s">
        <v>316</v>
      </c>
      <c r="C23" s="25" t="s">
        <v>130</v>
      </c>
      <c r="D23" s="24" t="s">
        <v>21</v>
      </c>
      <c r="E23" s="24" t="s">
        <v>10</v>
      </c>
      <c r="F23" s="24" t="s">
        <v>27</v>
      </c>
      <c r="G23" s="24" t="s">
        <v>12</v>
      </c>
      <c r="H23" s="24">
        <v>4</v>
      </c>
      <c r="I23" s="24">
        <v>5</v>
      </c>
      <c r="J23" s="157">
        <v>1000000</v>
      </c>
      <c r="K23" s="157">
        <v>28926771</v>
      </c>
      <c r="L23" s="157">
        <v>56939610</v>
      </c>
      <c r="M23" s="157">
        <v>92726884</v>
      </c>
      <c r="N23" s="23" t="str">
        <f t="shared" si="0"/>
        <v/>
      </c>
      <c r="O23" s="23" t="str">
        <f t="shared" si="1"/>
        <v/>
      </c>
      <c r="P23" s="23" t="str">
        <f t="shared" si="2"/>
        <v/>
      </c>
      <c r="Q23" s="23" t="str">
        <f t="shared" si="3"/>
        <v>INSATISFECHO</v>
      </c>
      <c r="R23" s="23" t="str">
        <f t="shared" si="4"/>
        <v>DESCONOCE</v>
      </c>
      <c r="S23" s="23" t="str">
        <f t="shared" si="5"/>
        <v>DESCARTADO</v>
      </c>
    </row>
    <row r="24" spans="1:19">
      <c r="A24" s="23" t="s">
        <v>93</v>
      </c>
      <c r="B24" s="137" t="s">
        <v>317</v>
      </c>
      <c r="C24" s="24" t="s">
        <v>13</v>
      </c>
      <c r="D24" s="24" t="s">
        <v>21</v>
      </c>
      <c r="E24" s="24" t="s">
        <v>10</v>
      </c>
      <c r="F24" s="24" t="s">
        <v>27</v>
      </c>
      <c r="G24" s="24" t="s">
        <v>12</v>
      </c>
      <c r="H24" s="24">
        <v>3</v>
      </c>
      <c r="I24" s="24">
        <v>8</v>
      </c>
      <c r="J24" s="157">
        <v>1000000</v>
      </c>
      <c r="K24" s="157">
        <v>34252074</v>
      </c>
      <c r="L24" s="157">
        <v>0</v>
      </c>
      <c r="M24" s="157">
        <v>22994819</v>
      </c>
      <c r="N24" s="23" t="str">
        <f t="shared" si="0"/>
        <v/>
      </c>
      <c r="O24" s="23" t="str">
        <f t="shared" si="1"/>
        <v/>
      </c>
      <c r="P24" s="23" t="str">
        <f t="shared" si="2"/>
        <v/>
      </c>
      <c r="Q24" s="23" t="str">
        <f t="shared" si="3"/>
        <v>SATISFECHO</v>
      </c>
      <c r="R24" s="23" t="str">
        <f t="shared" si="4"/>
        <v>DESCONOCE</v>
      </c>
      <c r="S24" s="23" t="str">
        <f t="shared" si="5"/>
        <v>NO ELEGIDO</v>
      </c>
    </row>
    <row r="25" spans="1:19">
      <c r="A25" s="23" t="s">
        <v>16</v>
      </c>
      <c r="B25" s="137" t="s">
        <v>318</v>
      </c>
      <c r="C25" s="24" t="s">
        <v>13</v>
      </c>
      <c r="D25" s="24" t="s">
        <v>9</v>
      </c>
      <c r="E25" s="24" t="s">
        <v>17</v>
      </c>
      <c r="F25" s="25" t="s">
        <v>18</v>
      </c>
      <c r="G25" s="24" t="s">
        <v>12</v>
      </c>
      <c r="H25" s="24">
        <v>7</v>
      </c>
      <c r="I25" s="24">
        <v>9</v>
      </c>
      <c r="J25" s="157">
        <v>0</v>
      </c>
      <c r="K25" s="157">
        <v>0</v>
      </c>
      <c r="L25" s="157">
        <v>45347826</v>
      </c>
      <c r="M25" s="157">
        <v>14301768</v>
      </c>
      <c r="N25" s="23" t="str">
        <f t="shared" si="0"/>
        <v/>
      </c>
      <c r="O25" s="23" t="str">
        <f t="shared" si="1"/>
        <v/>
      </c>
      <c r="P25" s="23" t="str">
        <f t="shared" si="2"/>
        <v/>
      </c>
      <c r="Q25" s="23" t="str">
        <f t="shared" si="3"/>
        <v>SATISFECHO</v>
      </c>
      <c r="R25" s="23" t="str">
        <f t="shared" si="4"/>
        <v>DESCONOCE</v>
      </c>
      <c r="S25" s="23" t="str">
        <f t="shared" si="5"/>
        <v>NO ELEGIDO</v>
      </c>
    </row>
    <row r="26" spans="1:19">
      <c r="A26" s="23" t="s">
        <v>34</v>
      </c>
      <c r="B26" s="137" t="s">
        <v>319</v>
      </c>
      <c r="C26" s="24" t="s">
        <v>13</v>
      </c>
      <c r="D26" s="24" t="s">
        <v>21</v>
      </c>
      <c r="E26" s="24" t="s">
        <v>17</v>
      </c>
      <c r="F26" s="25" t="s">
        <v>18</v>
      </c>
      <c r="G26" s="24" t="s">
        <v>30</v>
      </c>
      <c r="H26" s="24">
        <v>4</v>
      </c>
      <c r="I26" s="24">
        <v>8</v>
      </c>
      <c r="J26" s="157">
        <v>0</v>
      </c>
      <c r="K26" s="157">
        <v>0</v>
      </c>
      <c r="L26" s="157">
        <v>71453938</v>
      </c>
      <c r="M26" s="157">
        <v>38593802</v>
      </c>
      <c r="N26" s="23" t="str">
        <f t="shared" si="0"/>
        <v/>
      </c>
      <c r="O26" s="23" t="str">
        <f t="shared" si="1"/>
        <v/>
      </c>
      <c r="P26" s="23" t="str">
        <f t="shared" si="2"/>
        <v/>
      </c>
      <c r="Q26" s="23" t="str">
        <f t="shared" si="3"/>
        <v>SATISFECHO</v>
      </c>
      <c r="R26" s="23" t="str">
        <f t="shared" si="4"/>
        <v>CONOCE</v>
      </c>
      <c r="S26" s="23" t="str">
        <f t="shared" si="5"/>
        <v>NO ELEGIDO</v>
      </c>
    </row>
    <row r="27" spans="1:19">
      <c r="A27" s="23" t="s">
        <v>45</v>
      </c>
      <c r="B27" s="137" t="s">
        <v>320</v>
      </c>
      <c r="C27" s="24" t="s">
        <v>13</v>
      </c>
      <c r="D27" s="24" t="s">
        <v>25</v>
      </c>
      <c r="E27" s="24" t="s">
        <v>10</v>
      </c>
      <c r="F27" s="24" t="s">
        <v>11</v>
      </c>
      <c r="G27" s="24" t="s">
        <v>12</v>
      </c>
      <c r="H27" s="24">
        <v>9</v>
      </c>
      <c r="I27" s="24">
        <v>10</v>
      </c>
      <c r="J27" s="157">
        <v>20000000</v>
      </c>
      <c r="K27" s="157">
        <v>32346156</v>
      </c>
      <c r="L27" s="157">
        <v>22346275</v>
      </c>
      <c r="M27" s="157">
        <v>73743047</v>
      </c>
      <c r="N27" s="23" t="str">
        <f t="shared" si="0"/>
        <v/>
      </c>
      <c r="O27" s="23" t="str">
        <f t="shared" si="1"/>
        <v/>
      </c>
      <c r="P27" s="23" t="str">
        <f t="shared" si="2"/>
        <v/>
      </c>
      <c r="Q27" s="23" t="str">
        <f t="shared" si="3"/>
        <v>SATISFECHO</v>
      </c>
      <c r="R27" s="23" t="str">
        <f t="shared" si="4"/>
        <v>DESCONOCE</v>
      </c>
      <c r="S27" s="23" t="str">
        <f t="shared" si="5"/>
        <v>NO ELEGIDO</v>
      </c>
    </row>
    <row r="28" spans="1:19">
      <c r="A28" s="23" t="s">
        <v>64</v>
      </c>
      <c r="B28" s="137" t="s">
        <v>321</v>
      </c>
      <c r="C28" s="24" t="s">
        <v>13</v>
      </c>
      <c r="D28" s="24" t="s">
        <v>54</v>
      </c>
      <c r="E28" s="24" t="s">
        <v>55</v>
      </c>
      <c r="F28" s="24" t="s">
        <v>56</v>
      </c>
      <c r="G28" s="24" t="s">
        <v>12</v>
      </c>
      <c r="H28" s="24">
        <v>4</v>
      </c>
      <c r="I28" s="24">
        <v>6</v>
      </c>
      <c r="J28" s="157">
        <v>0</v>
      </c>
      <c r="K28" s="157">
        <v>0</v>
      </c>
      <c r="L28" s="157">
        <v>96357193</v>
      </c>
      <c r="M28" s="157">
        <v>67901582</v>
      </c>
      <c r="N28" s="23" t="str">
        <f t="shared" si="0"/>
        <v/>
      </c>
      <c r="O28" s="23" t="str">
        <f t="shared" si="1"/>
        <v/>
      </c>
      <c r="P28" s="23" t="str">
        <f t="shared" si="2"/>
        <v/>
      </c>
      <c r="Q28" s="23" t="str">
        <f t="shared" si="3"/>
        <v>INSATISFECHO</v>
      </c>
      <c r="R28" s="23" t="str">
        <f t="shared" si="4"/>
        <v>DESCONOCE</v>
      </c>
      <c r="S28" s="23" t="str">
        <f t="shared" si="5"/>
        <v>ELEGIDO</v>
      </c>
    </row>
    <row r="29" spans="1:19">
      <c r="A29" s="23" t="s">
        <v>90</v>
      </c>
      <c r="B29" s="137" t="s">
        <v>322</v>
      </c>
      <c r="C29" s="24" t="s">
        <v>13</v>
      </c>
      <c r="D29" s="24" t="s">
        <v>21</v>
      </c>
      <c r="E29" s="24" t="s">
        <v>10</v>
      </c>
      <c r="F29" s="24" t="s">
        <v>11</v>
      </c>
      <c r="G29" s="24" t="s">
        <v>12</v>
      </c>
      <c r="H29" s="24">
        <v>5</v>
      </c>
      <c r="I29" s="24">
        <v>7</v>
      </c>
      <c r="J29" s="157">
        <v>100000000</v>
      </c>
      <c r="K29" s="157">
        <v>72903049</v>
      </c>
      <c r="L29" s="157">
        <v>67375493</v>
      </c>
      <c r="M29" s="157">
        <v>4753995</v>
      </c>
      <c r="N29" s="23" t="str">
        <f t="shared" si="0"/>
        <v>INTERESANTE</v>
      </c>
      <c r="O29" s="23" t="str">
        <f t="shared" si="1"/>
        <v/>
      </c>
      <c r="P29" s="23" t="str">
        <f t="shared" si="2"/>
        <v/>
      </c>
      <c r="Q29" s="23" t="str">
        <f t="shared" si="3"/>
        <v>INSATISFECHO</v>
      </c>
      <c r="R29" s="23" t="str">
        <f t="shared" si="4"/>
        <v>DESCONOCE</v>
      </c>
      <c r="S29" s="23" t="str">
        <f t="shared" si="5"/>
        <v>NO ELEGIDO</v>
      </c>
    </row>
    <row r="30" spans="1:19">
      <c r="A30" s="23" t="s">
        <v>105</v>
      </c>
      <c r="B30" s="137" t="s">
        <v>323</v>
      </c>
      <c r="C30" s="24" t="s">
        <v>13</v>
      </c>
      <c r="D30" s="24" t="s">
        <v>54</v>
      </c>
      <c r="E30" s="24" t="s">
        <v>55</v>
      </c>
      <c r="F30" s="24" t="s">
        <v>56</v>
      </c>
      <c r="G30" s="24" t="s">
        <v>12</v>
      </c>
      <c r="H30" s="24">
        <v>6</v>
      </c>
      <c r="I30" s="24">
        <v>7</v>
      </c>
      <c r="J30" s="157">
        <v>0</v>
      </c>
      <c r="K30" s="157">
        <v>0</v>
      </c>
      <c r="L30" s="157">
        <v>80671052</v>
      </c>
      <c r="M30" s="157">
        <v>58339670</v>
      </c>
      <c r="N30" s="23" t="str">
        <f t="shared" si="0"/>
        <v/>
      </c>
      <c r="O30" s="23" t="str">
        <f t="shared" si="1"/>
        <v/>
      </c>
      <c r="P30" s="23" t="str">
        <f t="shared" si="2"/>
        <v/>
      </c>
      <c r="Q30" s="23" t="str">
        <f t="shared" si="3"/>
        <v>INSATISFECHO</v>
      </c>
      <c r="R30" s="23" t="str">
        <f t="shared" si="4"/>
        <v>DESCONOCE</v>
      </c>
      <c r="S30" s="23" t="str">
        <f t="shared" si="5"/>
        <v>ELEGIDO</v>
      </c>
    </row>
    <row r="31" spans="1:19">
      <c r="A31" s="23" t="s">
        <v>68</v>
      </c>
      <c r="B31" s="137" t="s">
        <v>324</v>
      </c>
      <c r="C31" s="24" t="s">
        <v>32</v>
      </c>
      <c r="D31" s="24" t="s">
        <v>25</v>
      </c>
      <c r="E31" s="24" t="s">
        <v>17</v>
      </c>
      <c r="F31" s="25" t="s">
        <v>18</v>
      </c>
      <c r="G31" s="24" t="s">
        <v>30</v>
      </c>
      <c r="H31" s="24">
        <v>9</v>
      </c>
      <c r="I31" s="24">
        <v>8</v>
      </c>
      <c r="J31" s="157">
        <v>0</v>
      </c>
      <c r="K31" s="157">
        <v>0</v>
      </c>
      <c r="L31" s="157">
        <v>0</v>
      </c>
      <c r="M31" s="157">
        <v>44898366</v>
      </c>
      <c r="N31" s="23" t="str">
        <f t="shared" si="0"/>
        <v/>
      </c>
      <c r="O31" s="23" t="str">
        <f t="shared" si="1"/>
        <v/>
      </c>
      <c r="P31" s="23" t="str">
        <f t="shared" si="2"/>
        <v/>
      </c>
      <c r="Q31" s="23" t="str">
        <f t="shared" si="3"/>
        <v>SATISFECHO</v>
      </c>
      <c r="R31" s="23" t="str">
        <f t="shared" si="4"/>
        <v>CONOCE</v>
      </c>
      <c r="S31" s="23" t="str">
        <f t="shared" si="5"/>
        <v>DESCARTADO</v>
      </c>
    </row>
    <row r="32" spans="1:19">
      <c r="A32" s="23" t="s">
        <v>126</v>
      </c>
      <c r="B32" s="137" t="s">
        <v>325</v>
      </c>
      <c r="C32" s="24" t="s">
        <v>13</v>
      </c>
      <c r="D32" s="24" t="s">
        <v>21</v>
      </c>
      <c r="E32" s="24" t="s">
        <v>10</v>
      </c>
      <c r="F32" s="24" t="s">
        <v>27</v>
      </c>
      <c r="G32" s="24" t="s">
        <v>12</v>
      </c>
      <c r="H32" s="24">
        <v>5</v>
      </c>
      <c r="I32" s="24">
        <v>6</v>
      </c>
      <c r="J32" s="157">
        <v>1000000</v>
      </c>
      <c r="K32" s="157">
        <v>96696256</v>
      </c>
      <c r="L32" s="157">
        <v>62106884</v>
      </c>
      <c r="M32" s="157">
        <v>85228190</v>
      </c>
      <c r="N32" s="23" t="str">
        <f t="shared" si="0"/>
        <v/>
      </c>
      <c r="O32" s="23" t="str">
        <f t="shared" si="1"/>
        <v/>
      </c>
      <c r="P32" s="23" t="str">
        <f t="shared" si="2"/>
        <v/>
      </c>
      <c r="Q32" s="23" t="str">
        <f t="shared" si="3"/>
        <v>INSATISFECHO</v>
      </c>
      <c r="R32" s="23" t="str">
        <f t="shared" si="4"/>
        <v>DESCONOCE</v>
      </c>
      <c r="S32" s="23" t="str">
        <f t="shared" si="5"/>
        <v>NO ELEGIDO</v>
      </c>
    </row>
    <row r="33" spans="1:19">
      <c r="A33" s="23" t="s">
        <v>62</v>
      </c>
      <c r="B33" s="137" t="s">
        <v>326</v>
      </c>
      <c r="C33" s="24" t="s">
        <v>13</v>
      </c>
      <c r="D33" s="24" t="s">
        <v>21</v>
      </c>
      <c r="E33" s="24" t="s">
        <v>10</v>
      </c>
      <c r="F33" s="24" t="s">
        <v>27</v>
      </c>
      <c r="G33" s="24" t="s">
        <v>12</v>
      </c>
      <c r="H33" s="24">
        <v>6</v>
      </c>
      <c r="I33" s="24">
        <v>7</v>
      </c>
      <c r="J33" s="157">
        <v>10000000</v>
      </c>
      <c r="K33" s="157">
        <v>51531809</v>
      </c>
      <c r="L33" s="157">
        <v>99819688</v>
      </c>
      <c r="M33" s="157">
        <v>24233431</v>
      </c>
      <c r="N33" s="23" t="str">
        <f t="shared" si="0"/>
        <v/>
      </c>
      <c r="O33" s="23" t="str">
        <f t="shared" si="1"/>
        <v/>
      </c>
      <c r="P33" s="23" t="str">
        <f t="shared" si="2"/>
        <v/>
      </c>
      <c r="Q33" s="23" t="str">
        <f t="shared" si="3"/>
        <v>INSATISFECHO</v>
      </c>
      <c r="R33" s="23" t="str">
        <f t="shared" si="4"/>
        <v>DESCONOCE</v>
      </c>
      <c r="S33" s="23" t="str">
        <f t="shared" si="5"/>
        <v>NO ELEGIDO</v>
      </c>
    </row>
    <row r="34" spans="1:19">
      <c r="A34" s="23" t="s">
        <v>97</v>
      </c>
      <c r="B34" s="137" t="s">
        <v>327</v>
      </c>
      <c r="C34" s="24" t="s">
        <v>13</v>
      </c>
      <c r="D34" s="24" t="s">
        <v>15</v>
      </c>
      <c r="E34" s="24" t="s">
        <v>10</v>
      </c>
      <c r="F34" s="25" t="s">
        <v>11</v>
      </c>
      <c r="G34" s="24" t="s">
        <v>30</v>
      </c>
      <c r="H34" s="24">
        <v>6</v>
      </c>
      <c r="I34" s="24">
        <v>10</v>
      </c>
      <c r="J34" s="157">
        <v>0</v>
      </c>
      <c r="K34" s="157">
        <v>0</v>
      </c>
      <c r="L34" s="157">
        <v>34214902</v>
      </c>
      <c r="M34" s="157">
        <v>24896611</v>
      </c>
      <c r="N34" s="23" t="str">
        <f t="shared" si="0"/>
        <v/>
      </c>
      <c r="O34" s="23" t="str">
        <f t="shared" si="1"/>
        <v>Agro2016</v>
      </c>
      <c r="P34" s="23" t="str">
        <f t="shared" si="2"/>
        <v>AGRO2016</v>
      </c>
      <c r="Q34" s="23" t="str">
        <f t="shared" si="3"/>
        <v>SATISFECHO</v>
      </c>
      <c r="R34" s="23" t="str">
        <f t="shared" si="4"/>
        <v>CONOCE</v>
      </c>
      <c r="S34" s="23" t="str">
        <f t="shared" si="5"/>
        <v>NO ELEGIDO</v>
      </c>
    </row>
    <row r="35" spans="1:19">
      <c r="A35" s="23" t="s">
        <v>101</v>
      </c>
      <c r="B35" s="137" t="s">
        <v>328</v>
      </c>
      <c r="C35" s="25" t="s">
        <v>102</v>
      </c>
      <c r="D35" s="24" t="s">
        <v>25</v>
      </c>
      <c r="E35" s="24" t="s">
        <v>17</v>
      </c>
      <c r="F35" s="25" t="s">
        <v>23</v>
      </c>
      <c r="G35" s="24" t="s">
        <v>12</v>
      </c>
      <c r="H35" s="24">
        <v>8</v>
      </c>
      <c r="I35" s="24">
        <v>5</v>
      </c>
      <c r="J35" s="157">
        <v>0</v>
      </c>
      <c r="K35" s="157">
        <v>0</v>
      </c>
      <c r="L35" s="157">
        <v>7121108</v>
      </c>
      <c r="M35" s="157">
        <v>6991703</v>
      </c>
      <c r="N35" s="23" t="str">
        <f t="shared" si="0"/>
        <v/>
      </c>
      <c r="O35" s="23" t="str">
        <f t="shared" si="1"/>
        <v/>
      </c>
      <c r="P35" s="23" t="str">
        <f t="shared" si="2"/>
        <v/>
      </c>
      <c r="Q35" s="23" t="str">
        <f t="shared" si="3"/>
        <v>INSATISFECHO</v>
      </c>
      <c r="R35" s="23" t="str">
        <f t="shared" si="4"/>
        <v>DESCONOCE</v>
      </c>
      <c r="S35" s="23" t="str">
        <f t="shared" si="5"/>
        <v>DESCARTADO</v>
      </c>
    </row>
    <row r="36" spans="1:19">
      <c r="A36" s="23" t="s">
        <v>103</v>
      </c>
      <c r="B36" s="137" t="s">
        <v>329</v>
      </c>
      <c r="C36" s="24" t="s">
        <v>13</v>
      </c>
      <c r="D36" s="24" t="s">
        <v>15</v>
      </c>
      <c r="E36" s="24" t="s">
        <v>10</v>
      </c>
      <c r="F36" s="24" t="s">
        <v>11</v>
      </c>
      <c r="G36" s="24" t="s">
        <v>12</v>
      </c>
      <c r="H36" s="24">
        <v>7</v>
      </c>
      <c r="I36" s="24">
        <v>10</v>
      </c>
      <c r="J36" s="157">
        <v>20000000</v>
      </c>
      <c r="K36" s="157">
        <v>93037614</v>
      </c>
      <c r="L36" s="157">
        <v>48185946</v>
      </c>
      <c r="M36" s="157">
        <v>75039300</v>
      </c>
      <c r="N36" s="23" t="str">
        <f t="shared" si="0"/>
        <v/>
      </c>
      <c r="O36" s="23" t="str">
        <f t="shared" si="1"/>
        <v>Agro2016</v>
      </c>
      <c r="P36" s="23" t="str">
        <f t="shared" si="2"/>
        <v>AGRO2016</v>
      </c>
      <c r="Q36" s="23" t="str">
        <f t="shared" si="3"/>
        <v>SATISFECHO</v>
      </c>
      <c r="R36" s="23" t="str">
        <f t="shared" si="4"/>
        <v>DESCONOCE</v>
      </c>
      <c r="S36" s="23" t="str">
        <f t="shared" si="5"/>
        <v>NO ELEGIDO</v>
      </c>
    </row>
    <row r="37" spans="1:19">
      <c r="A37" s="23" t="s">
        <v>35</v>
      </c>
      <c r="B37" s="137" t="s">
        <v>330</v>
      </c>
      <c r="C37" s="24" t="s">
        <v>13</v>
      </c>
      <c r="D37" s="24" t="s">
        <v>21</v>
      </c>
      <c r="E37" s="24" t="s">
        <v>10</v>
      </c>
      <c r="F37" s="24" t="s">
        <v>11</v>
      </c>
      <c r="G37" s="24" t="s">
        <v>12</v>
      </c>
      <c r="H37" s="24">
        <v>9</v>
      </c>
      <c r="I37" s="24">
        <v>10</v>
      </c>
      <c r="J37" s="157">
        <v>90000000</v>
      </c>
      <c r="K37" s="157">
        <v>62088180</v>
      </c>
      <c r="L37" s="157">
        <v>18047519</v>
      </c>
      <c r="M37" s="157">
        <v>3738158</v>
      </c>
      <c r="N37" s="23" t="str">
        <f t="shared" si="0"/>
        <v>INTERESANTE</v>
      </c>
      <c r="O37" s="23" t="str">
        <f t="shared" si="1"/>
        <v/>
      </c>
      <c r="P37" s="23" t="str">
        <f t="shared" si="2"/>
        <v/>
      </c>
      <c r="Q37" s="23" t="str">
        <f t="shared" si="3"/>
        <v>SATISFECHO</v>
      </c>
      <c r="R37" s="23" t="str">
        <f t="shared" si="4"/>
        <v>DESCONOCE</v>
      </c>
      <c r="S37" s="23" t="str">
        <f t="shared" si="5"/>
        <v>NO ELEGIDO</v>
      </c>
    </row>
    <row r="38" spans="1:19">
      <c r="A38" s="23" t="s">
        <v>61</v>
      </c>
      <c r="B38" s="137" t="s">
        <v>331</v>
      </c>
      <c r="C38" s="24" t="s">
        <v>13</v>
      </c>
      <c r="D38" s="24" t="s">
        <v>25</v>
      </c>
      <c r="E38" s="24" t="s">
        <v>10</v>
      </c>
      <c r="F38" s="24" t="s">
        <v>11</v>
      </c>
      <c r="G38" s="24" t="s">
        <v>12</v>
      </c>
      <c r="H38" s="24">
        <v>3</v>
      </c>
      <c r="I38" s="24">
        <v>9</v>
      </c>
      <c r="J38" s="157">
        <v>1000000</v>
      </c>
      <c r="K38" s="157">
        <v>1160848</v>
      </c>
      <c r="L38" s="157">
        <v>32268145</v>
      </c>
      <c r="M38" s="157">
        <v>13339687</v>
      </c>
      <c r="N38" s="23" t="str">
        <f t="shared" si="0"/>
        <v/>
      </c>
      <c r="O38" s="23" t="str">
        <f t="shared" si="1"/>
        <v/>
      </c>
      <c r="P38" s="23" t="str">
        <f t="shared" si="2"/>
        <v/>
      </c>
      <c r="Q38" s="23" t="str">
        <f t="shared" si="3"/>
        <v>SATISFECHO</v>
      </c>
      <c r="R38" s="23" t="str">
        <f t="shared" si="4"/>
        <v>DESCONOCE</v>
      </c>
      <c r="S38" s="23" t="str">
        <f t="shared" si="5"/>
        <v>NO ELEGIDO</v>
      </c>
    </row>
    <row r="39" spans="1:19">
      <c r="A39" s="23" t="s">
        <v>124</v>
      </c>
      <c r="B39" s="137" t="s">
        <v>332</v>
      </c>
      <c r="C39" s="24" t="s">
        <v>13</v>
      </c>
      <c r="D39" s="24" t="s">
        <v>21</v>
      </c>
      <c r="E39" s="24" t="s">
        <v>17</v>
      </c>
      <c r="F39" s="25" t="s">
        <v>23</v>
      </c>
      <c r="G39" s="24" t="s">
        <v>12</v>
      </c>
      <c r="H39" s="24">
        <v>6</v>
      </c>
      <c r="I39" s="24">
        <v>2</v>
      </c>
      <c r="J39" s="157">
        <v>0</v>
      </c>
      <c r="K39" s="157">
        <v>0</v>
      </c>
      <c r="L39" s="157">
        <v>21224611</v>
      </c>
      <c r="M39" s="157">
        <v>62562457</v>
      </c>
      <c r="N39" s="23" t="str">
        <f t="shared" si="0"/>
        <v/>
      </c>
      <c r="O39" s="23" t="str">
        <f t="shared" si="1"/>
        <v/>
      </c>
      <c r="P39" s="23" t="str">
        <f t="shared" si="2"/>
        <v/>
      </c>
      <c r="Q39" s="23" t="str">
        <f t="shared" si="3"/>
        <v>INSATISFECHO</v>
      </c>
      <c r="R39" s="23" t="str">
        <f t="shared" si="4"/>
        <v>DESCONOCE</v>
      </c>
      <c r="S39" s="23" t="str">
        <f t="shared" si="5"/>
        <v>NO ELEGIDO</v>
      </c>
    </row>
    <row r="40" spans="1:19">
      <c r="A40" s="23" t="s">
        <v>33</v>
      </c>
      <c r="B40" s="137" t="s">
        <v>333</v>
      </c>
      <c r="C40" s="24" t="s">
        <v>13</v>
      </c>
      <c r="D40" s="24" t="s">
        <v>25</v>
      </c>
      <c r="E40" s="24" t="s">
        <v>17</v>
      </c>
      <c r="F40" s="25" t="s">
        <v>23</v>
      </c>
      <c r="G40" s="24" t="s">
        <v>12</v>
      </c>
      <c r="H40" s="24">
        <v>9</v>
      </c>
      <c r="I40" s="24">
        <v>9</v>
      </c>
      <c r="J40" s="157">
        <v>0</v>
      </c>
      <c r="K40" s="157">
        <v>0</v>
      </c>
      <c r="L40" s="157">
        <v>85434615</v>
      </c>
      <c r="M40" s="157">
        <v>79508333</v>
      </c>
      <c r="N40" s="23" t="str">
        <f t="shared" si="0"/>
        <v/>
      </c>
      <c r="O40" s="23" t="str">
        <f t="shared" si="1"/>
        <v/>
      </c>
      <c r="P40" s="23" t="str">
        <f t="shared" si="2"/>
        <v/>
      </c>
      <c r="Q40" s="23" t="str">
        <f t="shared" si="3"/>
        <v>SATISFECHO</v>
      </c>
      <c r="R40" s="23" t="str">
        <f t="shared" si="4"/>
        <v>DESCONOCE</v>
      </c>
      <c r="S40" s="23" t="str">
        <f t="shared" si="5"/>
        <v>NO ELEGIDO</v>
      </c>
    </row>
    <row r="41" spans="1:19">
      <c r="A41" s="23" t="s">
        <v>85</v>
      </c>
      <c r="B41" s="137" t="s">
        <v>334</v>
      </c>
      <c r="C41" s="24" t="s">
        <v>13</v>
      </c>
      <c r="D41" s="24" t="s">
        <v>21</v>
      </c>
      <c r="E41" s="24" t="s">
        <v>10</v>
      </c>
      <c r="F41" s="24" t="s">
        <v>27</v>
      </c>
      <c r="G41" s="24" t="s">
        <v>12</v>
      </c>
      <c r="H41" s="24">
        <v>8</v>
      </c>
      <c r="I41" s="24">
        <v>7</v>
      </c>
      <c r="J41" s="157">
        <v>90000000</v>
      </c>
      <c r="K41" s="157">
        <v>23888885</v>
      </c>
      <c r="L41" s="157">
        <v>68725539</v>
      </c>
      <c r="M41" s="157">
        <v>78613526</v>
      </c>
      <c r="N41" s="23" t="str">
        <f t="shared" si="0"/>
        <v>INTERESANTE</v>
      </c>
      <c r="O41" s="23" t="str">
        <f t="shared" si="1"/>
        <v/>
      </c>
      <c r="P41" s="23" t="str">
        <f t="shared" si="2"/>
        <v/>
      </c>
      <c r="Q41" s="23" t="str">
        <f t="shared" si="3"/>
        <v>INSATISFECHO</v>
      </c>
      <c r="R41" s="23" t="str">
        <f t="shared" si="4"/>
        <v>DESCONOCE</v>
      </c>
      <c r="S41" s="23" t="str">
        <f t="shared" si="5"/>
        <v>NO ELEGIDO</v>
      </c>
    </row>
    <row r="42" spans="1:19">
      <c r="A42" s="23" t="s">
        <v>110</v>
      </c>
      <c r="B42" s="137" t="s">
        <v>335</v>
      </c>
      <c r="C42" s="23" t="s">
        <v>13</v>
      </c>
      <c r="D42" s="23" t="s">
        <v>25</v>
      </c>
      <c r="E42" s="23" t="s">
        <v>10</v>
      </c>
      <c r="F42" s="23" t="s">
        <v>11</v>
      </c>
      <c r="G42" s="23" t="s">
        <v>30</v>
      </c>
      <c r="H42" s="24">
        <v>8</v>
      </c>
      <c r="I42" s="23">
        <v>8</v>
      </c>
      <c r="J42" s="157">
        <v>10000000</v>
      </c>
      <c r="K42" s="157">
        <v>23464528</v>
      </c>
      <c r="L42" s="157">
        <v>904543</v>
      </c>
      <c r="M42" s="157">
        <v>0</v>
      </c>
      <c r="N42" s="23" t="str">
        <f t="shared" si="0"/>
        <v/>
      </c>
      <c r="O42" s="23" t="str">
        <f t="shared" si="1"/>
        <v/>
      </c>
      <c r="P42" s="23" t="str">
        <f t="shared" si="2"/>
        <v/>
      </c>
      <c r="Q42" s="23" t="str">
        <f t="shared" si="3"/>
        <v>SATISFECHO</v>
      </c>
      <c r="R42" s="23" t="str">
        <f t="shared" si="4"/>
        <v>CONOCE</v>
      </c>
      <c r="S42" s="23" t="str">
        <f t="shared" si="5"/>
        <v>NO ELEGIDO</v>
      </c>
    </row>
    <row r="43" spans="1:19">
      <c r="A43" s="23" t="s">
        <v>132</v>
      </c>
      <c r="B43" s="137" t="s">
        <v>336</v>
      </c>
      <c r="C43" s="24" t="s">
        <v>13</v>
      </c>
      <c r="D43" s="24" t="s">
        <v>15</v>
      </c>
      <c r="E43" s="24" t="s">
        <v>17</v>
      </c>
      <c r="F43" s="25" t="s">
        <v>23</v>
      </c>
      <c r="G43" s="24" t="s">
        <v>12</v>
      </c>
      <c r="H43" s="24">
        <v>6</v>
      </c>
      <c r="I43" s="24">
        <v>8</v>
      </c>
      <c r="J43" s="157">
        <v>0</v>
      </c>
      <c r="K43" s="157">
        <v>0</v>
      </c>
      <c r="L43" s="157">
        <v>66204884</v>
      </c>
      <c r="M43" s="157">
        <v>27801447</v>
      </c>
      <c r="N43" s="23" t="str">
        <f t="shared" si="0"/>
        <v/>
      </c>
      <c r="O43" s="23" t="str">
        <f t="shared" si="1"/>
        <v>Agro2016</v>
      </c>
      <c r="P43" s="23" t="str">
        <f t="shared" si="2"/>
        <v>AGRO2016</v>
      </c>
      <c r="Q43" s="23" t="str">
        <f t="shared" si="3"/>
        <v>SATISFECHO</v>
      </c>
      <c r="R43" s="23" t="str">
        <f t="shared" si="4"/>
        <v>DESCONOCE</v>
      </c>
      <c r="S43" s="23" t="str">
        <f t="shared" si="5"/>
        <v>NO ELEGIDO</v>
      </c>
    </row>
    <row r="44" spans="1:19">
      <c r="A44" s="23" t="s">
        <v>91</v>
      </c>
      <c r="B44" s="137" t="s">
        <v>337</v>
      </c>
      <c r="C44" s="24" t="s">
        <v>32</v>
      </c>
      <c r="D44" s="24" t="s">
        <v>25</v>
      </c>
      <c r="E44" s="24" t="s">
        <v>17</v>
      </c>
      <c r="F44" s="25" t="s">
        <v>18</v>
      </c>
      <c r="G44" s="24" t="s">
        <v>30</v>
      </c>
      <c r="H44" s="24">
        <v>3</v>
      </c>
      <c r="I44" s="24">
        <v>5</v>
      </c>
      <c r="J44" s="157">
        <v>0</v>
      </c>
      <c r="K44" s="157">
        <v>0</v>
      </c>
      <c r="L44" s="157">
        <v>30987169</v>
      </c>
      <c r="M44" s="157">
        <v>7339680</v>
      </c>
      <c r="N44" s="23" t="str">
        <f t="shared" si="0"/>
        <v/>
      </c>
      <c r="O44" s="23" t="str">
        <f t="shared" si="1"/>
        <v/>
      </c>
      <c r="P44" s="23" t="str">
        <f t="shared" si="2"/>
        <v/>
      </c>
      <c r="Q44" s="23" t="str">
        <f t="shared" si="3"/>
        <v>INSATISFECHO</v>
      </c>
      <c r="R44" s="23" t="str">
        <f t="shared" si="4"/>
        <v>CONOCE</v>
      </c>
      <c r="S44" s="23" t="str">
        <f t="shared" si="5"/>
        <v>DESCARTADO</v>
      </c>
    </row>
    <row r="45" spans="1:19">
      <c r="A45" s="23" t="s">
        <v>109</v>
      </c>
      <c r="B45" s="137" t="s">
        <v>338</v>
      </c>
      <c r="C45" s="24" t="s">
        <v>13</v>
      </c>
      <c r="D45" s="24" t="s">
        <v>21</v>
      </c>
      <c r="E45" s="24" t="s">
        <v>10</v>
      </c>
      <c r="F45" s="24" t="s">
        <v>11</v>
      </c>
      <c r="G45" s="24" t="s">
        <v>12</v>
      </c>
      <c r="H45" s="24">
        <v>6</v>
      </c>
      <c r="I45" s="24">
        <v>7</v>
      </c>
      <c r="J45" s="157">
        <v>10000000</v>
      </c>
      <c r="K45" s="157">
        <v>22390348</v>
      </c>
      <c r="L45" s="157">
        <v>24476166</v>
      </c>
      <c r="M45" s="157">
        <v>0</v>
      </c>
      <c r="N45" s="23" t="str">
        <f t="shared" si="0"/>
        <v/>
      </c>
      <c r="O45" s="23" t="str">
        <f t="shared" si="1"/>
        <v/>
      </c>
      <c r="P45" s="23" t="str">
        <f t="shared" si="2"/>
        <v/>
      </c>
      <c r="Q45" s="23" t="str">
        <f t="shared" si="3"/>
        <v>INSATISFECHO</v>
      </c>
      <c r="R45" s="23" t="str">
        <f t="shared" si="4"/>
        <v>DESCONOCE</v>
      </c>
      <c r="S45" s="23" t="str">
        <f t="shared" si="5"/>
        <v>NO ELEGIDO</v>
      </c>
    </row>
    <row r="46" spans="1:19">
      <c r="A46" s="23" t="s">
        <v>127</v>
      </c>
      <c r="B46" s="137" t="s">
        <v>339</v>
      </c>
      <c r="C46" s="24" t="s">
        <v>13</v>
      </c>
      <c r="D46" s="24" t="s">
        <v>25</v>
      </c>
      <c r="E46" s="24" t="s">
        <v>10</v>
      </c>
      <c r="F46" s="24" t="s">
        <v>27</v>
      </c>
      <c r="G46" s="24" t="s">
        <v>12</v>
      </c>
      <c r="H46" s="24">
        <v>6</v>
      </c>
      <c r="I46" s="24">
        <v>10</v>
      </c>
      <c r="J46" s="157">
        <v>20000000</v>
      </c>
      <c r="K46" s="157">
        <v>31670482</v>
      </c>
      <c r="L46" s="157">
        <v>15619630</v>
      </c>
      <c r="M46" s="157">
        <v>59838390</v>
      </c>
      <c r="N46" s="23" t="str">
        <f t="shared" si="0"/>
        <v/>
      </c>
      <c r="O46" s="23" t="str">
        <f t="shared" si="1"/>
        <v/>
      </c>
      <c r="P46" s="23" t="str">
        <f t="shared" si="2"/>
        <v/>
      </c>
      <c r="Q46" s="23" t="str">
        <f t="shared" si="3"/>
        <v>SATISFECHO</v>
      </c>
      <c r="R46" s="23" t="str">
        <f t="shared" si="4"/>
        <v>DESCONOCE</v>
      </c>
      <c r="S46" s="23" t="str">
        <f t="shared" si="5"/>
        <v>NO ELEGIDO</v>
      </c>
    </row>
    <row r="47" spans="1:19">
      <c r="A47" s="23" t="s">
        <v>48</v>
      </c>
      <c r="B47" s="137" t="s">
        <v>340</v>
      </c>
      <c r="C47" s="24" t="s">
        <v>13</v>
      </c>
      <c r="D47" s="24" t="s">
        <v>9</v>
      </c>
      <c r="E47" s="24" t="s">
        <v>10</v>
      </c>
      <c r="F47" s="24" t="s">
        <v>27</v>
      </c>
      <c r="G47" s="24" t="s">
        <v>12</v>
      </c>
      <c r="H47" s="24">
        <v>8</v>
      </c>
      <c r="I47" s="24">
        <v>5</v>
      </c>
      <c r="J47" s="157">
        <v>20000000</v>
      </c>
      <c r="K47" s="157">
        <v>81056910</v>
      </c>
      <c r="L47" s="157">
        <v>96438403</v>
      </c>
      <c r="M47" s="157">
        <v>90723423</v>
      </c>
      <c r="N47" s="23" t="str">
        <f t="shared" si="0"/>
        <v/>
      </c>
      <c r="O47" s="23" t="str">
        <f t="shared" si="1"/>
        <v/>
      </c>
      <c r="P47" s="23" t="str">
        <f t="shared" si="2"/>
        <v/>
      </c>
      <c r="Q47" s="23" t="str">
        <f t="shared" si="3"/>
        <v>INSATISFECHO</v>
      </c>
      <c r="R47" s="23" t="str">
        <f t="shared" si="4"/>
        <v>DESCONOCE</v>
      </c>
      <c r="S47" s="23" t="str">
        <f t="shared" si="5"/>
        <v>NO ELEGIDO</v>
      </c>
    </row>
    <row r="48" spans="1:19">
      <c r="A48" s="23" t="s">
        <v>79</v>
      </c>
      <c r="B48" s="137" t="s">
        <v>341</v>
      </c>
      <c r="C48" s="24" t="s">
        <v>13</v>
      </c>
      <c r="D48" s="24" t="s">
        <v>21</v>
      </c>
      <c r="E48" s="24" t="s">
        <v>55</v>
      </c>
      <c r="F48" s="24" t="s">
        <v>80</v>
      </c>
      <c r="G48" s="24" t="s">
        <v>12</v>
      </c>
      <c r="H48" s="24">
        <v>5</v>
      </c>
      <c r="I48" s="24">
        <v>7</v>
      </c>
      <c r="J48" s="157">
        <v>0</v>
      </c>
      <c r="K48" s="157">
        <v>0</v>
      </c>
      <c r="L48" s="157">
        <v>0</v>
      </c>
      <c r="M48" s="157">
        <v>52936315</v>
      </c>
      <c r="N48" s="23" t="str">
        <f t="shared" si="0"/>
        <v/>
      </c>
      <c r="O48" s="23" t="str">
        <f t="shared" si="1"/>
        <v/>
      </c>
      <c r="P48" s="23" t="str">
        <f t="shared" si="2"/>
        <v/>
      </c>
      <c r="Q48" s="23" t="str">
        <f t="shared" si="3"/>
        <v>INSATISFECHO</v>
      </c>
      <c r="R48" s="23" t="str">
        <f t="shared" si="4"/>
        <v>DESCONOCE</v>
      </c>
      <c r="S48" s="23" t="str">
        <f t="shared" si="5"/>
        <v>NO ELEGIDO</v>
      </c>
    </row>
    <row r="49" spans="1:19">
      <c r="A49" s="23" t="s">
        <v>113</v>
      </c>
      <c r="B49" s="137" t="s">
        <v>342</v>
      </c>
      <c r="C49" s="24" t="s">
        <v>13</v>
      </c>
      <c r="D49" s="24" t="s">
        <v>21</v>
      </c>
      <c r="E49" s="24" t="s">
        <v>10</v>
      </c>
      <c r="F49" s="24" t="s">
        <v>11</v>
      </c>
      <c r="G49" s="24" t="s">
        <v>12</v>
      </c>
      <c r="H49" s="24">
        <v>9</v>
      </c>
      <c r="I49" s="24">
        <v>7</v>
      </c>
      <c r="J49" s="157">
        <v>30000000</v>
      </c>
      <c r="K49" s="157">
        <v>91413171</v>
      </c>
      <c r="L49" s="157">
        <v>13211402</v>
      </c>
      <c r="M49" s="157">
        <v>0</v>
      </c>
      <c r="N49" s="23" t="str">
        <f t="shared" si="0"/>
        <v/>
      </c>
      <c r="O49" s="23" t="str">
        <f t="shared" si="1"/>
        <v/>
      </c>
      <c r="P49" s="23" t="str">
        <f t="shared" si="2"/>
        <v/>
      </c>
      <c r="Q49" s="23" t="str">
        <f t="shared" si="3"/>
        <v>INSATISFECHO</v>
      </c>
      <c r="R49" s="23" t="str">
        <f t="shared" si="4"/>
        <v>DESCONOCE</v>
      </c>
      <c r="S49" s="23" t="str">
        <f t="shared" si="5"/>
        <v>NO ELEGIDO</v>
      </c>
    </row>
    <row r="50" spans="1:19">
      <c r="A50" s="23" t="s">
        <v>36</v>
      </c>
      <c r="B50" s="137" t="s">
        <v>343</v>
      </c>
      <c r="C50" s="24" t="s">
        <v>13</v>
      </c>
      <c r="D50" s="24" t="s">
        <v>9</v>
      </c>
      <c r="E50" s="24" t="s">
        <v>10</v>
      </c>
      <c r="F50" s="24" t="s">
        <v>27</v>
      </c>
      <c r="G50" s="24" t="s">
        <v>12</v>
      </c>
      <c r="H50" s="24">
        <v>4</v>
      </c>
      <c r="I50" s="24">
        <v>7</v>
      </c>
      <c r="J50" s="157">
        <v>1000000</v>
      </c>
      <c r="K50" s="157">
        <v>87347043</v>
      </c>
      <c r="L50" s="157">
        <v>50796112</v>
      </c>
      <c r="M50" s="157">
        <v>72757830</v>
      </c>
      <c r="N50" s="23" t="str">
        <f t="shared" si="0"/>
        <v/>
      </c>
      <c r="O50" s="23" t="str">
        <f t="shared" si="1"/>
        <v/>
      </c>
      <c r="P50" s="23" t="str">
        <f t="shared" si="2"/>
        <v/>
      </c>
      <c r="Q50" s="23" t="str">
        <f t="shared" si="3"/>
        <v>INSATISFECHO</v>
      </c>
      <c r="R50" s="23" t="str">
        <f t="shared" si="4"/>
        <v>DESCONOCE</v>
      </c>
      <c r="S50" s="23" t="str">
        <f t="shared" si="5"/>
        <v>NO ELEGIDO</v>
      </c>
    </row>
    <row r="51" spans="1:19">
      <c r="A51" s="23" t="s">
        <v>44</v>
      </c>
      <c r="B51" s="137" t="s">
        <v>344</v>
      </c>
      <c r="C51" s="24" t="s">
        <v>13</v>
      </c>
      <c r="D51" s="24" t="s">
        <v>25</v>
      </c>
      <c r="E51" s="24" t="s">
        <v>17</v>
      </c>
      <c r="F51" s="25" t="s">
        <v>18</v>
      </c>
      <c r="G51" s="24" t="s">
        <v>12</v>
      </c>
      <c r="H51" s="24">
        <v>4</v>
      </c>
      <c r="I51" s="24">
        <v>9</v>
      </c>
      <c r="J51" s="157">
        <v>0</v>
      </c>
      <c r="K51" s="157">
        <v>0</v>
      </c>
      <c r="L51" s="157">
        <v>38721754</v>
      </c>
      <c r="M51" s="157">
        <v>77230635</v>
      </c>
      <c r="N51" s="23" t="str">
        <f t="shared" si="0"/>
        <v/>
      </c>
      <c r="O51" s="23" t="str">
        <f t="shared" si="1"/>
        <v/>
      </c>
      <c r="P51" s="23" t="str">
        <f t="shared" si="2"/>
        <v/>
      </c>
      <c r="Q51" s="23" t="str">
        <f t="shared" si="3"/>
        <v>SATISFECHO</v>
      </c>
      <c r="R51" s="23" t="str">
        <f t="shared" si="4"/>
        <v>DESCONOCE</v>
      </c>
      <c r="S51" s="23" t="str">
        <f t="shared" si="5"/>
        <v>NO ELEGIDO</v>
      </c>
    </row>
    <row r="52" spans="1:19">
      <c r="A52" s="23" t="s">
        <v>100</v>
      </c>
      <c r="B52" s="137" t="s">
        <v>345</v>
      </c>
      <c r="C52" s="24" t="s">
        <v>13</v>
      </c>
      <c r="D52" s="24" t="s">
        <v>21</v>
      </c>
      <c r="E52" s="24" t="s">
        <v>10</v>
      </c>
      <c r="F52" s="24" t="s">
        <v>27</v>
      </c>
      <c r="G52" s="24" t="s">
        <v>12</v>
      </c>
      <c r="H52" s="24">
        <v>9</v>
      </c>
      <c r="I52" s="24">
        <v>5</v>
      </c>
      <c r="J52" s="157">
        <v>10000000</v>
      </c>
      <c r="K52" s="157">
        <v>43538967</v>
      </c>
      <c r="L52" s="157">
        <v>5161300</v>
      </c>
      <c r="M52" s="157">
        <v>85417673</v>
      </c>
      <c r="N52" s="23" t="str">
        <f t="shared" si="0"/>
        <v/>
      </c>
      <c r="O52" s="23" t="str">
        <f t="shared" si="1"/>
        <v/>
      </c>
      <c r="P52" s="23" t="str">
        <f t="shared" si="2"/>
        <v/>
      </c>
      <c r="Q52" s="23" t="str">
        <f t="shared" si="3"/>
        <v>INSATISFECHO</v>
      </c>
      <c r="R52" s="23" t="str">
        <f t="shared" si="4"/>
        <v>DESCONOCE</v>
      </c>
      <c r="S52" s="23" t="str">
        <f t="shared" si="5"/>
        <v>NO ELEGIDO</v>
      </c>
    </row>
    <row r="53" spans="1:19">
      <c r="A53" s="23" t="s">
        <v>42</v>
      </c>
      <c r="B53" s="137" t="s">
        <v>346</v>
      </c>
      <c r="C53" s="24" t="s">
        <v>13</v>
      </c>
      <c r="D53" s="24" t="s">
        <v>21</v>
      </c>
      <c r="E53" s="24" t="s">
        <v>10</v>
      </c>
      <c r="F53" s="24" t="s">
        <v>27</v>
      </c>
      <c r="G53" s="24" t="s">
        <v>30</v>
      </c>
      <c r="H53" s="24">
        <v>6</v>
      </c>
      <c r="I53" s="24">
        <v>10</v>
      </c>
      <c r="J53" s="157">
        <v>1000000</v>
      </c>
      <c r="K53" s="157">
        <v>95899452</v>
      </c>
      <c r="L53" s="157">
        <v>2565664</v>
      </c>
      <c r="M53" s="157">
        <v>39602953</v>
      </c>
      <c r="N53" s="23" t="str">
        <f t="shared" si="0"/>
        <v/>
      </c>
      <c r="O53" s="23" t="str">
        <f t="shared" si="1"/>
        <v/>
      </c>
      <c r="P53" s="23" t="str">
        <f t="shared" si="2"/>
        <v/>
      </c>
      <c r="Q53" s="23" t="str">
        <f t="shared" si="3"/>
        <v>SATISFECHO</v>
      </c>
      <c r="R53" s="23" t="str">
        <f t="shared" si="4"/>
        <v>CONOCE</v>
      </c>
      <c r="S53" s="23" t="str">
        <f t="shared" si="5"/>
        <v>NO ELEGIDO</v>
      </c>
    </row>
    <row r="54" spans="1:19">
      <c r="A54" s="23" t="s">
        <v>39</v>
      </c>
      <c r="B54" s="137" t="s">
        <v>347</v>
      </c>
      <c r="C54" s="24" t="s">
        <v>13</v>
      </c>
      <c r="D54" s="24" t="s">
        <v>21</v>
      </c>
      <c r="E54" s="24" t="s">
        <v>10</v>
      </c>
      <c r="F54" s="24" t="s">
        <v>27</v>
      </c>
      <c r="G54" s="24" t="s">
        <v>30</v>
      </c>
      <c r="H54" s="24">
        <v>8</v>
      </c>
      <c r="I54" s="24">
        <v>8</v>
      </c>
      <c r="J54" s="157">
        <v>1000000</v>
      </c>
      <c r="K54" s="157">
        <v>81347428</v>
      </c>
      <c r="L54" s="157">
        <v>10860215</v>
      </c>
      <c r="M54" s="157">
        <v>28637290</v>
      </c>
      <c r="N54" s="23" t="str">
        <f t="shared" si="0"/>
        <v/>
      </c>
      <c r="O54" s="23" t="str">
        <f t="shared" si="1"/>
        <v/>
      </c>
      <c r="P54" s="23" t="str">
        <f t="shared" si="2"/>
        <v/>
      </c>
      <c r="Q54" s="23" t="str">
        <f t="shared" si="3"/>
        <v>SATISFECHO</v>
      </c>
      <c r="R54" s="23" t="str">
        <f t="shared" si="4"/>
        <v>CONOCE</v>
      </c>
      <c r="S54" s="23" t="str">
        <f t="shared" si="5"/>
        <v>NO ELEGIDO</v>
      </c>
    </row>
    <row r="55" spans="1:19">
      <c r="A55" s="23" t="s">
        <v>120</v>
      </c>
      <c r="B55" s="137" t="s">
        <v>348</v>
      </c>
      <c r="C55" s="24" t="s">
        <v>13</v>
      </c>
      <c r="D55" s="24" t="s">
        <v>25</v>
      </c>
      <c r="E55" s="24" t="s">
        <v>10</v>
      </c>
      <c r="F55" s="24" t="s">
        <v>27</v>
      </c>
      <c r="G55" s="24" t="s">
        <v>30</v>
      </c>
      <c r="H55" s="24">
        <v>6</v>
      </c>
      <c r="I55" s="24">
        <v>10</v>
      </c>
      <c r="J55" s="157">
        <v>30000000</v>
      </c>
      <c r="K55" s="157">
        <v>52442860</v>
      </c>
      <c r="L55" s="157">
        <v>2659881</v>
      </c>
      <c r="M55" s="157">
        <v>80287314</v>
      </c>
      <c r="N55" s="23" t="str">
        <f t="shared" si="0"/>
        <v/>
      </c>
      <c r="O55" s="23" t="str">
        <f t="shared" si="1"/>
        <v/>
      </c>
      <c r="P55" s="23" t="str">
        <f t="shared" si="2"/>
        <v/>
      </c>
      <c r="Q55" s="23" t="str">
        <f t="shared" si="3"/>
        <v>SATISFECHO</v>
      </c>
      <c r="R55" s="23" t="str">
        <f t="shared" si="4"/>
        <v>CONOCE</v>
      </c>
      <c r="S55" s="23" t="str">
        <f t="shared" si="5"/>
        <v>NO ELEGIDO</v>
      </c>
    </row>
    <row r="56" spans="1:19">
      <c r="A56" s="23" t="s">
        <v>43</v>
      </c>
      <c r="B56" s="137" t="s">
        <v>349</v>
      </c>
      <c r="C56" s="24" t="s">
        <v>13</v>
      </c>
      <c r="D56" s="24" t="s">
        <v>21</v>
      </c>
      <c r="E56" s="24" t="s">
        <v>10</v>
      </c>
      <c r="F56" s="24" t="s">
        <v>27</v>
      </c>
      <c r="G56" s="24" t="s">
        <v>30</v>
      </c>
      <c r="H56" s="24">
        <v>7</v>
      </c>
      <c r="I56" s="24">
        <v>5</v>
      </c>
      <c r="J56" s="157">
        <v>10000000</v>
      </c>
      <c r="K56" s="157">
        <v>96199053</v>
      </c>
      <c r="L56" s="157">
        <v>31746355</v>
      </c>
      <c r="M56" s="157">
        <v>80063468</v>
      </c>
      <c r="N56" s="23" t="str">
        <f t="shared" si="0"/>
        <v/>
      </c>
      <c r="O56" s="23" t="str">
        <f t="shared" si="1"/>
        <v/>
      </c>
      <c r="P56" s="23" t="str">
        <f t="shared" si="2"/>
        <v/>
      </c>
      <c r="Q56" s="23" t="str">
        <f t="shared" si="3"/>
        <v>INSATISFECHO</v>
      </c>
      <c r="R56" s="23" t="str">
        <f t="shared" si="4"/>
        <v>CONOCE</v>
      </c>
      <c r="S56" s="23" t="str">
        <f t="shared" si="5"/>
        <v>NO ELEGIDO</v>
      </c>
    </row>
    <row r="57" spans="1:19">
      <c r="A57" s="23" t="s">
        <v>106</v>
      </c>
      <c r="B57" s="137" t="s">
        <v>350</v>
      </c>
      <c r="C57" s="24" t="s">
        <v>13</v>
      </c>
      <c r="D57" s="24" t="s">
        <v>21</v>
      </c>
      <c r="E57" s="24" t="s">
        <v>10</v>
      </c>
      <c r="F57" s="24" t="s">
        <v>27</v>
      </c>
      <c r="G57" s="24" t="s">
        <v>12</v>
      </c>
      <c r="H57" s="24">
        <v>5</v>
      </c>
      <c r="I57" s="24">
        <v>7</v>
      </c>
      <c r="J57" s="157">
        <v>1000000</v>
      </c>
      <c r="K57" s="157">
        <v>71783742</v>
      </c>
      <c r="L57" s="157">
        <v>64667814</v>
      </c>
      <c r="M57" s="157">
        <v>70653180</v>
      </c>
      <c r="N57" s="23" t="str">
        <f t="shared" si="0"/>
        <v/>
      </c>
      <c r="O57" s="23" t="str">
        <f t="shared" si="1"/>
        <v/>
      </c>
      <c r="P57" s="23" t="str">
        <f t="shared" si="2"/>
        <v/>
      </c>
      <c r="Q57" s="23" t="str">
        <f t="shared" si="3"/>
        <v>INSATISFECHO</v>
      </c>
      <c r="R57" s="23" t="str">
        <f t="shared" si="4"/>
        <v>DESCONOCE</v>
      </c>
      <c r="S57" s="23" t="str">
        <f t="shared" si="5"/>
        <v>NO ELEGIDO</v>
      </c>
    </row>
    <row r="58" spans="1:19">
      <c r="A58" s="23" t="s">
        <v>122</v>
      </c>
      <c r="B58" s="137" t="s">
        <v>351</v>
      </c>
      <c r="C58" s="24" t="s">
        <v>13</v>
      </c>
      <c r="D58" s="24" t="s">
        <v>25</v>
      </c>
      <c r="E58" s="24" t="s">
        <v>10</v>
      </c>
      <c r="F58" s="24" t="s">
        <v>27</v>
      </c>
      <c r="G58" s="24" t="s">
        <v>12</v>
      </c>
      <c r="H58" s="24">
        <v>3</v>
      </c>
      <c r="I58" s="24">
        <v>8</v>
      </c>
      <c r="J58" s="157">
        <v>90000000</v>
      </c>
      <c r="K58" s="157">
        <v>94913746</v>
      </c>
      <c r="L58" s="157">
        <v>74083223</v>
      </c>
      <c r="M58" s="157">
        <v>31617670</v>
      </c>
      <c r="N58" s="23" t="str">
        <f t="shared" si="0"/>
        <v>INTERESANTE</v>
      </c>
      <c r="O58" s="23" t="str">
        <f t="shared" si="1"/>
        <v/>
      </c>
      <c r="P58" s="23" t="str">
        <f t="shared" si="2"/>
        <v/>
      </c>
      <c r="Q58" s="23" t="str">
        <f t="shared" si="3"/>
        <v>SATISFECHO</v>
      </c>
      <c r="R58" s="23" t="str">
        <f t="shared" si="4"/>
        <v>DESCONOCE</v>
      </c>
      <c r="S58" s="23" t="str">
        <f t="shared" si="5"/>
        <v>NO ELEGIDO</v>
      </c>
    </row>
    <row r="59" spans="1:19">
      <c r="A59" s="23" t="s">
        <v>121</v>
      </c>
      <c r="B59" s="137" t="s">
        <v>352</v>
      </c>
      <c r="C59" s="24" t="s">
        <v>13</v>
      </c>
      <c r="D59" s="24" t="s">
        <v>25</v>
      </c>
      <c r="E59" s="24" t="s">
        <v>17</v>
      </c>
      <c r="F59" s="25" t="s">
        <v>23</v>
      </c>
      <c r="G59" s="24" t="s">
        <v>12</v>
      </c>
      <c r="H59" s="24">
        <v>7</v>
      </c>
      <c r="I59" s="24">
        <v>9</v>
      </c>
      <c r="J59" s="157">
        <v>0</v>
      </c>
      <c r="K59" s="157">
        <v>0</v>
      </c>
      <c r="L59" s="157">
        <v>67753952</v>
      </c>
      <c r="M59" s="157">
        <v>77205812</v>
      </c>
      <c r="N59" s="23" t="str">
        <f t="shared" si="0"/>
        <v/>
      </c>
      <c r="O59" s="23" t="str">
        <f t="shared" si="1"/>
        <v/>
      </c>
      <c r="P59" s="23" t="str">
        <f t="shared" si="2"/>
        <v/>
      </c>
      <c r="Q59" s="23" t="str">
        <f t="shared" si="3"/>
        <v>SATISFECHO</v>
      </c>
      <c r="R59" s="23" t="str">
        <f t="shared" si="4"/>
        <v>DESCONOCE</v>
      </c>
      <c r="S59" s="23" t="str">
        <f t="shared" si="5"/>
        <v>NO ELEGIDO</v>
      </c>
    </row>
    <row r="60" spans="1:19">
      <c r="A60" s="23" t="s">
        <v>78</v>
      </c>
      <c r="B60" s="137" t="s">
        <v>353</v>
      </c>
      <c r="C60" s="24" t="s">
        <v>32</v>
      </c>
      <c r="D60" s="24" t="s">
        <v>21</v>
      </c>
      <c r="E60" s="24" t="s">
        <v>10</v>
      </c>
      <c r="F60" s="24" t="s">
        <v>27</v>
      </c>
      <c r="G60" s="24" t="s">
        <v>30</v>
      </c>
      <c r="H60" s="24">
        <v>5</v>
      </c>
      <c r="I60" s="24">
        <v>6</v>
      </c>
      <c r="J60" s="157">
        <v>30000000</v>
      </c>
      <c r="K60" s="157">
        <v>33477783</v>
      </c>
      <c r="L60" s="157">
        <v>0</v>
      </c>
      <c r="M60" s="157">
        <v>27651635</v>
      </c>
      <c r="N60" s="23" t="str">
        <f t="shared" si="0"/>
        <v/>
      </c>
      <c r="O60" s="23" t="str">
        <f t="shared" si="1"/>
        <v/>
      </c>
      <c r="P60" s="23" t="str">
        <f t="shared" si="2"/>
        <v/>
      </c>
      <c r="Q60" s="23" t="str">
        <f t="shared" si="3"/>
        <v>INSATISFECHO</v>
      </c>
      <c r="R60" s="23" t="str">
        <f t="shared" si="4"/>
        <v>CONOCE</v>
      </c>
      <c r="S60" s="23" t="str">
        <f t="shared" si="5"/>
        <v>DESCARTADO</v>
      </c>
    </row>
    <row r="61" spans="1:19">
      <c r="A61" s="23" t="s">
        <v>82</v>
      </c>
      <c r="B61" s="137" t="s">
        <v>354</v>
      </c>
      <c r="C61" s="24" t="s">
        <v>13</v>
      </c>
      <c r="D61" s="24" t="s">
        <v>9</v>
      </c>
      <c r="E61" s="24" t="s">
        <v>10</v>
      </c>
      <c r="F61" s="24" t="s">
        <v>11</v>
      </c>
      <c r="G61" s="24" t="s">
        <v>30</v>
      </c>
      <c r="H61" s="24">
        <v>9</v>
      </c>
      <c r="I61" s="24">
        <v>9</v>
      </c>
      <c r="J61" s="157">
        <v>50000000</v>
      </c>
      <c r="K61" s="157">
        <v>2702447</v>
      </c>
      <c r="L61" s="157">
        <v>0</v>
      </c>
      <c r="M61" s="157">
        <v>44671760</v>
      </c>
      <c r="N61" s="23" t="str">
        <f t="shared" si="0"/>
        <v>INTERESANTE</v>
      </c>
      <c r="O61" s="23" t="str">
        <f t="shared" si="1"/>
        <v/>
      </c>
      <c r="P61" s="23" t="str">
        <f t="shared" si="2"/>
        <v/>
      </c>
      <c r="Q61" s="23" t="str">
        <f t="shared" si="3"/>
        <v>SATISFECHO</v>
      </c>
      <c r="R61" s="23" t="str">
        <f t="shared" si="4"/>
        <v>CONOCE</v>
      </c>
      <c r="S61" s="23" t="str">
        <f t="shared" si="5"/>
        <v>NO ELEGIDO</v>
      </c>
    </row>
    <row r="62" spans="1:19">
      <c r="A62" s="23" t="s">
        <v>95</v>
      </c>
      <c r="B62" s="137" t="s">
        <v>355</v>
      </c>
      <c r="C62" s="25" t="s">
        <v>96</v>
      </c>
      <c r="D62" s="24" t="s">
        <v>21</v>
      </c>
      <c r="E62" s="24" t="s">
        <v>10</v>
      </c>
      <c r="F62" s="24" t="s">
        <v>11</v>
      </c>
      <c r="G62" s="24" t="s">
        <v>12</v>
      </c>
      <c r="H62" s="24">
        <v>6</v>
      </c>
      <c r="I62" s="24">
        <v>8</v>
      </c>
      <c r="J62" s="157">
        <v>50000000</v>
      </c>
      <c r="K62" s="157">
        <v>70787848</v>
      </c>
      <c r="L62" s="157">
        <v>33368202</v>
      </c>
      <c r="M62" s="157">
        <v>43277527</v>
      </c>
      <c r="N62" s="23" t="str">
        <f t="shared" si="0"/>
        <v>INTERESANTE</v>
      </c>
      <c r="O62" s="23" t="str">
        <f t="shared" si="1"/>
        <v/>
      </c>
      <c r="P62" s="23" t="str">
        <f t="shared" si="2"/>
        <v/>
      </c>
      <c r="Q62" s="23" t="str">
        <f t="shared" si="3"/>
        <v>SATISFECHO</v>
      </c>
      <c r="R62" s="23" t="str">
        <f t="shared" si="4"/>
        <v>DESCONOCE</v>
      </c>
      <c r="S62" s="23" t="str">
        <f t="shared" si="5"/>
        <v>DESCARTADO</v>
      </c>
    </row>
    <row r="63" spans="1:19">
      <c r="A63" s="23" t="s">
        <v>31</v>
      </c>
      <c r="B63" s="137" t="s">
        <v>356</v>
      </c>
      <c r="C63" s="24" t="s">
        <v>32</v>
      </c>
      <c r="D63" s="24" t="s">
        <v>21</v>
      </c>
      <c r="E63" s="24" t="s">
        <v>17</v>
      </c>
      <c r="F63" s="25" t="s">
        <v>23</v>
      </c>
      <c r="G63" s="24" t="s">
        <v>30</v>
      </c>
      <c r="H63" s="24">
        <v>7</v>
      </c>
      <c r="I63" s="24">
        <v>5</v>
      </c>
      <c r="J63" s="157">
        <v>0</v>
      </c>
      <c r="K63" s="157">
        <v>0</v>
      </c>
      <c r="L63" s="157">
        <v>46563396</v>
      </c>
      <c r="M63" s="157">
        <v>63313535</v>
      </c>
      <c r="N63" s="23" t="str">
        <f t="shared" si="0"/>
        <v/>
      </c>
      <c r="O63" s="23" t="str">
        <f t="shared" si="1"/>
        <v/>
      </c>
      <c r="P63" s="23" t="str">
        <f t="shared" si="2"/>
        <v/>
      </c>
      <c r="Q63" s="23" t="str">
        <f t="shared" si="3"/>
        <v>INSATISFECHO</v>
      </c>
      <c r="R63" s="23" t="str">
        <f t="shared" si="4"/>
        <v>CONOCE</v>
      </c>
      <c r="S63" s="23" t="str">
        <f t="shared" si="5"/>
        <v>DESCARTADO</v>
      </c>
    </row>
    <row r="64" spans="1:19">
      <c r="A64" s="23" t="s">
        <v>111</v>
      </c>
      <c r="B64" s="137" t="s">
        <v>357</v>
      </c>
      <c r="C64" s="24" t="s">
        <v>72</v>
      </c>
      <c r="D64" s="24" t="s">
        <v>21</v>
      </c>
      <c r="E64" s="24" t="s">
        <v>10</v>
      </c>
      <c r="F64" s="24" t="s">
        <v>11</v>
      </c>
      <c r="G64" s="24" t="s">
        <v>12</v>
      </c>
      <c r="H64" s="24">
        <v>5</v>
      </c>
      <c r="I64" s="24">
        <v>6</v>
      </c>
      <c r="J64" s="157">
        <v>20000000</v>
      </c>
      <c r="K64" s="157">
        <v>40064620</v>
      </c>
      <c r="L64" s="157">
        <v>98137438</v>
      </c>
      <c r="M64" s="157">
        <v>0</v>
      </c>
      <c r="N64" s="23" t="str">
        <f t="shared" si="0"/>
        <v/>
      </c>
      <c r="O64" s="23" t="str">
        <f t="shared" si="1"/>
        <v/>
      </c>
      <c r="P64" s="23" t="str">
        <f t="shared" si="2"/>
        <v/>
      </c>
      <c r="Q64" s="23" t="str">
        <f t="shared" si="3"/>
        <v>INSATISFECHO</v>
      </c>
      <c r="R64" s="23" t="str">
        <f t="shared" si="4"/>
        <v>DESCONOCE</v>
      </c>
      <c r="S64" s="23" t="str">
        <f t="shared" si="5"/>
        <v>DESCARTADO</v>
      </c>
    </row>
    <row r="65" spans="1:19">
      <c r="A65" s="23" t="s">
        <v>81</v>
      </c>
      <c r="B65" s="137" t="s">
        <v>358</v>
      </c>
      <c r="C65" s="24" t="s">
        <v>13</v>
      </c>
      <c r="D65" s="24" t="s">
        <v>21</v>
      </c>
      <c r="E65" s="24" t="s">
        <v>10</v>
      </c>
      <c r="F65" s="24" t="s">
        <v>27</v>
      </c>
      <c r="G65" s="24" t="s">
        <v>12</v>
      </c>
      <c r="H65" s="24">
        <v>4</v>
      </c>
      <c r="I65" s="24">
        <v>6</v>
      </c>
      <c r="J65" s="157">
        <v>30000000</v>
      </c>
      <c r="K65" s="157">
        <v>45289360</v>
      </c>
      <c r="L65" s="157">
        <v>0</v>
      </c>
      <c r="M65" s="157">
        <v>46980526</v>
      </c>
      <c r="N65" s="23" t="str">
        <f t="shared" si="0"/>
        <v/>
      </c>
      <c r="O65" s="23" t="str">
        <f t="shared" si="1"/>
        <v/>
      </c>
      <c r="P65" s="23" t="str">
        <f t="shared" si="2"/>
        <v/>
      </c>
      <c r="Q65" s="23" t="str">
        <f t="shared" si="3"/>
        <v>INSATISFECHO</v>
      </c>
      <c r="R65" s="23" t="str">
        <f t="shared" si="4"/>
        <v>DESCONOCE</v>
      </c>
      <c r="S65" s="23" t="str">
        <f t="shared" si="5"/>
        <v>NO ELEGIDO</v>
      </c>
    </row>
    <row r="66" spans="1:19">
      <c r="A66" s="23" t="s">
        <v>50</v>
      </c>
      <c r="B66" s="137" t="s">
        <v>359</v>
      </c>
      <c r="C66" s="24" t="s">
        <v>13</v>
      </c>
      <c r="D66" s="24" t="s">
        <v>25</v>
      </c>
      <c r="E66" s="24" t="s">
        <v>10</v>
      </c>
      <c r="F66" s="24" t="s">
        <v>27</v>
      </c>
      <c r="G66" s="24" t="s">
        <v>12</v>
      </c>
      <c r="H66" s="24">
        <v>7</v>
      </c>
      <c r="I66" s="24">
        <v>5</v>
      </c>
      <c r="J66" s="157">
        <v>30000000</v>
      </c>
      <c r="K66" s="157">
        <v>34397393</v>
      </c>
      <c r="L66" s="157">
        <v>72192037</v>
      </c>
      <c r="M66" s="157">
        <v>21247716</v>
      </c>
      <c r="N66" s="23" t="str">
        <f t="shared" si="0"/>
        <v/>
      </c>
      <c r="O66" s="23" t="str">
        <f t="shared" si="1"/>
        <v/>
      </c>
      <c r="P66" s="23" t="str">
        <f t="shared" si="2"/>
        <v/>
      </c>
      <c r="Q66" s="23" t="str">
        <f t="shared" si="3"/>
        <v>INSATISFECHO</v>
      </c>
      <c r="R66" s="23" t="str">
        <f t="shared" si="4"/>
        <v>DESCONOCE</v>
      </c>
      <c r="S66" s="23" t="str">
        <f t="shared" si="5"/>
        <v>NO ELEGIDO</v>
      </c>
    </row>
    <row r="67" spans="1:19">
      <c r="A67" s="23" t="s">
        <v>123</v>
      </c>
      <c r="B67" s="137" t="s">
        <v>360</v>
      </c>
      <c r="C67" s="24" t="s">
        <v>13</v>
      </c>
      <c r="D67" s="24" t="s">
        <v>21</v>
      </c>
      <c r="E67" s="24" t="s">
        <v>17</v>
      </c>
      <c r="F67" s="25" t="s">
        <v>18</v>
      </c>
      <c r="G67" s="24" t="s">
        <v>30</v>
      </c>
      <c r="H67" s="24">
        <v>3</v>
      </c>
      <c r="I67" s="24">
        <v>9</v>
      </c>
      <c r="J67" s="157">
        <v>0</v>
      </c>
      <c r="K67" s="157">
        <v>0</v>
      </c>
      <c r="L67" s="157">
        <v>69870077</v>
      </c>
      <c r="M67" s="157">
        <v>98441580</v>
      </c>
      <c r="N67" s="23" t="str">
        <f t="shared" si="0"/>
        <v/>
      </c>
      <c r="O67" s="23" t="str">
        <f t="shared" si="1"/>
        <v/>
      </c>
      <c r="P67" s="23" t="str">
        <f t="shared" si="2"/>
        <v/>
      </c>
      <c r="Q67" s="23" t="str">
        <f t="shared" si="3"/>
        <v>SATISFECHO</v>
      </c>
      <c r="R67" s="23" t="str">
        <f t="shared" si="4"/>
        <v>CONOCE</v>
      </c>
      <c r="S67" s="23" t="str">
        <f t="shared" si="5"/>
        <v>NO ELEGIDO</v>
      </c>
    </row>
    <row r="68" spans="1:19">
      <c r="A68" s="23" t="s">
        <v>26</v>
      </c>
      <c r="B68" s="137" t="s">
        <v>361</v>
      </c>
      <c r="C68" s="25" t="s">
        <v>28</v>
      </c>
      <c r="D68" s="24" t="s">
        <v>25</v>
      </c>
      <c r="E68" s="24" t="s">
        <v>10</v>
      </c>
      <c r="F68" s="24" t="s">
        <v>27</v>
      </c>
      <c r="G68" s="24" t="s">
        <v>12</v>
      </c>
      <c r="H68" s="24">
        <v>3</v>
      </c>
      <c r="I68" s="24">
        <v>6</v>
      </c>
      <c r="J68" s="157">
        <v>1000000</v>
      </c>
      <c r="K68" s="157">
        <v>34126405</v>
      </c>
      <c r="L68" s="157">
        <v>88265167</v>
      </c>
      <c r="M68" s="157">
        <v>56002928</v>
      </c>
      <c r="N68" s="23" t="str">
        <f t="shared" si="0"/>
        <v/>
      </c>
      <c r="O68" s="23" t="str">
        <f t="shared" si="1"/>
        <v/>
      </c>
      <c r="P68" s="23" t="str">
        <f t="shared" si="2"/>
        <v/>
      </c>
      <c r="Q68" s="23" t="str">
        <f t="shared" si="3"/>
        <v>INSATISFECHO</v>
      </c>
      <c r="R68" s="23" t="str">
        <f t="shared" si="4"/>
        <v>DESCONOCE</v>
      </c>
      <c r="S68" s="23" t="str">
        <f t="shared" si="5"/>
        <v>DESCARTADO</v>
      </c>
    </row>
    <row r="69" spans="1:19">
      <c r="A69" s="23" t="s">
        <v>41</v>
      </c>
      <c r="B69" s="137" t="s">
        <v>362</v>
      </c>
      <c r="C69" s="24" t="s">
        <v>13</v>
      </c>
      <c r="D69" s="24" t="s">
        <v>21</v>
      </c>
      <c r="E69" s="24" t="s">
        <v>10</v>
      </c>
      <c r="F69" s="24" t="s">
        <v>11</v>
      </c>
      <c r="G69" s="24" t="s">
        <v>12</v>
      </c>
      <c r="H69" s="24">
        <v>7</v>
      </c>
      <c r="I69" s="24">
        <v>10</v>
      </c>
      <c r="J69" s="157">
        <v>1000000</v>
      </c>
      <c r="K69" s="157">
        <v>53008255</v>
      </c>
      <c r="L69" s="157">
        <v>46917910</v>
      </c>
      <c r="M69" s="157">
        <v>47557281</v>
      </c>
      <c r="N69" s="23" t="str">
        <f t="shared" si="0"/>
        <v/>
      </c>
      <c r="O69" s="23" t="str">
        <f t="shared" si="1"/>
        <v/>
      </c>
      <c r="P69" s="23" t="str">
        <f t="shared" si="2"/>
        <v/>
      </c>
      <c r="Q69" s="23" t="str">
        <f t="shared" si="3"/>
        <v>SATISFECHO</v>
      </c>
      <c r="R69" s="23" t="str">
        <f t="shared" si="4"/>
        <v>DESCONOCE</v>
      </c>
      <c r="S69" s="23" t="str">
        <f t="shared" si="5"/>
        <v>NO ELEGIDO</v>
      </c>
    </row>
    <row r="70" spans="1:19">
      <c r="A70" s="23" t="s">
        <v>73</v>
      </c>
      <c r="B70" s="137" t="s">
        <v>363</v>
      </c>
      <c r="C70" s="24" t="s">
        <v>13</v>
      </c>
      <c r="D70" s="24" t="s">
        <v>21</v>
      </c>
      <c r="E70" s="24" t="s">
        <v>17</v>
      </c>
      <c r="F70" s="25" t="s">
        <v>18</v>
      </c>
      <c r="G70" s="24" t="s">
        <v>12</v>
      </c>
      <c r="H70" s="24">
        <v>5</v>
      </c>
      <c r="I70" s="24">
        <v>9</v>
      </c>
      <c r="J70" s="157">
        <v>0</v>
      </c>
      <c r="K70" s="157">
        <v>0</v>
      </c>
      <c r="L70" s="157">
        <v>0</v>
      </c>
      <c r="M70" s="157">
        <v>22675260</v>
      </c>
      <c r="N70" s="23" t="str">
        <f t="shared" si="0"/>
        <v/>
      </c>
      <c r="O70" s="23" t="str">
        <f t="shared" si="1"/>
        <v/>
      </c>
      <c r="P70" s="23" t="str">
        <f t="shared" si="2"/>
        <v/>
      </c>
      <c r="Q70" s="23" t="str">
        <f t="shared" si="3"/>
        <v>SATISFECHO</v>
      </c>
      <c r="R70" s="23" t="str">
        <f t="shared" si="4"/>
        <v>DESCONOCE</v>
      </c>
      <c r="S70" s="23" t="str">
        <f t="shared" si="5"/>
        <v>NO ELEGIDO</v>
      </c>
    </row>
    <row r="71" spans="1:19">
      <c r="A71" s="23" t="s">
        <v>88</v>
      </c>
      <c r="B71" s="137" t="s">
        <v>364</v>
      </c>
      <c r="C71" s="25" t="s">
        <v>89</v>
      </c>
      <c r="D71" s="24" t="s">
        <v>21</v>
      </c>
      <c r="E71" s="24" t="s">
        <v>10</v>
      </c>
      <c r="F71" s="24" t="s">
        <v>11</v>
      </c>
      <c r="G71" s="24" t="s">
        <v>12</v>
      </c>
      <c r="H71" s="24">
        <v>9</v>
      </c>
      <c r="I71" s="24">
        <v>5</v>
      </c>
      <c r="J71" s="157">
        <v>100000000</v>
      </c>
      <c r="K71" s="157">
        <v>94688720</v>
      </c>
      <c r="L71" s="157">
        <v>86323763</v>
      </c>
      <c r="M71" s="157">
        <v>20929788</v>
      </c>
      <c r="N71" s="23" t="str">
        <f t="shared" si="0"/>
        <v>INTERESANTE</v>
      </c>
      <c r="O71" s="23" t="str">
        <f t="shared" si="1"/>
        <v/>
      </c>
      <c r="P71" s="23" t="str">
        <f t="shared" si="2"/>
        <v/>
      </c>
      <c r="Q71" s="23" t="str">
        <f t="shared" si="3"/>
        <v>INSATISFECHO</v>
      </c>
      <c r="R71" s="23" t="str">
        <f t="shared" si="4"/>
        <v>DESCONOCE</v>
      </c>
      <c r="S71" s="23" t="str">
        <f t="shared" si="5"/>
        <v>DESCARTADO</v>
      </c>
    </row>
    <row r="72" spans="1:19">
      <c r="A72" s="23" t="s">
        <v>133</v>
      </c>
      <c r="B72" s="137" t="s">
        <v>365</v>
      </c>
      <c r="C72" s="24" t="s">
        <v>13</v>
      </c>
      <c r="D72" s="24" t="s">
        <v>54</v>
      </c>
      <c r="E72" s="24" t="s">
        <v>55</v>
      </c>
      <c r="F72" s="24" t="s">
        <v>56</v>
      </c>
      <c r="G72" s="24" t="s">
        <v>12</v>
      </c>
      <c r="H72" s="24">
        <v>4</v>
      </c>
      <c r="I72" s="24">
        <v>8</v>
      </c>
      <c r="J72" s="157">
        <v>0</v>
      </c>
      <c r="K72" s="157">
        <v>0</v>
      </c>
      <c r="L72" s="157">
        <v>96750826</v>
      </c>
      <c r="M72" s="157">
        <v>31435769</v>
      </c>
      <c r="N72" s="23" t="str">
        <f t="shared" si="0"/>
        <v/>
      </c>
      <c r="O72" s="23" t="str">
        <f t="shared" si="1"/>
        <v/>
      </c>
      <c r="P72" s="23" t="str">
        <f t="shared" si="2"/>
        <v/>
      </c>
      <c r="Q72" s="23" t="str">
        <f t="shared" si="3"/>
        <v>SATISFECHO</v>
      </c>
      <c r="R72" s="23" t="str">
        <f t="shared" si="4"/>
        <v>DESCONOCE</v>
      </c>
      <c r="S72" s="23" t="str">
        <f t="shared" si="5"/>
        <v>ELEGIDO</v>
      </c>
    </row>
    <row r="73" spans="1:19">
      <c r="A73" s="23" t="s">
        <v>67</v>
      </c>
      <c r="B73" s="137" t="s">
        <v>366</v>
      </c>
      <c r="C73" s="24" t="s">
        <v>13</v>
      </c>
      <c r="D73" s="24" t="s">
        <v>25</v>
      </c>
      <c r="E73" s="24" t="s">
        <v>10</v>
      </c>
      <c r="F73" s="24" t="s">
        <v>11</v>
      </c>
      <c r="G73" s="24" t="s">
        <v>12</v>
      </c>
      <c r="H73" s="24">
        <v>5</v>
      </c>
      <c r="I73" s="24">
        <v>10</v>
      </c>
      <c r="J73" s="157">
        <v>10000000</v>
      </c>
      <c r="K73" s="157">
        <v>89686683</v>
      </c>
      <c r="L73" s="157">
        <v>62448793</v>
      </c>
      <c r="M73" s="157">
        <v>26812600</v>
      </c>
      <c r="N73" s="23" t="str">
        <f t="shared" si="0"/>
        <v/>
      </c>
      <c r="O73" s="23" t="str">
        <f t="shared" si="1"/>
        <v/>
      </c>
      <c r="P73" s="23" t="str">
        <f t="shared" si="2"/>
        <v/>
      </c>
      <c r="Q73" s="23" t="str">
        <f t="shared" si="3"/>
        <v>SATISFECHO</v>
      </c>
      <c r="R73" s="23" t="str">
        <f t="shared" si="4"/>
        <v>DESCONOCE</v>
      </c>
      <c r="S73" s="23" t="str">
        <f t="shared" si="5"/>
        <v>NO ELEGIDO</v>
      </c>
    </row>
    <row r="74" spans="1:19">
      <c r="A74" s="23" t="s">
        <v>84</v>
      </c>
      <c r="B74" s="137" t="s">
        <v>367</v>
      </c>
      <c r="C74" s="24" t="s">
        <v>13</v>
      </c>
      <c r="D74" s="24" t="s">
        <v>21</v>
      </c>
      <c r="E74" s="24" t="s">
        <v>10</v>
      </c>
      <c r="F74" s="24" t="s">
        <v>27</v>
      </c>
      <c r="G74" s="24" t="s">
        <v>12</v>
      </c>
      <c r="H74" s="24">
        <v>3</v>
      </c>
      <c r="I74" s="24">
        <v>10</v>
      </c>
      <c r="J74" s="157">
        <v>30000000</v>
      </c>
      <c r="K74" s="157">
        <v>32890743</v>
      </c>
      <c r="L74" s="157">
        <v>0</v>
      </c>
      <c r="M74" s="157">
        <v>39864620</v>
      </c>
      <c r="N74" s="23" t="str">
        <f t="shared" si="0"/>
        <v/>
      </c>
      <c r="O74" s="23" t="str">
        <f t="shared" si="1"/>
        <v/>
      </c>
      <c r="P74" s="23" t="str">
        <f t="shared" si="2"/>
        <v/>
      </c>
      <c r="Q74" s="23" t="str">
        <f t="shared" si="3"/>
        <v>SATISFECHO</v>
      </c>
      <c r="R74" s="23" t="str">
        <f t="shared" si="4"/>
        <v>DESCONOCE</v>
      </c>
      <c r="S74" s="23" t="str">
        <f t="shared" si="5"/>
        <v>NO ELEGIDO</v>
      </c>
    </row>
    <row r="75" spans="1:19">
      <c r="A75" s="23" t="s">
        <v>38</v>
      </c>
      <c r="B75" s="137" t="s">
        <v>368</v>
      </c>
      <c r="C75" s="24" t="s">
        <v>13</v>
      </c>
      <c r="D75" s="24" t="s">
        <v>25</v>
      </c>
      <c r="E75" s="24" t="s">
        <v>10</v>
      </c>
      <c r="F75" s="24" t="s">
        <v>11</v>
      </c>
      <c r="G75" s="24" t="s">
        <v>12</v>
      </c>
      <c r="H75" s="24">
        <v>3</v>
      </c>
      <c r="I75" s="24">
        <v>10</v>
      </c>
      <c r="J75" s="157">
        <v>10000000</v>
      </c>
      <c r="K75" s="157">
        <v>32370896</v>
      </c>
      <c r="L75" s="157">
        <v>96066942</v>
      </c>
      <c r="M75" s="157">
        <v>3767736</v>
      </c>
      <c r="N75" s="23" t="str">
        <f t="shared" si="0"/>
        <v/>
      </c>
      <c r="O75" s="23" t="str">
        <f t="shared" si="1"/>
        <v/>
      </c>
      <c r="P75" s="23" t="str">
        <f t="shared" si="2"/>
        <v/>
      </c>
      <c r="Q75" s="23" t="str">
        <f t="shared" si="3"/>
        <v>SATISFECHO</v>
      </c>
      <c r="R75" s="23" t="str">
        <f t="shared" si="4"/>
        <v>DESCONOCE</v>
      </c>
      <c r="S75" s="23" t="str">
        <f t="shared" si="5"/>
        <v>NO ELEGIDO</v>
      </c>
    </row>
    <row r="76" spans="1:19">
      <c r="A76" s="23" t="s">
        <v>24</v>
      </c>
      <c r="B76" s="137" t="s">
        <v>369</v>
      </c>
      <c r="C76" s="24" t="s">
        <v>13</v>
      </c>
      <c r="D76" s="24" t="s">
        <v>25</v>
      </c>
      <c r="E76" s="24" t="s">
        <v>17</v>
      </c>
      <c r="F76" s="25" t="s">
        <v>23</v>
      </c>
      <c r="G76" s="24" t="s">
        <v>12</v>
      </c>
      <c r="H76" s="24">
        <v>5</v>
      </c>
      <c r="I76" s="24">
        <v>5</v>
      </c>
      <c r="J76" s="157">
        <v>0</v>
      </c>
      <c r="K76" s="157">
        <v>0</v>
      </c>
      <c r="L76" s="157">
        <v>24514428</v>
      </c>
      <c r="M76" s="157">
        <v>27890231</v>
      </c>
      <c r="N76" s="23" t="str">
        <f t="shared" si="0"/>
        <v/>
      </c>
      <c r="O76" s="23" t="str">
        <f t="shared" si="1"/>
        <v/>
      </c>
      <c r="P76" s="23" t="str">
        <f t="shared" si="2"/>
        <v/>
      </c>
      <c r="Q76" s="23" t="str">
        <f t="shared" si="3"/>
        <v>INSATISFECHO</v>
      </c>
      <c r="R76" s="23" t="str">
        <f t="shared" si="4"/>
        <v>DESCONOCE</v>
      </c>
      <c r="S76" s="23" t="str">
        <f t="shared" si="5"/>
        <v>NO ELEGIDO</v>
      </c>
    </row>
    <row r="77" spans="1:19">
      <c r="A77" s="23" t="s">
        <v>37</v>
      </c>
      <c r="B77" s="137" t="s">
        <v>370</v>
      </c>
      <c r="C77" s="24" t="s">
        <v>13</v>
      </c>
      <c r="D77" s="24" t="s">
        <v>21</v>
      </c>
      <c r="E77" s="24" t="s">
        <v>10</v>
      </c>
      <c r="F77" s="24" t="s">
        <v>11</v>
      </c>
      <c r="G77" s="24" t="s">
        <v>30</v>
      </c>
      <c r="H77" s="24">
        <v>7</v>
      </c>
      <c r="I77" s="24">
        <v>7</v>
      </c>
      <c r="J77" s="157">
        <v>10000000</v>
      </c>
      <c r="K77" s="157">
        <v>31953589</v>
      </c>
      <c r="L77" s="157">
        <v>40068224</v>
      </c>
      <c r="M77" s="157">
        <v>80951038</v>
      </c>
      <c r="N77" s="23" t="str">
        <f t="shared" si="0"/>
        <v/>
      </c>
      <c r="O77" s="23" t="str">
        <f t="shared" si="1"/>
        <v/>
      </c>
      <c r="P77" s="23" t="str">
        <f t="shared" si="2"/>
        <v/>
      </c>
      <c r="Q77" s="23" t="str">
        <f t="shared" si="3"/>
        <v>INSATISFECHO</v>
      </c>
      <c r="R77" s="23" t="str">
        <f t="shared" si="4"/>
        <v>CONOCE</v>
      </c>
      <c r="S77" s="23" t="str">
        <f t="shared" si="5"/>
        <v>NO ELEGIDO</v>
      </c>
    </row>
    <row r="78" spans="1:19">
      <c r="A78" s="23" t="s">
        <v>49</v>
      </c>
      <c r="B78" s="137" t="s">
        <v>371</v>
      </c>
      <c r="C78" s="24" t="s">
        <v>13</v>
      </c>
      <c r="D78" s="24" t="s">
        <v>21</v>
      </c>
      <c r="E78" s="24" t="s">
        <v>10</v>
      </c>
      <c r="F78" s="24" t="s">
        <v>11</v>
      </c>
      <c r="G78" s="24" t="s">
        <v>12</v>
      </c>
      <c r="H78" s="24">
        <v>7</v>
      </c>
      <c r="I78" s="24">
        <v>5</v>
      </c>
      <c r="J78" s="157">
        <v>50000000</v>
      </c>
      <c r="K78" s="157">
        <v>78205651</v>
      </c>
      <c r="L78" s="157">
        <v>62381180</v>
      </c>
      <c r="M78" s="157">
        <v>6508585</v>
      </c>
      <c r="N78" s="23" t="str">
        <f t="shared" ref="N78:N112" si="6">IF(J78&gt;=50000000,"INTERESANTE","")</f>
        <v>INTERESANTE</v>
      </c>
      <c r="O78" s="23" t="str">
        <f t="shared" ref="O78:O112" si="7">IF(D78="Agroindustrial",IF(M78&gt;=1,"Agro2016",""),"")</f>
        <v/>
      </c>
      <c r="P78" s="23" t="str">
        <f t="shared" ref="P78:P112" si="8">IF(D78&lt;&gt;"Agroindustrial",IF(M78&gt;1,"",""),"AGRO2016")</f>
        <v/>
      </c>
      <c r="Q78" s="23" t="str">
        <f t="shared" ref="Q78:Q112" si="9">IF(I78&gt;7,"SATISFECHO","INSATISFECHO")</f>
        <v>INSATISFECHO</v>
      </c>
      <c r="R78" s="23" t="str">
        <f t="shared" ref="R78:R112" si="10">IF(G78="SI","CONOCE","DESCONOCE")</f>
        <v>DESCONOCE</v>
      </c>
      <c r="S78" s="23" t="str">
        <f t="shared" ref="S78:S112" si="11">IF(C78="COLOMBIA",IF(D78="Educación","ELEGIDO","NO ELEGIDO"),"DESCARTADO")</f>
        <v>NO ELEGIDO</v>
      </c>
    </row>
    <row r="79" spans="1:19">
      <c r="A79" s="23" t="s">
        <v>119</v>
      </c>
      <c r="B79" s="137" t="s">
        <v>372</v>
      </c>
      <c r="C79" s="24" t="s">
        <v>13</v>
      </c>
      <c r="D79" s="24" t="s">
        <v>15</v>
      </c>
      <c r="E79" s="24" t="s">
        <v>17</v>
      </c>
      <c r="F79" s="25" t="s">
        <v>18</v>
      </c>
      <c r="G79" s="24" t="s">
        <v>12</v>
      </c>
      <c r="H79" s="24">
        <v>5</v>
      </c>
      <c r="I79" s="24">
        <v>4</v>
      </c>
      <c r="J79" s="157">
        <v>0</v>
      </c>
      <c r="K79" s="157">
        <v>0</v>
      </c>
      <c r="L79" s="157">
        <v>34584522</v>
      </c>
      <c r="M79" s="157">
        <v>0</v>
      </c>
      <c r="N79" s="23" t="str">
        <f t="shared" si="6"/>
        <v/>
      </c>
      <c r="O79" s="23" t="str">
        <f t="shared" si="7"/>
        <v/>
      </c>
      <c r="P79" s="23" t="str">
        <f t="shared" si="8"/>
        <v>AGRO2016</v>
      </c>
      <c r="Q79" s="23" t="str">
        <f t="shared" si="9"/>
        <v>INSATISFECHO</v>
      </c>
      <c r="R79" s="23" t="str">
        <f t="shared" si="10"/>
        <v>DESCONOCE</v>
      </c>
      <c r="S79" s="23" t="str">
        <f t="shared" si="11"/>
        <v>NO ELEGIDO</v>
      </c>
    </row>
    <row r="80" spans="1:19">
      <c r="A80" s="23" t="s">
        <v>86</v>
      </c>
      <c r="B80" s="137" t="s">
        <v>373</v>
      </c>
      <c r="C80" s="25" t="s">
        <v>87</v>
      </c>
      <c r="D80" s="24" t="s">
        <v>21</v>
      </c>
      <c r="E80" s="24" t="s">
        <v>55</v>
      </c>
      <c r="F80" s="24" t="s">
        <v>80</v>
      </c>
      <c r="G80" s="24" t="s">
        <v>12</v>
      </c>
      <c r="H80" s="24">
        <v>7</v>
      </c>
      <c r="I80" s="24">
        <v>7</v>
      </c>
      <c r="J80" s="157">
        <v>0</v>
      </c>
      <c r="K80" s="157">
        <v>0</v>
      </c>
      <c r="L80" s="157">
        <v>76942676</v>
      </c>
      <c r="M80" s="157">
        <v>74216691</v>
      </c>
      <c r="N80" s="23" t="str">
        <f t="shared" si="6"/>
        <v/>
      </c>
      <c r="O80" s="23" t="str">
        <f t="shared" si="7"/>
        <v/>
      </c>
      <c r="P80" s="23" t="str">
        <f t="shared" si="8"/>
        <v/>
      </c>
      <c r="Q80" s="23" t="str">
        <f t="shared" si="9"/>
        <v>INSATISFECHO</v>
      </c>
      <c r="R80" s="23" t="str">
        <f t="shared" si="10"/>
        <v>DESCONOCE</v>
      </c>
      <c r="S80" s="23" t="str">
        <f t="shared" si="11"/>
        <v>DESCARTADO</v>
      </c>
    </row>
    <row r="81" spans="1:19">
      <c r="A81" s="23" t="s">
        <v>47</v>
      </c>
      <c r="B81" s="137" t="s">
        <v>374</v>
      </c>
      <c r="C81" s="24" t="s">
        <v>32</v>
      </c>
      <c r="D81" s="24" t="s">
        <v>25</v>
      </c>
      <c r="E81" s="24" t="s">
        <v>10</v>
      </c>
      <c r="F81" s="24" t="s">
        <v>27</v>
      </c>
      <c r="G81" s="24" t="s">
        <v>30</v>
      </c>
      <c r="H81" s="24">
        <v>8</v>
      </c>
      <c r="I81" s="24">
        <v>9</v>
      </c>
      <c r="J81" s="157">
        <v>5000000</v>
      </c>
      <c r="K81" s="157">
        <v>70270294</v>
      </c>
      <c r="L81" s="157">
        <v>19588762</v>
      </c>
      <c r="M81" s="157">
        <v>78634577</v>
      </c>
      <c r="N81" s="23" t="str">
        <f t="shared" si="6"/>
        <v/>
      </c>
      <c r="O81" s="23" t="str">
        <f t="shared" si="7"/>
        <v/>
      </c>
      <c r="P81" s="23" t="str">
        <f t="shared" si="8"/>
        <v/>
      </c>
      <c r="Q81" s="23" t="str">
        <f t="shared" si="9"/>
        <v>SATISFECHO</v>
      </c>
      <c r="R81" s="23" t="str">
        <f t="shared" si="10"/>
        <v>CONOCE</v>
      </c>
      <c r="S81" s="23" t="str">
        <f t="shared" si="11"/>
        <v>DESCARTADO</v>
      </c>
    </row>
    <row r="82" spans="1:19">
      <c r="A82" s="23" t="s">
        <v>59</v>
      </c>
      <c r="B82" s="137" t="s">
        <v>375</v>
      </c>
      <c r="C82" s="24" t="s">
        <v>13</v>
      </c>
      <c r="D82" s="24" t="s">
        <v>15</v>
      </c>
      <c r="E82" s="24" t="s">
        <v>17</v>
      </c>
      <c r="F82" s="25" t="s">
        <v>18</v>
      </c>
      <c r="G82" s="24" t="s">
        <v>12</v>
      </c>
      <c r="H82" s="24">
        <v>3</v>
      </c>
      <c r="I82" s="24">
        <v>5</v>
      </c>
      <c r="J82" s="157">
        <v>0</v>
      </c>
      <c r="K82" s="157">
        <v>0</v>
      </c>
      <c r="L82" s="157">
        <v>85955846</v>
      </c>
      <c r="M82" s="157">
        <v>25891596</v>
      </c>
      <c r="N82" s="23" t="str">
        <f t="shared" si="6"/>
        <v/>
      </c>
      <c r="O82" s="23" t="str">
        <f t="shared" si="7"/>
        <v>Agro2016</v>
      </c>
      <c r="P82" s="23" t="str">
        <f t="shared" si="8"/>
        <v>AGRO2016</v>
      </c>
      <c r="Q82" s="23" t="str">
        <f t="shared" si="9"/>
        <v>INSATISFECHO</v>
      </c>
      <c r="R82" s="23" t="str">
        <f t="shared" si="10"/>
        <v>DESCONOCE</v>
      </c>
      <c r="S82" s="23" t="str">
        <f t="shared" si="11"/>
        <v>NO ELEGIDO</v>
      </c>
    </row>
    <row r="83" spans="1:19">
      <c r="A83" s="23" t="s">
        <v>94</v>
      </c>
      <c r="B83" s="137" t="s">
        <v>376</v>
      </c>
      <c r="C83" s="24" t="s">
        <v>13</v>
      </c>
      <c r="D83" s="24" t="s">
        <v>15</v>
      </c>
      <c r="E83" s="24" t="s">
        <v>10</v>
      </c>
      <c r="F83" s="24" t="s">
        <v>27</v>
      </c>
      <c r="G83" s="24" t="s">
        <v>30</v>
      </c>
      <c r="H83" s="24">
        <v>8</v>
      </c>
      <c r="I83" s="24">
        <v>10</v>
      </c>
      <c r="J83" s="157">
        <v>20000000</v>
      </c>
      <c r="K83" s="157">
        <v>62745331</v>
      </c>
      <c r="L83" s="157">
        <v>39843357</v>
      </c>
      <c r="M83" s="157">
        <v>64840967</v>
      </c>
      <c r="N83" s="23" t="str">
        <f t="shared" si="6"/>
        <v/>
      </c>
      <c r="O83" s="23" t="str">
        <f t="shared" si="7"/>
        <v>Agro2016</v>
      </c>
      <c r="P83" s="23" t="str">
        <f t="shared" si="8"/>
        <v>AGRO2016</v>
      </c>
      <c r="Q83" s="23" t="str">
        <f t="shared" si="9"/>
        <v>SATISFECHO</v>
      </c>
      <c r="R83" s="23" t="str">
        <f t="shared" si="10"/>
        <v>CONOCE</v>
      </c>
      <c r="S83" s="23" t="str">
        <f t="shared" si="11"/>
        <v>NO ELEGIDO</v>
      </c>
    </row>
    <row r="84" spans="1:19">
      <c r="A84" s="23" t="s">
        <v>46</v>
      </c>
      <c r="B84" s="137" t="s">
        <v>377</v>
      </c>
      <c r="C84" s="24" t="s">
        <v>13</v>
      </c>
      <c r="D84" s="24" t="s">
        <v>21</v>
      </c>
      <c r="E84" s="24" t="s">
        <v>17</v>
      </c>
      <c r="F84" s="25" t="s">
        <v>23</v>
      </c>
      <c r="G84" s="24" t="s">
        <v>12</v>
      </c>
      <c r="H84" s="24">
        <v>5</v>
      </c>
      <c r="I84" s="24">
        <v>7</v>
      </c>
      <c r="J84" s="157">
        <v>0</v>
      </c>
      <c r="K84" s="157">
        <v>0</v>
      </c>
      <c r="L84" s="157">
        <v>82583322</v>
      </c>
      <c r="M84" s="157">
        <v>809058</v>
      </c>
      <c r="N84" s="23" t="str">
        <f t="shared" si="6"/>
        <v/>
      </c>
      <c r="O84" s="23" t="str">
        <f t="shared" si="7"/>
        <v/>
      </c>
      <c r="P84" s="23" t="str">
        <f t="shared" si="8"/>
        <v/>
      </c>
      <c r="Q84" s="23" t="str">
        <f t="shared" si="9"/>
        <v>INSATISFECHO</v>
      </c>
      <c r="R84" s="23" t="str">
        <f t="shared" si="10"/>
        <v>DESCONOCE</v>
      </c>
      <c r="S84" s="23" t="str">
        <f t="shared" si="11"/>
        <v>NO ELEGIDO</v>
      </c>
    </row>
    <row r="85" spans="1:19">
      <c r="A85" s="23" t="s">
        <v>116</v>
      </c>
      <c r="B85" s="137" t="s">
        <v>378</v>
      </c>
      <c r="C85" s="24" t="s">
        <v>13</v>
      </c>
      <c r="D85" s="24" t="s">
        <v>21</v>
      </c>
      <c r="E85" s="24" t="s">
        <v>10</v>
      </c>
      <c r="F85" s="24" t="s">
        <v>27</v>
      </c>
      <c r="G85" s="24" t="s">
        <v>30</v>
      </c>
      <c r="H85" s="24">
        <v>6</v>
      </c>
      <c r="I85" s="24">
        <v>6</v>
      </c>
      <c r="J85" s="157">
        <v>10000000</v>
      </c>
      <c r="K85" s="157">
        <v>59890317</v>
      </c>
      <c r="L85" s="157">
        <v>42451842</v>
      </c>
      <c r="M85" s="157">
        <v>0</v>
      </c>
      <c r="N85" s="23" t="str">
        <f t="shared" si="6"/>
        <v/>
      </c>
      <c r="O85" s="23" t="str">
        <f t="shared" si="7"/>
        <v/>
      </c>
      <c r="P85" s="23" t="str">
        <f t="shared" si="8"/>
        <v/>
      </c>
      <c r="Q85" s="23" t="str">
        <f t="shared" si="9"/>
        <v>INSATISFECHO</v>
      </c>
      <c r="R85" s="23" t="str">
        <f t="shared" si="10"/>
        <v>CONOCE</v>
      </c>
      <c r="S85" s="23" t="str">
        <f t="shared" si="11"/>
        <v>NO ELEGIDO</v>
      </c>
    </row>
    <row r="86" spans="1:19">
      <c r="A86" s="23" t="s">
        <v>14</v>
      </c>
      <c r="B86" s="137" t="s">
        <v>379</v>
      </c>
      <c r="C86" s="24" t="s">
        <v>13</v>
      </c>
      <c r="D86" s="24" t="s">
        <v>15</v>
      </c>
      <c r="E86" s="24" t="s">
        <v>10</v>
      </c>
      <c r="F86" s="24" t="s">
        <v>11</v>
      </c>
      <c r="G86" s="24" t="s">
        <v>12</v>
      </c>
      <c r="H86" s="24">
        <v>3</v>
      </c>
      <c r="I86" s="24">
        <v>6</v>
      </c>
      <c r="J86" s="157">
        <v>10000000</v>
      </c>
      <c r="K86" s="157">
        <v>97449662</v>
      </c>
      <c r="L86" s="157">
        <v>49624160</v>
      </c>
      <c r="M86" s="157">
        <v>17854677</v>
      </c>
      <c r="N86" s="23" t="str">
        <f t="shared" si="6"/>
        <v/>
      </c>
      <c r="O86" s="23" t="str">
        <f t="shared" si="7"/>
        <v>Agro2016</v>
      </c>
      <c r="P86" s="23" t="str">
        <f t="shared" si="8"/>
        <v>AGRO2016</v>
      </c>
      <c r="Q86" s="23" t="str">
        <f t="shared" si="9"/>
        <v>INSATISFECHO</v>
      </c>
      <c r="R86" s="23" t="str">
        <f t="shared" si="10"/>
        <v>DESCONOCE</v>
      </c>
      <c r="S86" s="23" t="str">
        <f t="shared" si="11"/>
        <v>NO ELEGIDO</v>
      </c>
    </row>
    <row r="87" spans="1:19">
      <c r="A87" s="23" t="s">
        <v>22</v>
      </c>
      <c r="B87" s="137" t="s">
        <v>380</v>
      </c>
      <c r="C87" s="24" t="s">
        <v>13</v>
      </c>
      <c r="D87" s="24" t="s">
        <v>9</v>
      </c>
      <c r="E87" s="24" t="s">
        <v>17</v>
      </c>
      <c r="F87" s="25" t="s">
        <v>23</v>
      </c>
      <c r="G87" s="24" t="s">
        <v>12</v>
      </c>
      <c r="H87" s="24">
        <v>8</v>
      </c>
      <c r="I87" s="24">
        <v>10</v>
      </c>
      <c r="J87" s="157">
        <v>0</v>
      </c>
      <c r="K87" s="157">
        <v>0</v>
      </c>
      <c r="L87" s="157">
        <v>44422091</v>
      </c>
      <c r="M87" s="157">
        <v>8898260</v>
      </c>
      <c r="N87" s="23" t="str">
        <f t="shared" si="6"/>
        <v/>
      </c>
      <c r="O87" s="23" t="str">
        <f t="shared" si="7"/>
        <v/>
      </c>
      <c r="P87" s="23" t="str">
        <f t="shared" si="8"/>
        <v/>
      </c>
      <c r="Q87" s="23" t="str">
        <f t="shared" si="9"/>
        <v>SATISFECHO</v>
      </c>
      <c r="R87" s="23" t="str">
        <f t="shared" si="10"/>
        <v>DESCONOCE</v>
      </c>
      <c r="S87" s="23" t="str">
        <f t="shared" si="11"/>
        <v>NO ELEGIDO</v>
      </c>
    </row>
    <row r="88" spans="1:19">
      <c r="A88" s="23" t="s">
        <v>71</v>
      </c>
      <c r="B88" s="137" t="s">
        <v>381</v>
      </c>
      <c r="C88" s="25" t="s">
        <v>72</v>
      </c>
      <c r="D88" s="24" t="s">
        <v>21</v>
      </c>
      <c r="E88" s="24" t="s">
        <v>17</v>
      </c>
      <c r="F88" s="25" t="s">
        <v>18</v>
      </c>
      <c r="G88" s="24" t="s">
        <v>12</v>
      </c>
      <c r="H88" s="24">
        <v>5</v>
      </c>
      <c r="I88" s="24">
        <v>7</v>
      </c>
      <c r="J88" s="157">
        <v>0</v>
      </c>
      <c r="K88" s="157">
        <v>0</v>
      </c>
      <c r="L88" s="157">
        <v>0</v>
      </c>
      <c r="M88" s="157">
        <v>63436099</v>
      </c>
      <c r="N88" s="23" t="str">
        <f t="shared" si="6"/>
        <v/>
      </c>
      <c r="O88" s="23" t="str">
        <f t="shared" si="7"/>
        <v/>
      </c>
      <c r="P88" s="23" t="str">
        <f t="shared" si="8"/>
        <v/>
      </c>
      <c r="Q88" s="23" t="str">
        <f t="shared" si="9"/>
        <v>INSATISFECHO</v>
      </c>
      <c r="R88" s="23" t="str">
        <f t="shared" si="10"/>
        <v>DESCONOCE</v>
      </c>
      <c r="S88" s="23" t="str">
        <f t="shared" si="11"/>
        <v>DESCARTADO</v>
      </c>
    </row>
    <row r="89" spans="1:19">
      <c r="A89" s="23" t="s">
        <v>131</v>
      </c>
      <c r="B89" s="137" t="s">
        <v>382</v>
      </c>
      <c r="C89" s="24" t="s">
        <v>13</v>
      </c>
      <c r="D89" s="24" t="s">
        <v>21</v>
      </c>
      <c r="E89" s="24" t="s">
        <v>10</v>
      </c>
      <c r="F89" s="24" t="s">
        <v>11</v>
      </c>
      <c r="G89" s="24" t="s">
        <v>30</v>
      </c>
      <c r="H89" s="24">
        <v>8</v>
      </c>
      <c r="I89" s="24">
        <v>9</v>
      </c>
      <c r="J89" s="157">
        <v>10000000</v>
      </c>
      <c r="K89" s="157">
        <v>99989764</v>
      </c>
      <c r="L89" s="157">
        <v>8030175</v>
      </c>
      <c r="M89" s="157">
        <v>37676206</v>
      </c>
      <c r="N89" s="23" t="str">
        <f t="shared" si="6"/>
        <v/>
      </c>
      <c r="O89" s="23" t="str">
        <f t="shared" si="7"/>
        <v/>
      </c>
      <c r="P89" s="23" t="str">
        <f t="shared" si="8"/>
        <v/>
      </c>
      <c r="Q89" s="23" t="str">
        <f t="shared" si="9"/>
        <v>SATISFECHO</v>
      </c>
      <c r="R89" s="23" t="str">
        <f t="shared" si="10"/>
        <v>CONOCE</v>
      </c>
      <c r="S89" s="23" t="str">
        <f t="shared" si="11"/>
        <v>NO ELEGIDO</v>
      </c>
    </row>
    <row r="90" spans="1:19">
      <c r="A90" s="23" t="s">
        <v>66</v>
      </c>
      <c r="B90" s="137" t="s">
        <v>383</v>
      </c>
      <c r="C90" s="24" t="s">
        <v>13</v>
      </c>
      <c r="D90" s="24" t="s">
        <v>21</v>
      </c>
      <c r="E90" s="24" t="s">
        <v>17</v>
      </c>
      <c r="F90" s="25" t="s">
        <v>18</v>
      </c>
      <c r="G90" s="24" t="s">
        <v>30</v>
      </c>
      <c r="H90" s="24">
        <v>4</v>
      </c>
      <c r="I90" s="24">
        <v>5</v>
      </c>
      <c r="J90" s="157">
        <v>0</v>
      </c>
      <c r="K90" s="157">
        <v>0</v>
      </c>
      <c r="L90" s="157">
        <v>12862402</v>
      </c>
      <c r="M90" s="157">
        <v>68922404</v>
      </c>
      <c r="N90" s="23" t="str">
        <f t="shared" si="6"/>
        <v/>
      </c>
      <c r="O90" s="23" t="str">
        <f t="shared" si="7"/>
        <v/>
      </c>
      <c r="P90" s="23" t="str">
        <f t="shared" si="8"/>
        <v/>
      </c>
      <c r="Q90" s="23" t="str">
        <f t="shared" si="9"/>
        <v>INSATISFECHO</v>
      </c>
      <c r="R90" s="23" t="str">
        <f t="shared" si="10"/>
        <v>CONOCE</v>
      </c>
      <c r="S90" s="23" t="str">
        <f t="shared" si="11"/>
        <v>NO ELEGIDO</v>
      </c>
    </row>
    <row r="91" spans="1:19">
      <c r="A91" s="23" t="s">
        <v>99</v>
      </c>
      <c r="B91" s="137" t="s">
        <v>384</v>
      </c>
      <c r="C91" s="24" t="s">
        <v>13</v>
      </c>
      <c r="D91" s="24" t="s">
        <v>25</v>
      </c>
      <c r="E91" s="24" t="s">
        <v>17</v>
      </c>
      <c r="F91" s="25" t="s">
        <v>18</v>
      </c>
      <c r="G91" s="24" t="s">
        <v>30</v>
      </c>
      <c r="H91" s="24">
        <v>9</v>
      </c>
      <c r="I91" s="24">
        <v>9</v>
      </c>
      <c r="J91" s="157">
        <v>0</v>
      </c>
      <c r="K91" s="157">
        <v>0</v>
      </c>
      <c r="L91" s="157">
        <v>46914257</v>
      </c>
      <c r="M91" s="157">
        <v>43734508</v>
      </c>
      <c r="N91" s="23" t="str">
        <f t="shared" si="6"/>
        <v/>
      </c>
      <c r="O91" s="23" t="str">
        <f t="shared" si="7"/>
        <v/>
      </c>
      <c r="P91" s="23" t="str">
        <f t="shared" si="8"/>
        <v/>
      </c>
      <c r="Q91" s="23" t="str">
        <f t="shared" si="9"/>
        <v>SATISFECHO</v>
      </c>
      <c r="R91" s="23" t="str">
        <f t="shared" si="10"/>
        <v>CONOCE</v>
      </c>
      <c r="S91" s="23" t="str">
        <f t="shared" si="11"/>
        <v>NO ELEGIDO</v>
      </c>
    </row>
    <row r="92" spans="1:19">
      <c r="A92" s="23" t="s">
        <v>114</v>
      </c>
      <c r="B92" s="137" t="s">
        <v>385</v>
      </c>
      <c r="C92" s="56" t="s">
        <v>115</v>
      </c>
      <c r="D92" s="24" t="s">
        <v>54</v>
      </c>
      <c r="E92" s="24" t="s">
        <v>55</v>
      </c>
      <c r="F92" s="24" t="s">
        <v>56</v>
      </c>
      <c r="G92" s="24" t="s">
        <v>12</v>
      </c>
      <c r="H92" s="24">
        <v>6</v>
      </c>
      <c r="I92" s="24">
        <v>10</v>
      </c>
      <c r="J92" s="157">
        <v>0</v>
      </c>
      <c r="K92" s="157">
        <v>0</v>
      </c>
      <c r="L92" s="157">
        <v>95212463</v>
      </c>
      <c r="M92" s="157">
        <v>0</v>
      </c>
      <c r="N92" s="23" t="str">
        <f t="shared" si="6"/>
        <v/>
      </c>
      <c r="O92" s="23" t="str">
        <f t="shared" si="7"/>
        <v/>
      </c>
      <c r="P92" s="23" t="str">
        <f t="shared" si="8"/>
        <v/>
      </c>
      <c r="Q92" s="23" t="str">
        <f t="shared" si="9"/>
        <v>SATISFECHO</v>
      </c>
      <c r="R92" s="23" t="str">
        <f t="shared" si="10"/>
        <v>DESCONOCE</v>
      </c>
      <c r="S92" s="23" t="str">
        <f t="shared" si="11"/>
        <v>DESCARTADO</v>
      </c>
    </row>
    <row r="93" spans="1:19">
      <c r="A93" s="23" t="s">
        <v>58</v>
      </c>
      <c r="B93" s="137" t="s">
        <v>386</v>
      </c>
      <c r="C93" s="25" t="s">
        <v>28</v>
      </c>
      <c r="D93" s="24" t="s">
        <v>21</v>
      </c>
      <c r="E93" s="24" t="s">
        <v>10</v>
      </c>
      <c r="F93" s="24" t="s">
        <v>11</v>
      </c>
      <c r="G93" s="24" t="s">
        <v>12</v>
      </c>
      <c r="H93" s="24">
        <v>3</v>
      </c>
      <c r="I93" s="24">
        <v>9</v>
      </c>
      <c r="J93" s="157">
        <v>5000000</v>
      </c>
      <c r="K93" s="157">
        <v>32915397</v>
      </c>
      <c r="L93" s="157">
        <v>74493461</v>
      </c>
      <c r="M93" s="157">
        <v>151779</v>
      </c>
      <c r="N93" s="23" t="str">
        <f t="shared" si="6"/>
        <v/>
      </c>
      <c r="O93" s="23" t="str">
        <f t="shared" si="7"/>
        <v/>
      </c>
      <c r="P93" s="23" t="str">
        <f t="shared" si="8"/>
        <v/>
      </c>
      <c r="Q93" s="23" t="str">
        <f t="shared" si="9"/>
        <v>SATISFECHO</v>
      </c>
      <c r="R93" s="23" t="str">
        <f t="shared" si="10"/>
        <v>DESCONOCE</v>
      </c>
      <c r="S93" s="23" t="str">
        <f t="shared" si="11"/>
        <v>DESCARTADO</v>
      </c>
    </row>
    <row r="94" spans="1:19">
      <c r="A94" s="23" t="s">
        <v>117</v>
      </c>
      <c r="B94" s="137" t="s">
        <v>387</v>
      </c>
      <c r="C94" s="24" t="s">
        <v>13</v>
      </c>
      <c r="D94" s="24" t="s">
        <v>25</v>
      </c>
      <c r="E94" s="24" t="s">
        <v>17</v>
      </c>
      <c r="F94" s="25" t="s">
        <v>18</v>
      </c>
      <c r="G94" s="24" t="s">
        <v>12</v>
      </c>
      <c r="H94" s="24">
        <v>3</v>
      </c>
      <c r="I94" s="24">
        <v>7</v>
      </c>
      <c r="J94" s="157">
        <v>0</v>
      </c>
      <c r="K94" s="157">
        <v>0</v>
      </c>
      <c r="L94" s="157">
        <v>43223505</v>
      </c>
      <c r="M94" s="157">
        <v>0</v>
      </c>
      <c r="N94" s="23" t="str">
        <f t="shared" si="6"/>
        <v/>
      </c>
      <c r="O94" s="23" t="str">
        <f t="shared" si="7"/>
        <v/>
      </c>
      <c r="P94" s="23" t="str">
        <f t="shared" si="8"/>
        <v/>
      </c>
      <c r="Q94" s="23" t="str">
        <f t="shared" si="9"/>
        <v>INSATISFECHO</v>
      </c>
      <c r="R94" s="23" t="str">
        <f t="shared" si="10"/>
        <v>DESCONOCE</v>
      </c>
      <c r="S94" s="23" t="str">
        <f t="shared" si="11"/>
        <v>NO ELEGIDO</v>
      </c>
    </row>
    <row r="95" spans="1:19">
      <c r="A95" s="23" t="s">
        <v>65</v>
      </c>
      <c r="B95" s="137" t="s">
        <v>388</v>
      </c>
      <c r="C95" s="24" t="s">
        <v>13</v>
      </c>
      <c r="D95" s="24" t="s">
        <v>21</v>
      </c>
      <c r="E95" s="24" t="s">
        <v>17</v>
      </c>
      <c r="F95" s="25" t="s">
        <v>18</v>
      </c>
      <c r="G95" s="24" t="s">
        <v>12</v>
      </c>
      <c r="H95" s="24">
        <v>7</v>
      </c>
      <c r="I95" s="24">
        <v>10</v>
      </c>
      <c r="J95" s="157">
        <v>0</v>
      </c>
      <c r="K95" s="157">
        <v>0</v>
      </c>
      <c r="L95" s="157">
        <v>14141858</v>
      </c>
      <c r="M95" s="157">
        <v>87162317</v>
      </c>
      <c r="N95" s="23" t="str">
        <f t="shared" si="6"/>
        <v/>
      </c>
      <c r="O95" s="23" t="str">
        <f t="shared" si="7"/>
        <v/>
      </c>
      <c r="P95" s="23" t="str">
        <f t="shared" si="8"/>
        <v/>
      </c>
      <c r="Q95" s="23" t="str">
        <f t="shared" si="9"/>
        <v>SATISFECHO</v>
      </c>
      <c r="R95" s="23" t="str">
        <f t="shared" si="10"/>
        <v>DESCONOCE</v>
      </c>
      <c r="S95" s="23" t="str">
        <f t="shared" si="11"/>
        <v>NO ELEGIDO</v>
      </c>
    </row>
    <row r="96" spans="1:19">
      <c r="A96" s="23" t="s">
        <v>112</v>
      </c>
      <c r="B96" s="137" t="s">
        <v>389</v>
      </c>
      <c r="C96" s="24" t="s">
        <v>13</v>
      </c>
      <c r="D96" s="24" t="s">
        <v>21</v>
      </c>
      <c r="E96" s="24" t="s">
        <v>17</v>
      </c>
      <c r="F96" s="25" t="s">
        <v>18</v>
      </c>
      <c r="G96" s="24" t="s">
        <v>12</v>
      </c>
      <c r="H96" s="24">
        <v>3</v>
      </c>
      <c r="I96" s="24">
        <v>7</v>
      </c>
      <c r="J96" s="157">
        <v>0</v>
      </c>
      <c r="K96" s="157">
        <v>0</v>
      </c>
      <c r="L96" s="157">
        <v>29525162</v>
      </c>
      <c r="M96" s="157">
        <v>0</v>
      </c>
      <c r="N96" s="23" t="str">
        <f t="shared" si="6"/>
        <v/>
      </c>
      <c r="O96" s="23" t="str">
        <f t="shared" si="7"/>
        <v/>
      </c>
      <c r="P96" s="23" t="str">
        <f t="shared" si="8"/>
        <v/>
      </c>
      <c r="Q96" s="23" t="str">
        <f t="shared" si="9"/>
        <v>INSATISFECHO</v>
      </c>
      <c r="R96" s="23" t="str">
        <f t="shared" si="10"/>
        <v>DESCONOCE</v>
      </c>
      <c r="S96" s="23" t="str">
        <f t="shared" si="11"/>
        <v>NO ELEGIDO</v>
      </c>
    </row>
    <row r="97" spans="1:19">
      <c r="A97" s="23" t="s">
        <v>135</v>
      </c>
      <c r="B97" s="137" t="s">
        <v>390</v>
      </c>
      <c r="C97" s="24" t="s">
        <v>13</v>
      </c>
      <c r="D97" s="24" t="s">
        <v>21</v>
      </c>
      <c r="E97" s="24" t="s">
        <v>17</v>
      </c>
      <c r="F97" s="25" t="s">
        <v>23</v>
      </c>
      <c r="G97" s="24" t="s">
        <v>30</v>
      </c>
      <c r="H97" s="24">
        <v>7</v>
      </c>
      <c r="I97" s="24">
        <v>4</v>
      </c>
      <c r="J97" s="157">
        <v>0</v>
      </c>
      <c r="K97" s="157">
        <v>0</v>
      </c>
      <c r="L97" s="157">
        <v>29366791</v>
      </c>
      <c r="M97" s="157">
        <v>89805774</v>
      </c>
      <c r="N97" s="23" t="str">
        <f t="shared" si="6"/>
        <v/>
      </c>
      <c r="O97" s="23" t="str">
        <f t="shared" si="7"/>
        <v/>
      </c>
      <c r="P97" s="23" t="str">
        <f t="shared" si="8"/>
        <v/>
      </c>
      <c r="Q97" s="23" t="str">
        <f t="shared" si="9"/>
        <v>INSATISFECHO</v>
      </c>
      <c r="R97" s="23" t="str">
        <f t="shared" si="10"/>
        <v>CONOCE</v>
      </c>
      <c r="S97" s="23" t="str">
        <f t="shared" si="11"/>
        <v>NO ELEGIDO</v>
      </c>
    </row>
    <row r="98" spans="1:19">
      <c r="A98" s="23" t="s">
        <v>40</v>
      </c>
      <c r="B98" s="137" t="s">
        <v>391</v>
      </c>
      <c r="C98" s="24" t="s">
        <v>13</v>
      </c>
      <c r="D98" s="24" t="s">
        <v>21</v>
      </c>
      <c r="E98" s="24" t="s">
        <v>17</v>
      </c>
      <c r="F98" s="25" t="s">
        <v>18</v>
      </c>
      <c r="G98" s="24" t="s">
        <v>30</v>
      </c>
      <c r="H98" s="24">
        <v>9</v>
      </c>
      <c r="I98" s="24">
        <v>5</v>
      </c>
      <c r="J98" s="157">
        <v>0</v>
      </c>
      <c r="K98" s="157">
        <v>0</v>
      </c>
      <c r="L98" s="157">
        <v>73195518</v>
      </c>
      <c r="M98" s="157">
        <v>10695678</v>
      </c>
      <c r="N98" s="23" t="str">
        <f t="shared" si="6"/>
        <v/>
      </c>
      <c r="O98" s="23" t="str">
        <f t="shared" si="7"/>
        <v/>
      </c>
      <c r="P98" s="23" t="str">
        <f t="shared" si="8"/>
        <v/>
      </c>
      <c r="Q98" s="23" t="str">
        <f t="shared" si="9"/>
        <v>INSATISFECHO</v>
      </c>
      <c r="R98" s="23" t="str">
        <f t="shared" si="10"/>
        <v>CONOCE</v>
      </c>
      <c r="S98" s="23" t="str">
        <f t="shared" si="11"/>
        <v>NO ELEGIDO</v>
      </c>
    </row>
    <row r="99" spans="1:19">
      <c r="A99" s="23" t="s">
        <v>19</v>
      </c>
      <c r="B99" s="137" t="s">
        <v>392</v>
      </c>
      <c r="C99" s="24" t="s">
        <v>13</v>
      </c>
      <c r="D99" s="24" t="s">
        <v>21</v>
      </c>
      <c r="E99" s="24" t="s">
        <v>17</v>
      </c>
      <c r="F99" s="25" t="s">
        <v>18</v>
      </c>
      <c r="G99" s="24" t="s">
        <v>12</v>
      </c>
      <c r="H99" s="24">
        <v>3</v>
      </c>
      <c r="I99" s="24">
        <v>6</v>
      </c>
      <c r="J99" s="157">
        <v>0</v>
      </c>
      <c r="K99" s="157">
        <v>0</v>
      </c>
      <c r="L99" s="157">
        <v>1432950</v>
      </c>
      <c r="M99" s="157">
        <v>29672451</v>
      </c>
      <c r="N99" s="23" t="str">
        <f t="shared" si="6"/>
        <v/>
      </c>
      <c r="O99" s="23" t="str">
        <f t="shared" si="7"/>
        <v/>
      </c>
      <c r="P99" s="23" t="str">
        <f t="shared" si="8"/>
        <v/>
      </c>
      <c r="Q99" s="23" t="str">
        <f t="shared" si="9"/>
        <v>INSATISFECHO</v>
      </c>
      <c r="R99" s="23" t="str">
        <f t="shared" si="10"/>
        <v>DESCONOCE</v>
      </c>
      <c r="S99" s="23" t="str">
        <f t="shared" si="11"/>
        <v>NO ELEGIDO</v>
      </c>
    </row>
    <row r="100" spans="1:19">
      <c r="A100" s="23" t="s">
        <v>70</v>
      </c>
      <c r="B100" s="137" t="s">
        <v>393</v>
      </c>
      <c r="C100" s="24" t="s">
        <v>13</v>
      </c>
      <c r="D100" s="24" t="s">
        <v>21</v>
      </c>
      <c r="E100" s="24" t="s">
        <v>10</v>
      </c>
      <c r="F100" s="24" t="s">
        <v>11</v>
      </c>
      <c r="G100" s="24" t="s">
        <v>30</v>
      </c>
      <c r="H100" s="24">
        <v>8</v>
      </c>
      <c r="I100" s="24">
        <v>7</v>
      </c>
      <c r="J100" s="157">
        <v>1000000</v>
      </c>
      <c r="K100" s="157">
        <v>77159264</v>
      </c>
      <c r="L100" s="157">
        <v>0</v>
      </c>
      <c r="M100" s="157">
        <v>97234303</v>
      </c>
      <c r="N100" s="23" t="str">
        <f t="shared" si="6"/>
        <v/>
      </c>
      <c r="O100" s="23" t="str">
        <f t="shared" si="7"/>
        <v/>
      </c>
      <c r="P100" s="23" t="str">
        <f t="shared" si="8"/>
        <v/>
      </c>
      <c r="Q100" s="23" t="str">
        <f t="shared" si="9"/>
        <v>INSATISFECHO</v>
      </c>
      <c r="R100" s="23" t="str">
        <f t="shared" si="10"/>
        <v>CONOCE</v>
      </c>
      <c r="S100" s="23" t="str">
        <f t="shared" si="11"/>
        <v>NO ELEGIDO</v>
      </c>
    </row>
    <row r="101" spans="1:19">
      <c r="A101" s="23" t="s">
        <v>104</v>
      </c>
      <c r="B101" s="137" t="s">
        <v>394</v>
      </c>
      <c r="C101" s="25" t="s">
        <v>28</v>
      </c>
      <c r="D101" s="24" t="s">
        <v>21</v>
      </c>
      <c r="E101" s="24" t="s">
        <v>10</v>
      </c>
      <c r="F101" s="24" t="s">
        <v>11</v>
      </c>
      <c r="G101" s="24" t="s">
        <v>12</v>
      </c>
      <c r="H101" s="24">
        <v>7</v>
      </c>
      <c r="I101" s="24">
        <v>10</v>
      </c>
      <c r="J101" s="157">
        <v>100000000</v>
      </c>
      <c r="K101" s="157">
        <v>12451199</v>
      </c>
      <c r="L101" s="157">
        <v>74231711</v>
      </c>
      <c r="M101" s="157">
        <v>42951226</v>
      </c>
      <c r="N101" s="23" t="str">
        <f t="shared" si="6"/>
        <v>INTERESANTE</v>
      </c>
      <c r="O101" s="23" t="str">
        <f t="shared" si="7"/>
        <v/>
      </c>
      <c r="P101" s="23" t="str">
        <f t="shared" si="8"/>
        <v/>
      </c>
      <c r="Q101" s="23" t="str">
        <f t="shared" si="9"/>
        <v>SATISFECHO</v>
      </c>
      <c r="R101" s="23" t="str">
        <f t="shared" si="10"/>
        <v>DESCONOCE</v>
      </c>
      <c r="S101" s="23" t="str">
        <f t="shared" si="11"/>
        <v>DESCARTADO</v>
      </c>
    </row>
    <row r="102" spans="1:19">
      <c r="A102" s="23" t="s">
        <v>128</v>
      </c>
      <c r="B102" s="137" t="s">
        <v>395</v>
      </c>
      <c r="C102" s="24" t="s">
        <v>13</v>
      </c>
      <c r="D102" s="24" t="s">
        <v>9</v>
      </c>
      <c r="E102" s="24" t="s">
        <v>10</v>
      </c>
      <c r="F102" s="24" t="s">
        <v>11</v>
      </c>
      <c r="G102" s="24" t="s">
        <v>30</v>
      </c>
      <c r="H102" s="24">
        <v>3</v>
      </c>
      <c r="I102" s="24">
        <v>9</v>
      </c>
      <c r="J102" s="157">
        <v>90000000</v>
      </c>
      <c r="K102" s="157">
        <v>13287929</v>
      </c>
      <c r="L102" s="157">
        <v>27090183</v>
      </c>
      <c r="M102" s="157">
        <v>79518711</v>
      </c>
      <c r="N102" s="23" t="str">
        <f t="shared" si="6"/>
        <v>INTERESANTE</v>
      </c>
      <c r="O102" s="23" t="str">
        <f t="shared" si="7"/>
        <v/>
      </c>
      <c r="P102" s="23" t="str">
        <f t="shared" si="8"/>
        <v/>
      </c>
      <c r="Q102" s="23" t="str">
        <f t="shared" si="9"/>
        <v>SATISFECHO</v>
      </c>
      <c r="R102" s="23" t="str">
        <f t="shared" si="10"/>
        <v>CONOCE</v>
      </c>
      <c r="S102" s="23" t="str">
        <f t="shared" si="11"/>
        <v>NO ELEGIDO</v>
      </c>
    </row>
    <row r="103" spans="1:19">
      <c r="A103" s="23" t="s">
        <v>53</v>
      </c>
      <c r="B103" s="137" t="s">
        <v>396</v>
      </c>
      <c r="C103" s="25" t="s">
        <v>28</v>
      </c>
      <c r="D103" s="24" t="s">
        <v>54</v>
      </c>
      <c r="E103" s="24" t="s">
        <v>55</v>
      </c>
      <c r="F103" s="24" t="s">
        <v>56</v>
      </c>
      <c r="G103" s="24" t="s">
        <v>12</v>
      </c>
      <c r="H103" s="24">
        <v>6</v>
      </c>
      <c r="I103" s="24">
        <v>5</v>
      </c>
      <c r="J103" s="157">
        <v>0</v>
      </c>
      <c r="K103" s="157">
        <v>0</v>
      </c>
      <c r="L103" s="157">
        <v>20898506</v>
      </c>
      <c r="M103" s="157">
        <v>24525645</v>
      </c>
      <c r="N103" s="23" t="str">
        <f t="shared" si="6"/>
        <v/>
      </c>
      <c r="O103" s="23" t="str">
        <f t="shared" si="7"/>
        <v/>
      </c>
      <c r="P103" s="23" t="str">
        <f t="shared" si="8"/>
        <v/>
      </c>
      <c r="Q103" s="23" t="str">
        <f t="shared" si="9"/>
        <v>INSATISFECHO</v>
      </c>
      <c r="R103" s="23" t="str">
        <f t="shared" si="10"/>
        <v>DESCONOCE</v>
      </c>
      <c r="S103" s="23" t="str">
        <f t="shared" si="11"/>
        <v>DESCARTADO</v>
      </c>
    </row>
    <row r="104" spans="1:19">
      <c r="A104" s="23" t="s">
        <v>51</v>
      </c>
      <c r="B104" s="137" t="s">
        <v>397</v>
      </c>
      <c r="C104" s="24" t="s">
        <v>13</v>
      </c>
      <c r="D104" s="24" t="s">
        <v>21</v>
      </c>
      <c r="E104" s="24" t="s">
        <v>10</v>
      </c>
      <c r="F104" s="24" t="s">
        <v>11</v>
      </c>
      <c r="G104" s="24" t="s">
        <v>12</v>
      </c>
      <c r="H104" s="24">
        <v>8</v>
      </c>
      <c r="I104" s="24">
        <v>7</v>
      </c>
      <c r="J104" s="157">
        <v>5000000</v>
      </c>
      <c r="K104" s="157">
        <v>37959268</v>
      </c>
      <c r="L104" s="157">
        <v>69132389</v>
      </c>
      <c r="M104" s="157">
        <v>99564796</v>
      </c>
      <c r="N104" s="23" t="str">
        <f t="shared" si="6"/>
        <v/>
      </c>
      <c r="O104" s="23" t="str">
        <f t="shared" si="7"/>
        <v/>
      </c>
      <c r="P104" s="23" t="str">
        <f t="shared" si="8"/>
        <v/>
      </c>
      <c r="Q104" s="23" t="str">
        <f t="shared" si="9"/>
        <v>INSATISFECHO</v>
      </c>
      <c r="R104" s="23" t="str">
        <f t="shared" si="10"/>
        <v>DESCONOCE</v>
      </c>
      <c r="S104" s="23" t="str">
        <f t="shared" si="11"/>
        <v>NO ELEGIDO</v>
      </c>
    </row>
    <row r="105" spans="1:19">
      <c r="A105" s="23" t="s">
        <v>63</v>
      </c>
      <c r="B105" s="137" t="s">
        <v>398</v>
      </c>
      <c r="C105" s="24" t="s">
        <v>13</v>
      </c>
      <c r="D105" s="24" t="s">
        <v>21</v>
      </c>
      <c r="E105" s="24" t="s">
        <v>17</v>
      </c>
      <c r="F105" s="25" t="s">
        <v>18</v>
      </c>
      <c r="G105" s="24" t="s">
        <v>30</v>
      </c>
      <c r="H105" s="24">
        <v>3</v>
      </c>
      <c r="I105" s="24">
        <v>6</v>
      </c>
      <c r="J105" s="157">
        <v>0</v>
      </c>
      <c r="K105" s="157">
        <v>0</v>
      </c>
      <c r="L105" s="157">
        <v>26450622</v>
      </c>
      <c r="M105" s="157">
        <v>4227264</v>
      </c>
      <c r="N105" s="23" t="str">
        <f t="shared" si="6"/>
        <v/>
      </c>
      <c r="O105" s="23" t="str">
        <f t="shared" si="7"/>
        <v/>
      </c>
      <c r="P105" s="23" t="str">
        <f t="shared" si="8"/>
        <v/>
      </c>
      <c r="Q105" s="23" t="str">
        <f t="shared" si="9"/>
        <v>INSATISFECHO</v>
      </c>
      <c r="R105" s="23" t="str">
        <f t="shared" si="10"/>
        <v>CONOCE</v>
      </c>
      <c r="S105" s="23" t="str">
        <f t="shared" si="11"/>
        <v>NO ELEGIDO</v>
      </c>
    </row>
    <row r="106" spans="1:19">
      <c r="A106" s="23" t="s">
        <v>76</v>
      </c>
      <c r="B106" s="137" t="s">
        <v>399</v>
      </c>
      <c r="C106" s="25" t="s">
        <v>77</v>
      </c>
      <c r="D106" s="24" t="s">
        <v>21</v>
      </c>
      <c r="E106" s="24" t="s">
        <v>17</v>
      </c>
      <c r="F106" s="25" t="s">
        <v>18</v>
      </c>
      <c r="G106" s="24" t="s">
        <v>30</v>
      </c>
      <c r="H106" s="24">
        <v>6</v>
      </c>
      <c r="I106" s="24">
        <v>5</v>
      </c>
      <c r="J106" s="157">
        <v>0</v>
      </c>
      <c r="K106" s="157">
        <v>0</v>
      </c>
      <c r="L106" s="157">
        <v>0</v>
      </c>
      <c r="M106" s="157">
        <v>54376640</v>
      </c>
      <c r="N106" s="23" t="str">
        <f t="shared" si="6"/>
        <v/>
      </c>
      <c r="O106" s="23" t="str">
        <f t="shared" si="7"/>
        <v/>
      </c>
      <c r="P106" s="23" t="str">
        <f t="shared" si="8"/>
        <v/>
      </c>
      <c r="Q106" s="23" t="str">
        <f t="shared" si="9"/>
        <v>INSATISFECHO</v>
      </c>
      <c r="R106" s="23" t="str">
        <f t="shared" si="10"/>
        <v>CONOCE</v>
      </c>
      <c r="S106" s="23" t="str">
        <f t="shared" si="11"/>
        <v>DESCARTADO</v>
      </c>
    </row>
    <row r="107" spans="1:19">
      <c r="A107" s="23" t="s">
        <v>134</v>
      </c>
      <c r="B107" s="137" t="s">
        <v>400</v>
      </c>
      <c r="C107" s="24" t="s">
        <v>13</v>
      </c>
      <c r="D107" s="24" t="s">
        <v>21</v>
      </c>
      <c r="E107" s="24" t="s">
        <v>10</v>
      </c>
      <c r="F107" s="24" t="s">
        <v>27</v>
      </c>
      <c r="G107" s="24" t="s">
        <v>12</v>
      </c>
      <c r="H107" s="24">
        <v>7</v>
      </c>
      <c r="I107" s="24">
        <v>9</v>
      </c>
      <c r="J107" s="157">
        <v>90000000</v>
      </c>
      <c r="K107" s="157">
        <v>29991873</v>
      </c>
      <c r="L107" s="157">
        <v>39252741</v>
      </c>
      <c r="M107" s="157">
        <v>15542722</v>
      </c>
      <c r="N107" s="23" t="str">
        <f t="shared" si="6"/>
        <v>INTERESANTE</v>
      </c>
      <c r="O107" s="23" t="str">
        <f t="shared" si="7"/>
        <v/>
      </c>
      <c r="P107" s="23" t="str">
        <f t="shared" si="8"/>
        <v/>
      </c>
      <c r="Q107" s="23" t="str">
        <f t="shared" si="9"/>
        <v>SATISFECHO</v>
      </c>
      <c r="R107" s="23" t="str">
        <f t="shared" si="10"/>
        <v>DESCONOCE</v>
      </c>
      <c r="S107" s="23" t="str">
        <f t="shared" si="11"/>
        <v>NO ELEGIDO</v>
      </c>
    </row>
    <row r="108" spans="1:19">
      <c r="A108" s="23" t="s">
        <v>52</v>
      </c>
      <c r="B108" s="137" t="s">
        <v>401</v>
      </c>
      <c r="C108" s="24" t="s">
        <v>13</v>
      </c>
      <c r="D108" s="24" t="s">
        <v>21</v>
      </c>
      <c r="E108" s="24" t="s">
        <v>10</v>
      </c>
      <c r="F108" s="24" t="s">
        <v>27</v>
      </c>
      <c r="G108" s="24" t="s">
        <v>12</v>
      </c>
      <c r="H108" s="24">
        <v>6</v>
      </c>
      <c r="I108" s="24">
        <v>10</v>
      </c>
      <c r="J108" s="157">
        <v>10000000</v>
      </c>
      <c r="K108" s="157">
        <v>7303129</v>
      </c>
      <c r="L108" s="157">
        <v>3765621</v>
      </c>
      <c r="M108" s="157">
        <v>18125151</v>
      </c>
      <c r="N108" s="23" t="str">
        <f t="shared" si="6"/>
        <v/>
      </c>
      <c r="O108" s="23" t="str">
        <f t="shared" si="7"/>
        <v/>
      </c>
      <c r="P108" s="23" t="str">
        <f t="shared" si="8"/>
        <v/>
      </c>
      <c r="Q108" s="23" t="str">
        <f t="shared" si="9"/>
        <v>SATISFECHO</v>
      </c>
      <c r="R108" s="23" t="str">
        <f t="shared" si="10"/>
        <v>DESCONOCE</v>
      </c>
      <c r="S108" s="23" t="str">
        <f t="shared" si="11"/>
        <v>NO ELEGIDO</v>
      </c>
    </row>
    <row r="109" spans="1:19">
      <c r="A109" s="23" t="s">
        <v>69</v>
      </c>
      <c r="B109" s="137" t="s">
        <v>402</v>
      </c>
      <c r="C109" s="25" t="s">
        <v>32</v>
      </c>
      <c r="D109" s="24" t="s">
        <v>21</v>
      </c>
      <c r="E109" s="24" t="s">
        <v>10</v>
      </c>
      <c r="F109" s="24" t="s">
        <v>27</v>
      </c>
      <c r="G109" s="24" t="s">
        <v>12</v>
      </c>
      <c r="H109" s="24">
        <v>3</v>
      </c>
      <c r="I109" s="24">
        <v>9</v>
      </c>
      <c r="J109" s="157">
        <v>30000000</v>
      </c>
      <c r="K109" s="157">
        <v>44457754</v>
      </c>
      <c r="L109" s="157">
        <v>0</v>
      </c>
      <c r="M109" s="157">
        <v>62249765</v>
      </c>
      <c r="N109" s="23" t="str">
        <f t="shared" si="6"/>
        <v/>
      </c>
      <c r="O109" s="23" t="str">
        <f t="shared" si="7"/>
        <v/>
      </c>
      <c r="P109" s="23" t="str">
        <f t="shared" si="8"/>
        <v/>
      </c>
      <c r="Q109" s="23" t="str">
        <f t="shared" si="9"/>
        <v>SATISFECHO</v>
      </c>
      <c r="R109" s="23" t="str">
        <f t="shared" si="10"/>
        <v>DESCONOCE</v>
      </c>
      <c r="S109" s="23" t="str">
        <f t="shared" si="11"/>
        <v>DESCARTADO</v>
      </c>
    </row>
    <row r="110" spans="1:19">
      <c r="A110" s="23" t="s">
        <v>83</v>
      </c>
      <c r="B110" s="137" t="s">
        <v>403</v>
      </c>
      <c r="C110" s="24" t="s">
        <v>13</v>
      </c>
      <c r="D110" s="24" t="s">
        <v>21</v>
      </c>
      <c r="E110" s="24" t="s">
        <v>10</v>
      </c>
      <c r="F110" s="24" t="s">
        <v>11</v>
      </c>
      <c r="G110" s="24" t="s">
        <v>12</v>
      </c>
      <c r="H110" s="24">
        <v>4</v>
      </c>
      <c r="I110" s="24">
        <v>10</v>
      </c>
      <c r="J110" s="157">
        <v>10000000</v>
      </c>
      <c r="K110" s="157">
        <v>54467236</v>
      </c>
      <c r="L110" s="157">
        <v>0</v>
      </c>
      <c r="M110" s="157">
        <v>1234692</v>
      </c>
      <c r="N110" s="23" t="str">
        <f t="shared" si="6"/>
        <v/>
      </c>
      <c r="O110" s="23" t="str">
        <f t="shared" si="7"/>
        <v/>
      </c>
      <c r="P110" s="23" t="str">
        <f t="shared" si="8"/>
        <v/>
      </c>
      <c r="Q110" s="23" t="str">
        <f t="shared" si="9"/>
        <v>SATISFECHO</v>
      </c>
      <c r="R110" s="23" t="str">
        <f t="shared" si="10"/>
        <v>DESCONOCE</v>
      </c>
      <c r="S110" s="23" t="str">
        <f t="shared" si="11"/>
        <v>NO ELEGIDO</v>
      </c>
    </row>
    <row r="111" spans="1:19">
      <c r="A111" s="23" t="s">
        <v>75</v>
      </c>
      <c r="B111" s="137" t="s">
        <v>404</v>
      </c>
      <c r="C111" s="24" t="s">
        <v>13</v>
      </c>
      <c r="D111" s="24" t="s">
        <v>21</v>
      </c>
      <c r="E111" s="24" t="s">
        <v>10</v>
      </c>
      <c r="F111" s="24" t="s">
        <v>27</v>
      </c>
      <c r="G111" s="24" t="s">
        <v>12</v>
      </c>
      <c r="H111" s="24">
        <v>4</v>
      </c>
      <c r="I111" s="24">
        <v>10</v>
      </c>
      <c r="J111" s="157">
        <v>10000000</v>
      </c>
      <c r="K111" s="157">
        <v>17991607</v>
      </c>
      <c r="L111" s="157">
        <v>0</v>
      </c>
      <c r="M111" s="157">
        <v>174626</v>
      </c>
      <c r="N111" s="23" t="str">
        <f t="shared" si="6"/>
        <v/>
      </c>
      <c r="O111" s="23" t="str">
        <f t="shared" si="7"/>
        <v/>
      </c>
      <c r="P111" s="23" t="str">
        <f t="shared" si="8"/>
        <v/>
      </c>
      <c r="Q111" s="23" t="str">
        <f t="shared" si="9"/>
        <v>SATISFECHO</v>
      </c>
      <c r="R111" s="23" t="str">
        <f t="shared" si="10"/>
        <v>DESCONOCE</v>
      </c>
      <c r="S111" s="23" t="str">
        <f t="shared" si="11"/>
        <v>NO ELEGIDO</v>
      </c>
    </row>
    <row r="112" spans="1:19">
      <c r="A112" s="23" t="s">
        <v>92</v>
      </c>
      <c r="B112" s="137" t="s">
        <v>405</v>
      </c>
      <c r="C112" s="24" t="s">
        <v>13</v>
      </c>
      <c r="D112" s="24" t="s">
        <v>21</v>
      </c>
      <c r="E112" s="24" t="s">
        <v>17</v>
      </c>
      <c r="F112" s="25" t="s">
        <v>23</v>
      </c>
      <c r="G112" s="24" t="s">
        <v>12</v>
      </c>
      <c r="H112" s="24">
        <v>5</v>
      </c>
      <c r="I112" s="24">
        <v>10</v>
      </c>
      <c r="J112" s="157">
        <v>0</v>
      </c>
      <c r="K112" s="157">
        <v>0</v>
      </c>
      <c r="L112" s="157">
        <v>24965127</v>
      </c>
      <c r="M112" s="157">
        <v>41129782</v>
      </c>
      <c r="N112" s="23" t="str">
        <f t="shared" si="6"/>
        <v/>
      </c>
      <c r="O112" s="23" t="str">
        <f t="shared" si="7"/>
        <v/>
      </c>
      <c r="P112" s="23" t="str">
        <f t="shared" si="8"/>
        <v/>
      </c>
      <c r="Q112" s="23" t="str">
        <f t="shared" si="9"/>
        <v>SATISFECHO</v>
      </c>
      <c r="R112" s="23" t="str">
        <f t="shared" si="10"/>
        <v>DESCONOCE</v>
      </c>
      <c r="S112" s="23" t="str">
        <f t="shared" si="11"/>
        <v>NO ELEGIDO</v>
      </c>
    </row>
  </sheetData>
  <mergeCells count="25">
    <mergeCell ref="N11:N12"/>
    <mergeCell ref="Q11:Q12"/>
    <mergeCell ref="R11:R12"/>
    <mergeCell ref="S11:S12"/>
    <mergeCell ref="H11:H12"/>
    <mergeCell ref="I11:I12"/>
    <mergeCell ref="J11:J12"/>
    <mergeCell ref="K11:K12"/>
    <mergeCell ref="L11:L12"/>
    <mergeCell ref="M11:M12"/>
    <mergeCell ref="B2:C2"/>
    <mergeCell ref="E2:G2"/>
    <mergeCell ref="A11:A12"/>
    <mergeCell ref="B11:B12"/>
    <mergeCell ref="C11:C12"/>
    <mergeCell ref="D11:D12"/>
    <mergeCell ref="E11:E12"/>
    <mergeCell ref="F11:F12"/>
    <mergeCell ref="G11:G12"/>
    <mergeCell ref="S1:S10"/>
    <mergeCell ref="N1:N10"/>
    <mergeCell ref="O1:O10"/>
    <mergeCell ref="P1:P10"/>
    <mergeCell ref="Q1:Q10"/>
    <mergeCell ref="R1:R10"/>
  </mergeCells>
  <conditionalFormatting sqref="Q13:Q112">
    <cfRule type="containsText" dxfId="41" priority="4" operator="containsText" text="INSATISFECHO">
      <formula>NOT(ISERROR(SEARCH("INSATISFECHO",Q13)))</formula>
    </cfRule>
  </conditionalFormatting>
  <conditionalFormatting sqref="R13:R112">
    <cfRule type="cellIs" dxfId="40" priority="3" operator="equal">
      <formula>"CONOCE"</formula>
    </cfRule>
  </conditionalFormatting>
  <conditionalFormatting sqref="S13:S112">
    <cfRule type="cellIs" dxfId="39" priority="1" operator="equal">
      <formula>"DESCARTADO"</formula>
    </cfRule>
    <cfRule type="cellIs" dxfId="38" priority="2" operator="equal">
      <formula>"ELEGIDO"</formula>
    </cfRule>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71BDD-28FD-4983-8190-38D5733EEBBE}">
  <sheetPr codeName="Hoja16"/>
  <dimension ref="A1:Y136"/>
  <sheetViews>
    <sheetView topLeftCell="C95" workbookViewId="0">
      <selection activeCell="U14" sqref="U14"/>
    </sheetView>
  </sheetViews>
  <sheetFormatPr baseColWidth="10" defaultRowHeight="15"/>
  <cols>
    <col min="6" max="7" width="11.5703125" bestFit="1" customWidth="1"/>
    <col min="8" max="8" width="14.7109375" bestFit="1" customWidth="1"/>
    <col min="9" max="9" width="13.7109375" bestFit="1" customWidth="1"/>
    <col min="10" max="14" width="15" customWidth="1"/>
    <col min="15" max="15" width="20.28515625" customWidth="1"/>
    <col min="16" max="16" width="21.28515625" customWidth="1"/>
    <col min="17" max="17" width="15" customWidth="1"/>
    <col min="20" max="20" width="17.28515625" bestFit="1" customWidth="1"/>
    <col min="21" max="21" width="16.28515625" bestFit="1" customWidth="1"/>
    <col min="22" max="23" width="18.5703125" bestFit="1" customWidth="1"/>
    <col min="24" max="24" width="11.28515625" bestFit="1" customWidth="1"/>
  </cols>
  <sheetData>
    <row r="1" spans="1:25">
      <c r="A1" s="43"/>
      <c r="B1" s="43"/>
      <c r="C1" s="43"/>
      <c r="D1" s="43"/>
      <c r="E1" s="43"/>
      <c r="F1" s="43"/>
      <c r="G1" s="43"/>
      <c r="H1" s="43"/>
      <c r="I1" s="43"/>
      <c r="J1" s="110"/>
      <c r="K1" s="170"/>
      <c r="L1" s="170"/>
      <c r="M1" s="170"/>
      <c r="N1" s="43"/>
      <c r="O1" s="43"/>
      <c r="P1" s="43"/>
      <c r="Q1" s="110" t="s">
        <v>473</v>
      </c>
      <c r="R1" s="170"/>
      <c r="S1" s="170"/>
      <c r="T1" s="170"/>
      <c r="U1" s="43"/>
      <c r="V1" s="43"/>
      <c r="W1" s="43"/>
      <c r="X1" s="43"/>
      <c r="Y1" s="43"/>
    </row>
    <row r="2" spans="1:25">
      <c r="A2" s="43"/>
      <c r="B2" s="43"/>
      <c r="C2" s="43"/>
      <c r="D2" s="43"/>
      <c r="E2" s="43"/>
      <c r="F2" s="43"/>
      <c r="G2" s="43"/>
      <c r="H2" s="43"/>
      <c r="I2" s="43"/>
      <c r="J2" s="110"/>
      <c r="K2" s="43"/>
      <c r="L2" s="43"/>
      <c r="M2" s="43"/>
      <c r="N2" s="43"/>
      <c r="O2" s="43"/>
      <c r="P2" s="43"/>
      <c r="Q2" s="110">
        <v>3</v>
      </c>
      <c r="R2" s="43"/>
      <c r="S2" s="43"/>
      <c r="T2" s="43"/>
      <c r="U2" s="43"/>
      <c r="V2" s="43"/>
      <c r="W2" s="43"/>
      <c r="X2" s="43"/>
      <c r="Y2" s="43"/>
    </row>
    <row r="3" spans="1:25">
      <c r="A3" s="43"/>
      <c r="B3" s="43"/>
      <c r="C3" s="43"/>
      <c r="D3" s="43"/>
      <c r="E3" s="43"/>
      <c r="F3" s="43"/>
      <c r="G3" s="43"/>
      <c r="H3" s="43"/>
      <c r="I3" s="43"/>
      <c r="J3" s="110"/>
      <c r="K3" s="43"/>
      <c r="L3" s="43"/>
      <c r="M3" s="43"/>
      <c r="N3" s="43"/>
      <c r="O3" s="43"/>
      <c r="P3" s="43"/>
      <c r="Q3" s="110">
        <v>2</v>
      </c>
      <c r="R3" s="43"/>
      <c r="S3" s="43"/>
      <c r="T3" s="43"/>
      <c r="U3" s="43"/>
      <c r="V3" s="43"/>
      <c r="W3" s="43"/>
      <c r="X3" s="43"/>
      <c r="Y3" s="43"/>
    </row>
    <row r="4" spans="1:25" ht="18">
      <c r="A4" s="177" t="s">
        <v>445</v>
      </c>
      <c r="B4" s="43"/>
      <c r="C4" s="43"/>
      <c r="D4" s="43"/>
      <c r="E4" s="43"/>
      <c r="F4" s="43"/>
      <c r="G4" s="43"/>
      <c r="H4" s="43"/>
      <c r="I4" s="43"/>
      <c r="J4" s="110"/>
      <c r="K4" s="43"/>
      <c r="L4" s="43"/>
      <c r="M4" s="43"/>
      <c r="N4" s="43"/>
      <c r="O4" s="43"/>
      <c r="P4" s="43"/>
      <c r="Q4" s="110">
        <v>1</v>
      </c>
      <c r="R4" s="43"/>
      <c r="S4" s="43"/>
      <c r="T4" s="43"/>
      <c r="U4" s="43"/>
      <c r="V4" s="43"/>
      <c r="W4" s="43"/>
      <c r="X4" s="43"/>
      <c r="Y4" s="43"/>
    </row>
    <row r="5" spans="1:25">
      <c r="A5" s="43"/>
      <c r="B5" s="98" t="s">
        <v>446</v>
      </c>
      <c r="C5" s="98" t="s">
        <v>447</v>
      </c>
      <c r="D5" s="43"/>
      <c r="E5" s="43"/>
      <c r="F5" s="43"/>
      <c r="G5" s="43"/>
      <c r="H5" s="43"/>
      <c r="I5" s="43"/>
      <c r="J5" s="43"/>
      <c r="K5" s="43"/>
      <c r="L5" s="43"/>
      <c r="M5" s="43"/>
      <c r="N5" s="43"/>
      <c r="O5" s="43"/>
      <c r="P5" s="43"/>
      <c r="Q5" s="43"/>
      <c r="R5" s="43"/>
      <c r="S5" s="43"/>
      <c r="T5" s="43"/>
      <c r="U5" s="43"/>
      <c r="V5" s="43"/>
      <c r="W5" s="43"/>
      <c r="X5" s="43"/>
      <c r="Y5" s="43"/>
    </row>
    <row r="6" spans="1:25">
      <c r="A6" s="43" t="s">
        <v>448</v>
      </c>
      <c r="B6" s="178">
        <v>16</v>
      </c>
      <c r="C6" s="43">
        <v>15</v>
      </c>
      <c r="D6" s="43"/>
      <c r="E6" s="43"/>
      <c r="F6" s="43"/>
      <c r="G6" s="43"/>
      <c r="H6" s="43"/>
      <c r="I6" s="43"/>
      <c r="J6" s="43"/>
      <c r="K6" s="43"/>
      <c r="L6" s="43"/>
      <c r="M6" s="43"/>
      <c r="N6" s="43"/>
      <c r="O6" s="43"/>
      <c r="P6" s="43"/>
      <c r="Q6" s="43" t="s">
        <v>474</v>
      </c>
      <c r="R6" s="43"/>
      <c r="S6" s="43"/>
      <c r="T6" s="43"/>
      <c r="U6" s="43"/>
      <c r="V6" s="43"/>
      <c r="W6" s="43"/>
      <c r="X6" s="43"/>
      <c r="Y6" s="43"/>
    </row>
    <row r="7" spans="1:25" ht="15.75" thickBot="1">
      <c r="A7" s="43" t="s">
        <v>449</v>
      </c>
      <c r="B7" s="179">
        <v>9</v>
      </c>
      <c r="C7" s="43">
        <v>10</v>
      </c>
      <c r="D7" s="43"/>
      <c r="E7" s="43"/>
      <c r="F7" s="43"/>
      <c r="G7" s="43"/>
      <c r="H7" s="43"/>
      <c r="I7" s="43"/>
      <c r="J7" s="43"/>
      <c r="K7" s="43"/>
      <c r="L7" s="43"/>
      <c r="M7" s="43"/>
      <c r="N7" s="43"/>
      <c r="O7" s="43"/>
      <c r="P7" s="43"/>
      <c r="Q7" s="43"/>
      <c r="R7" s="43"/>
      <c r="S7" s="43"/>
      <c r="T7" s="43"/>
      <c r="U7" s="43"/>
      <c r="V7" s="43"/>
      <c r="W7" s="43"/>
      <c r="X7" s="43"/>
      <c r="Y7" s="43"/>
    </row>
    <row r="8" spans="1:25" ht="15.75" thickTop="1">
      <c r="A8" s="43" t="s">
        <v>450</v>
      </c>
      <c r="B8" s="180">
        <v>11</v>
      </c>
      <c r="C8" s="181" t="s">
        <v>451</v>
      </c>
      <c r="D8" s="43"/>
      <c r="E8" s="43"/>
      <c r="F8" s="43"/>
      <c r="G8" s="43"/>
      <c r="H8" s="43"/>
      <c r="I8" s="43"/>
      <c r="Q8" s="99" t="s">
        <v>0</v>
      </c>
      <c r="R8" s="99" t="s">
        <v>475</v>
      </c>
      <c r="S8" s="195" t="s">
        <v>476</v>
      </c>
      <c r="T8" s="195" t="s">
        <v>477</v>
      </c>
      <c r="U8" s="199" t="s">
        <v>478</v>
      </c>
      <c r="V8" s="200" t="s">
        <v>479</v>
      </c>
      <c r="W8" s="200" t="s">
        <v>479</v>
      </c>
      <c r="X8" s="201" t="s">
        <v>480</v>
      </c>
      <c r="Y8" s="43"/>
    </row>
    <row r="9" spans="1:25">
      <c r="A9" s="43" t="s">
        <v>452</v>
      </c>
      <c r="B9" s="178">
        <v>10</v>
      </c>
      <c r="C9" s="43">
        <v>10</v>
      </c>
      <c r="D9" s="43"/>
      <c r="E9" s="43"/>
      <c r="F9" s="43"/>
      <c r="G9" s="43"/>
      <c r="H9" s="43"/>
      <c r="I9" s="43"/>
      <c r="K9" s="192"/>
      <c r="L9" s="192"/>
      <c r="M9" s="192"/>
      <c r="N9" s="193"/>
      <c r="O9" s="191"/>
      <c r="P9" s="191"/>
      <c r="Q9" s="24" t="s">
        <v>123</v>
      </c>
      <c r="R9" s="27">
        <v>100</v>
      </c>
      <c r="S9" s="202">
        <v>110</v>
      </c>
      <c r="T9" s="202">
        <v>70</v>
      </c>
      <c r="U9" s="203">
        <f>(S9-T9)/T9</f>
        <v>0.5714285714285714</v>
      </c>
      <c r="V9" s="204">
        <f>(S9/R9)</f>
        <v>1.1000000000000001</v>
      </c>
      <c r="W9" s="204">
        <f>(S9/R9)</f>
        <v>1.1000000000000001</v>
      </c>
      <c r="X9" s="205">
        <f>IF(V9=100%,2,IF(V9&gt;100%,3,1))</f>
        <v>3</v>
      </c>
      <c r="Y9" s="43"/>
    </row>
    <row r="10" spans="1:25">
      <c r="A10" s="43" t="s">
        <v>453</v>
      </c>
      <c r="B10" s="179" t="s">
        <v>160</v>
      </c>
      <c r="C10" s="43" t="s">
        <v>160</v>
      </c>
      <c r="D10" s="43"/>
      <c r="E10" s="43"/>
      <c r="F10" s="43"/>
      <c r="G10" s="43"/>
      <c r="H10" s="43"/>
      <c r="I10" s="43"/>
      <c r="K10" s="192"/>
      <c r="L10" s="192"/>
      <c r="M10" s="192"/>
      <c r="N10" s="193"/>
      <c r="O10" s="191"/>
      <c r="P10" s="191"/>
      <c r="Q10" s="24" t="s">
        <v>53</v>
      </c>
      <c r="R10" s="27">
        <v>1600</v>
      </c>
      <c r="S10" s="202">
        <v>1500</v>
      </c>
      <c r="T10" s="202">
        <v>1600</v>
      </c>
      <c r="U10" s="203">
        <f t="shared" ref="U10:U11" si="0">(S10-T10)/T10</f>
        <v>-6.25E-2</v>
      </c>
      <c r="V10" s="204">
        <f t="shared" ref="V10:V11" si="1">(S10/R10)</f>
        <v>0.9375</v>
      </c>
      <c r="W10" s="204">
        <f t="shared" ref="W10:W11" si="2">(S10/R10)</f>
        <v>0.9375</v>
      </c>
      <c r="X10" s="205">
        <f t="shared" ref="X10:X11" si="3">IF(V10=100%,2,IF(V10&gt;100%,3,1))</f>
        <v>1</v>
      </c>
      <c r="Y10" s="43"/>
    </row>
    <row r="11" spans="1:25">
      <c r="A11" s="43"/>
      <c r="B11" s="43"/>
      <c r="C11" s="43"/>
      <c r="D11" s="43"/>
      <c r="E11" s="43"/>
      <c r="F11" s="43"/>
      <c r="G11" s="43"/>
      <c r="H11" s="43"/>
      <c r="I11" s="43"/>
      <c r="K11" s="192"/>
      <c r="L11" s="192"/>
      <c r="M11" s="192"/>
      <c r="N11" s="193"/>
      <c r="O11" s="191"/>
      <c r="P11" s="191"/>
      <c r="Q11" s="24" t="s">
        <v>97</v>
      </c>
      <c r="R11" s="27">
        <v>800</v>
      </c>
      <c r="S11" s="202">
        <v>800</v>
      </c>
      <c r="T11" s="202">
        <v>800</v>
      </c>
      <c r="U11" s="203">
        <f t="shared" si="0"/>
        <v>0</v>
      </c>
      <c r="V11" s="204">
        <f t="shared" si="1"/>
        <v>1</v>
      </c>
      <c r="W11" s="204">
        <f t="shared" si="2"/>
        <v>1</v>
      </c>
      <c r="X11" s="205">
        <f t="shared" si="3"/>
        <v>2</v>
      </c>
      <c r="Y11" s="43"/>
    </row>
    <row r="12" spans="1:25">
      <c r="A12" s="321" t="s">
        <v>454</v>
      </c>
      <c r="B12" s="321"/>
      <c r="C12" s="43"/>
      <c r="D12" s="321" t="s">
        <v>455</v>
      </c>
      <c r="E12" s="321"/>
      <c r="F12" s="43"/>
      <c r="G12" s="321" t="s">
        <v>456</v>
      </c>
      <c r="H12" s="321"/>
      <c r="I12" s="181"/>
      <c r="J12" s="181"/>
      <c r="K12" s="43"/>
      <c r="L12" s="43"/>
      <c r="M12" s="43"/>
      <c r="Q12" s="43"/>
      <c r="R12" s="43"/>
      <c r="S12" s="43"/>
      <c r="T12" s="43"/>
      <c r="U12" s="43"/>
      <c r="V12" s="43"/>
      <c r="W12" s="43"/>
      <c r="X12" s="43"/>
      <c r="Y12" s="43"/>
    </row>
    <row r="13" spans="1:25">
      <c r="A13" s="99" t="s">
        <v>0</v>
      </c>
      <c r="B13" s="99" t="s">
        <v>457</v>
      </c>
      <c r="C13" s="43"/>
      <c r="D13" s="99" t="s">
        <v>0</v>
      </c>
      <c r="E13" s="99" t="s">
        <v>457</v>
      </c>
      <c r="F13" s="43"/>
      <c r="G13" s="99" t="s">
        <v>0</v>
      </c>
      <c r="H13" s="99" t="s">
        <v>457</v>
      </c>
      <c r="I13" s="98"/>
      <c r="J13" s="98"/>
      <c r="K13" s="43"/>
      <c r="L13" s="43"/>
      <c r="M13" s="43"/>
      <c r="Q13" s="43"/>
      <c r="R13" s="43"/>
      <c r="S13" s="43"/>
      <c r="T13" s="43"/>
      <c r="U13" s="43"/>
      <c r="V13" s="43"/>
      <c r="W13" s="43"/>
      <c r="X13" s="43"/>
      <c r="Y13" s="43"/>
    </row>
    <row r="14" spans="1:25">
      <c r="A14" s="24" t="s">
        <v>458</v>
      </c>
      <c r="B14" s="182">
        <v>43</v>
      </c>
      <c r="C14" s="43"/>
      <c r="D14" s="24" t="s">
        <v>458</v>
      </c>
      <c r="E14" s="24">
        <v>43</v>
      </c>
      <c r="F14" s="43"/>
      <c r="G14" s="24" t="s">
        <v>458</v>
      </c>
      <c r="H14" s="183">
        <v>43</v>
      </c>
      <c r="I14" s="43"/>
      <c r="J14" s="43"/>
      <c r="K14" s="43"/>
      <c r="L14" s="43"/>
      <c r="M14" s="43"/>
      <c r="Q14" s="43"/>
      <c r="R14" s="43"/>
      <c r="S14" s="43"/>
      <c r="T14" s="43"/>
      <c r="U14" s="43"/>
      <c r="V14" s="43"/>
      <c r="W14" s="43"/>
      <c r="X14" s="43"/>
      <c r="Y14" s="43"/>
    </row>
    <row r="15" spans="1:25">
      <c r="A15" s="24" t="s">
        <v>459</v>
      </c>
      <c r="B15" s="182">
        <v>30</v>
      </c>
      <c r="C15" s="43"/>
      <c r="D15" s="24" t="s">
        <v>459</v>
      </c>
      <c r="E15" s="24">
        <v>30</v>
      </c>
      <c r="F15" s="43"/>
      <c r="G15" s="24" t="s">
        <v>459</v>
      </c>
      <c r="H15" s="183">
        <v>30</v>
      </c>
      <c r="I15" s="43"/>
      <c r="J15" s="43"/>
      <c r="K15" s="43"/>
      <c r="L15" s="43"/>
      <c r="M15" s="43"/>
      <c r="Q15" s="43"/>
      <c r="R15" s="43"/>
      <c r="S15" s="43"/>
      <c r="T15" s="43"/>
      <c r="U15" s="43"/>
      <c r="V15" s="43"/>
      <c r="W15" s="43"/>
      <c r="X15" s="43"/>
      <c r="Y15" s="43"/>
    </row>
    <row r="16" spans="1:25">
      <c r="A16" s="24" t="s">
        <v>241</v>
      </c>
      <c r="B16" s="24">
        <v>20</v>
      </c>
      <c r="C16" s="43"/>
      <c r="D16" s="24" t="s">
        <v>241</v>
      </c>
      <c r="E16" s="184">
        <v>20</v>
      </c>
      <c r="F16" s="43"/>
      <c r="G16" s="24" t="s">
        <v>241</v>
      </c>
      <c r="H16" s="24">
        <v>20</v>
      </c>
      <c r="I16" s="43"/>
      <c r="J16" s="43"/>
      <c r="K16" s="43"/>
      <c r="L16" s="43"/>
      <c r="M16" s="43"/>
      <c r="Q16" s="43"/>
      <c r="R16" s="43"/>
      <c r="S16" s="43"/>
      <c r="T16" s="43"/>
      <c r="U16" s="43"/>
      <c r="V16" s="43"/>
      <c r="W16" s="43"/>
      <c r="X16" s="43"/>
      <c r="Y16" s="43"/>
    </row>
    <row r="17" spans="1:25">
      <c r="A17" s="24" t="s">
        <v>240</v>
      </c>
      <c r="B17" s="182">
        <v>28</v>
      </c>
      <c r="C17" s="43"/>
      <c r="D17" s="24" t="s">
        <v>240</v>
      </c>
      <c r="E17" s="24">
        <v>28</v>
      </c>
      <c r="F17" s="43"/>
      <c r="G17" s="24" t="s">
        <v>240</v>
      </c>
      <c r="H17" s="183">
        <v>28</v>
      </c>
      <c r="I17" s="43"/>
      <c r="J17" s="43"/>
      <c r="K17" s="43"/>
      <c r="L17" s="43"/>
      <c r="M17" s="43"/>
      <c r="Q17" s="43"/>
      <c r="R17" s="43"/>
      <c r="S17" s="43"/>
      <c r="T17" s="43"/>
      <c r="U17" s="43"/>
      <c r="V17" s="43"/>
      <c r="W17" s="43"/>
      <c r="X17" s="43"/>
      <c r="Y17" s="43"/>
    </row>
    <row r="18" spans="1:25">
      <c r="A18" s="24" t="s">
        <v>460</v>
      </c>
      <c r="B18" s="24">
        <v>17</v>
      </c>
      <c r="C18" s="43"/>
      <c r="D18" s="24" t="s">
        <v>460</v>
      </c>
      <c r="E18" s="184">
        <v>17</v>
      </c>
      <c r="F18" s="43"/>
      <c r="G18" s="24" t="s">
        <v>460</v>
      </c>
      <c r="H18" s="24">
        <v>17</v>
      </c>
      <c r="I18" s="43"/>
      <c r="J18" s="43"/>
      <c r="K18" s="43"/>
      <c r="L18" s="43"/>
      <c r="M18" s="43"/>
      <c r="Q18" s="322" t="s">
        <v>249</v>
      </c>
      <c r="R18" s="196" t="s">
        <v>481</v>
      </c>
      <c r="S18" s="43"/>
      <c r="T18" s="43"/>
      <c r="U18" s="43"/>
      <c r="V18" s="43"/>
      <c r="W18" s="43"/>
      <c r="X18" s="43"/>
      <c r="Y18" s="43"/>
    </row>
    <row r="19" spans="1:25">
      <c r="A19" s="24" t="s">
        <v>461</v>
      </c>
      <c r="B19" s="24">
        <v>25</v>
      </c>
      <c r="C19" s="43"/>
      <c r="D19" s="24" t="s">
        <v>461</v>
      </c>
      <c r="E19" s="24">
        <v>25</v>
      </c>
      <c r="F19" s="43"/>
      <c r="G19" s="24" t="s">
        <v>461</v>
      </c>
      <c r="H19" s="24">
        <v>25</v>
      </c>
      <c r="I19" s="43"/>
      <c r="J19" s="43"/>
      <c r="K19" s="43"/>
      <c r="L19" s="43"/>
      <c r="M19" s="43"/>
      <c r="Q19" s="322"/>
      <c r="R19" s="196" t="s">
        <v>482</v>
      </c>
      <c r="S19" s="43"/>
      <c r="T19" s="43"/>
      <c r="U19" s="43"/>
      <c r="V19" s="43"/>
      <c r="W19" s="43"/>
      <c r="X19" s="43"/>
      <c r="Y19" s="43"/>
    </row>
    <row r="20" spans="1:25" ht="23.25">
      <c r="A20" s="24" t="s">
        <v>462</v>
      </c>
      <c r="B20" s="24">
        <v>24</v>
      </c>
      <c r="C20" s="43"/>
      <c r="D20" s="24" t="s">
        <v>462</v>
      </c>
      <c r="E20" s="184">
        <v>24</v>
      </c>
      <c r="F20" s="43"/>
      <c r="G20" s="24" t="s">
        <v>462</v>
      </c>
      <c r="H20" s="24">
        <v>24</v>
      </c>
      <c r="I20" s="43"/>
      <c r="J20" s="43"/>
      <c r="K20" s="43"/>
      <c r="L20" s="43"/>
      <c r="M20" s="43"/>
      <c r="Q20" s="323"/>
      <c r="R20" s="196" t="s">
        <v>483</v>
      </c>
      <c r="S20" s="197"/>
      <c r="T20" s="197"/>
      <c r="U20" s="197"/>
      <c r="V20" s="197"/>
      <c r="W20" s="197"/>
      <c r="X20" s="43"/>
      <c r="Y20" s="43"/>
    </row>
    <row r="21" spans="1:25" ht="45">
      <c r="A21" s="43"/>
      <c r="B21" s="43"/>
      <c r="C21" s="43"/>
      <c r="D21" s="43"/>
      <c r="E21" s="43"/>
      <c r="F21" s="43"/>
      <c r="G21" s="43"/>
      <c r="H21" s="43">
        <v>26.7</v>
      </c>
      <c r="I21" s="43"/>
      <c r="J21" s="43"/>
      <c r="K21" s="43"/>
      <c r="L21" s="43"/>
      <c r="M21" s="43"/>
      <c r="Q21" s="20" t="s">
        <v>0</v>
      </c>
      <c r="R21" s="20" t="s">
        <v>276</v>
      </c>
      <c r="S21" s="20" t="s">
        <v>277</v>
      </c>
      <c r="T21" s="20" t="s">
        <v>175</v>
      </c>
      <c r="U21" s="20" t="s">
        <v>176</v>
      </c>
      <c r="V21" s="20" t="s">
        <v>177</v>
      </c>
      <c r="W21" s="198" t="s">
        <v>178</v>
      </c>
      <c r="X21" s="198" t="s">
        <v>484</v>
      </c>
      <c r="Y21" s="198" t="s">
        <v>485</v>
      </c>
    </row>
    <row r="22" spans="1:25">
      <c r="A22" s="43"/>
      <c r="B22" s="43"/>
      <c r="C22" s="43"/>
      <c r="D22" s="43"/>
      <c r="E22" s="43"/>
      <c r="F22" s="43"/>
      <c r="G22" s="43"/>
      <c r="H22" s="43"/>
      <c r="I22" s="43"/>
      <c r="J22" s="43"/>
      <c r="K22" s="43"/>
      <c r="L22" s="43"/>
      <c r="M22" s="43"/>
      <c r="Q22" s="23" t="s">
        <v>57</v>
      </c>
      <c r="R22" s="24">
        <v>3</v>
      </c>
      <c r="S22" s="24">
        <v>8</v>
      </c>
      <c r="T22" s="157">
        <v>0</v>
      </c>
      <c r="U22" s="157">
        <v>0</v>
      </c>
      <c r="V22" s="157">
        <v>96781441</v>
      </c>
      <c r="W22" s="157">
        <v>47643060</v>
      </c>
      <c r="X22" s="206">
        <f>IFERROR((U22-V22)/V22,0%)</f>
        <v>-1</v>
      </c>
      <c r="Y22" s="207">
        <f>IF(U22&gt;T22,3,IF(U22=T22,2,1))</f>
        <v>2</v>
      </c>
    </row>
    <row r="23" spans="1:25">
      <c r="A23" s="43"/>
      <c r="B23" s="43"/>
      <c r="C23" s="43"/>
      <c r="D23" s="43"/>
      <c r="E23" s="43"/>
      <c r="F23" s="43"/>
      <c r="G23" s="43"/>
      <c r="H23" s="43"/>
      <c r="I23" s="43"/>
      <c r="J23" s="43"/>
      <c r="K23" s="43"/>
      <c r="L23" s="43"/>
      <c r="M23" s="43"/>
      <c r="Q23" s="23" t="s">
        <v>98</v>
      </c>
      <c r="R23" s="24">
        <v>8</v>
      </c>
      <c r="S23" s="24">
        <v>7</v>
      </c>
      <c r="T23" s="157">
        <v>10000000</v>
      </c>
      <c r="U23" s="157">
        <v>40848959</v>
      </c>
      <c r="V23" s="157">
        <v>92963332</v>
      </c>
      <c r="W23" s="157">
        <v>47565587</v>
      </c>
      <c r="X23" s="206">
        <f t="shared" ref="X23:X86" si="4">IFERROR((U23-V23)/V23,0%)</f>
        <v>-0.56059063158364419</v>
      </c>
      <c r="Y23" s="207">
        <f t="shared" ref="Y23:Y86" si="5">IF(U23&gt;T23,3,IF(U23=T23,2,1))</f>
        <v>3</v>
      </c>
    </row>
    <row r="24" spans="1:25">
      <c r="A24" s="43"/>
      <c r="B24" s="141" t="s">
        <v>463</v>
      </c>
      <c r="C24" s="43"/>
      <c r="D24" s="43"/>
      <c r="E24" s="43"/>
      <c r="F24" s="43"/>
      <c r="G24" s="43"/>
      <c r="H24" s="43"/>
      <c r="I24" s="43"/>
      <c r="J24" s="43"/>
      <c r="K24" s="43"/>
      <c r="L24" s="43"/>
      <c r="M24" s="43"/>
      <c r="Q24" s="23" t="s">
        <v>118</v>
      </c>
      <c r="R24" s="24">
        <v>5</v>
      </c>
      <c r="S24" s="24">
        <v>10</v>
      </c>
      <c r="T24" s="157">
        <v>0</v>
      </c>
      <c r="U24" s="157">
        <v>0</v>
      </c>
      <c r="V24" s="157">
        <v>49599457</v>
      </c>
      <c r="W24" s="157">
        <v>0</v>
      </c>
      <c r="X24" s="206">
        <f t="shared" si="4"/>
        <v>-1</v>
      </c>
      <c r="Y24" s="207">
        <f t="shared" si="5"/>
        <v>2</v>
      </c>
    </row>
    <row r="25" spans="1:25">
      <c r="A25" s="43"/>
      <c r="B25" s="43">
        <v>1</v>
      </c>
      <c r="C25" s="185" t="s">
        <v>464</v>
      </c>
      <c r="D25" s="43"/>
      <c r="E25" s="43"/>
      <c r="F25" s="43"/>
      <c r="G25" s="43"/>
      <c r="H25" s="43"/>
      <c r="I25" s="43"/>
      <c r="J25" s="43"/>
      <c r="K25" s="43"/>
      <c r="L25" s="43"/>
      <c r="M25" s="43"/>
      <c r="Q25" s="23" t="s">
        <v>60</v>
      </c>
      <c r="R25" s="24">
        <v>4</v>
      </c>
      <c r="S25" s="24">
        <v>8</v>
      </c>
      <c r="T25" s="157">
        <v>10000000</v>
      </c>
      <c r="U25" s="157">
        <v>78308880</v>
      </c>
      <c r="V25" s="157">
        <v>3248026</v>
      </c>
      <c r="W25" s="157">
        <v>27143270</v>
      </c>
      <c r="X25" s="206">
        <f t="shared" si="4"/>
        <v>23.109683851052917</v>
      </c>
      <c r="Y25" s="207">
        <f t="shared" si="5"/>
        <v>3</v>
      </c>
    </row>
    <row r="26" spans="1:25">
      <c r="A26" s="43"/>
      <c r="B26" s="43">
        <v>2</v>
      </c>
      <c r="C26" s="185" t="s">
        <v>465</v>
      </c>
      <c r="D26" s="43"/>
      <c r="E26" s="43"/>
      <c r="F26" s="43"/>
      <c r="G26" s="43"/>
      <c r="H26" s="43"/>
      <c r="I26" s="43"/>
      <c r="J26" s="43"/>
      <c r="K26" s="43"/>
      <c r="L26" s="43"/>
      <c r="M26" s="43"/>
      <c r="Q26" s="23" t="s">
        <v>8</v>
      </c>
      <c r="R26" s="24">
        <v>4</v>
      </c>
      <c r="S26" s="24">
        <v>9</v>
      </c>
      <c r="T26" s="157">
        <v>50000000</v>
      </c>
      <c r="U26" s="157">
        <v>2910571</v>
      </c>
      <c r="V26" s="157">
        <v>37561085</v>
      </c>
      <c r="W26" s="157">
        <v>19598007</v>
      </c>
      <c r="X26" s="206">
        <f t="shared" si="4"/>
        <v>-0.92251099775206169</v>
      </c>
      <c r="Y26" s="207">
        <f t="shared" si="5"/>
        <v>1</v>
      </c>
    </row>
    <row r="27" spans="1:25">
      <c r="A27" s="43"/>
      <c r="B27" s="43">
        <v>3</v>
      </c>
      <c r="C27" s="43" t="s">
        <v>466</v>
      </c>
      <c r="D27" s="43"/>
      <c r="E27" s="43"/>
      <c r="F27" s="43"/>
      <c r="G27" s="43"/>
      <c r="H27" s="43"/>
      <c r="I27" s="43"/>
      <c r="J27" s="43"/>
      <c r="K27" s="43"/>
      <c r="L27" s="43"/>
      <c r="M27" s="43"/>
      <c r="Q27" s="23" t="s">
        <v>125</v>
      </c>
      <c r="R27" s="24">
        <v>9</v>
      </c>
      <c r="S27" s="24">
        <v>7</v>
      </c>
      <c r="T27" s="157">
        <v>90000000</v>
      </c>
      <c r="U27" s="157">
        <v>50075523</v>
      </c>
      <c r="V27" s="157">
        <v>59142617</v>
      </c>
      <c r="W27" s="157">
        <v>95314026</v>
      </c>
      <c r="X27" s="206">
        <f t="shared" si="4"/>
        <v>-0.15330897515069378</v>
      </c>
      <c r="Y27" s="207">
        <f t="shared" si="5"/>
        <v>1</v>
      </c>
    </row>
    <row r="28" spans="1:25">
      <c r="A28" s="43"/>
      <c r="B28" s="43"/>
      <c r="C28" s="43"/>
      <c r="D28" s="43"/>
      <c r="E28" s="43"/>
      <c r="F28" s="43"/>
      <c r="G28" s="43"/>
      <c r="H28" s="43"/>
      <c r="I28" s="43"/>
      <c r="J28" s="43"/>
      <c r="K28" s="43"/>
      <c r="L28" s="43"/>
      <c r="M28" s="43"/>
      <c r="Q28" s="23" t="s">
        <v>74</v>
      </c>
      <c r="R28" s="24">
        <v>5</v>
      </c>
      <c r="S28" s="24">
        <v>9</v>
      </c>
      <c r="T28" s="157">
        <v>0</v>
      </c>
      <c r="U28" s="157">
        <v>0</v>
      </c>
      <c r="V28" s="157">
        <v>0</v>
      </c>
      <c r="W28" s="157">
        <v>67714973</v>
      </c>
      <c r="X28" s="206">
        <f t="shared" si="4"/>
        <v>0</v>
      </c>
      <c r="Y28" s="207">
        <f t="shared" si="5"/>
        <v>2</v>
      </c>
    </row>
    <row r="29" spans="1:25">
      <c r="A29" s="43"/>
      <c r="B29" s="141" t="s">
        <v>249</v>
      </c>
      <c r="C29" s="43"/>
      <c r="D29" s="43"/>
      <c r="E29" s="43"/>
      <c r="F29" s="43"/>
      <c r="G29" s="43"/>
      <c r="H29" s="43"/>
      <c r="I29" s="43"/>
      <c r="J29" s="43"/>
      <c r="K29" s="43"/>
      <c r="L29" s="43"/>
      <c r="M29" s="43"/>
      <c r="Q29" s="23" t="s">
        <v>29</v>
      </c>
      <c r="R29" s="24">
        <v>8</v>
      </c>
      <c r="S29" s="24">
        <v>10</v>
      </c>
      <c r="T29" s="157">
        <v>1000000</v>
      </c>
      <c r="U29" s="157">
        <v>5305190</v>
      </c>
      <c r="V29" s="157">
        <v>53291805</v>
      </c>
      <c r="W29" s="157">
        <v>84809282</v>
      </c>
      <c r="X29" s="206">
        <f t="shared" si="4"/>
        <v>-0.90045017240455638</v>
      </c>
      <c r="Y29" s="207">
        <f t="shared" si="5"/>
        <v>3</v>
      </c>
    </row>
    <row r="30" spans="1:25">
      <c r="A30" s="43"/>
      <c r="B30" s="43">
        <v>4</v>
      </c>
      <c r="C30" s="43" t="s">
        <v>467</v>
      </c>
      <c r="D30" s="43"/>
      <c r="E30" s="43"/>
      <c r="F30" s="43"/>
      <c r="G30" s="43"/>
      <c r="H30" s="43"/>
      <c r="I30" s="43"/>
      <c r="J30" s="43"/>
      <c r="K30" s="43"/>
      <c r="L30" s="43"/>
      <c r="M30" s="43"/>
      <c r="Q30" s="23" t="s">
        <v>107</v>
      </c>
      <c r="R30" s="24">
        <v>8</v>
      </c>
      <c r="S30" s="24">
        <v>3</v>
      </c>
      <c r="T30" s="157">
        <v>0</v>
      </c>
      <c r="U30" s="157">
        <v>0</v>
      </c>
      <c r="V30" s="157">
        <v>50085574</v>
      </c>
      <c r="W30" s="157">
        <v>42495353</v>
      </c>
      <c r="X30" s="206">
        <f t="shared" si="4"/>
        <v>-1</v>
      </c>
      <c r="Y30" s="207">
        <f t="shared" si="5"/>
        <v>2</v>
      </c>
    </row>
    <row r="31" spans="1:25">
      <c r="A31" s="43"/>
      <c r="B31" s="43">
        <v>5</v>
      </c>
      <c r="C31" s="43" t="s">
        <v>468</v>
      </c>
      <c r="D31" s="43"/>
      <c r="E31" s="43"/>
      <c r="F31" s="43"/>
      <c r="G31" s="43"/>
      <c r="H31" s="43"/>
      <c r="I31" s="43"/>
      <c r="J31" s="43"/>
      <c r="K31" s="43"/>
      <c r="L31" s="43"/>
      <c r="M31" s="43"/>
      <c r="Q31" s="23" t="s">
        <v>108</v>
      </c>
      <c r="R31" s="24">
        <v>5</v>
      </c>
      <c r="S31" s="24">
        <v>9</v>
      </c>
      <c r="T31" s="157">
        <v>10000000</v>
      </c>
      <c r="U31" s="157">
        <v>38941670</v>
      </c>
      <c r="V31" s="157">
        <v>67846781</v>
      </c>
      <c r="W31" s="157">
        <v>87726693</v>
      </c>
      <c r="X31" s="206">
        <f t="shared" si="4"/>
        <v>-0.42603511285229584</v>
      </c>
      <c r="Y31" s="207">
        <f t="shared" si="5"/>
        <v>3</v>
      </c>
    </row>
    <row r="32" spans="1:25">
      <c r="A32" s="43"/>
      <c r="B32" s="43">
        <v>6</v>
      </c>
      <c r="C32" s="43" t="s">
        <v>469</v>
      </c>
      <c r="D32" s="43"/>
      <c r="E32" s="43"/>
      <c r="F32" s="43"/>
      <c r="G32" s="43"/>
      <c r="H32" s="43"/>
      <c r="I32" s="43"/>
      <c r="J32" s="43"/>
      <c r="K32" s="43"/>
      <c r="L32" s="43"/>
      <c r="M32" s="43"/>
      <c r="Q32" s="23" t="s">
        <v>129</v>
      </c>
      <c r="R32" s="24">
        <v>4</v>
      </c>
      <c r="S32" s="24">
        <v>5</v>
      </c>
      <c r="T32" s="157">
        <v>1000000</v>
      </c>
      <c r="U32" s="157">
        <v>28926771</v>
      </c>
      <c r="V32" s="157">
        <v>56939610</v>
      </c>
      <c r="W32" s="157">
        <v>92726884</v>
      </c>
      <c r="X32" s="206">
        <f t="shared" si="4"/>
        <v>-0.49197454987837114</v>
      </c>
      <c r="Y32" s="207">
        <f t="shared" si="5"/>
        <v>3</v>
      </c>
    </row>
    <row r="33" spans="1:25">
      <c r="A33" s="43"/>
      <c r="B33" s="43"/>
      <c r="C33" s="43"/>
      <c r="D33" s="43"/>
      <c r="E33" s="43"/>
      <c r="F33" s="43"/>
      <c r="G33" s="43"/>
      <c r="H33" s="43"/>
      <c r="I33" s="43"/>
      <c r="J33" s="43"/>
      <c r="K33" s="43"/>
      <c r="L33" s="43"/>
      <c r="M33" s="43"/>
      <c r="Q33" s="23" t="s">
        <v>93</v>
      </c>
      <c r="R33" s="24">
        <v>3</v>
      </c>
      <c r="S33" s="24">
        <v>8</v>
      </c>
      <c r="T33" s="157">
        <v>1000000</v>
      </c>
      <c r="U33" s="157">
        <v>34252074</v>
      </c>
      <c r="V33" s="157">
        <v>0</v>
      </c>
      <c r="W33" s="157">
        <v>22994819</v>
      </c>
      <c r="X33" s="206">
        <f t="shared" si="4"/>
        <v>0</v>
      </c>
      <c r="Y33" s="207">
        <f t="shared" si="5"/>
        <v>3</v>
      </c>
    </row>
    <row r="34" spans="1:25">
      <c r="A34" s="43"/>
      <c r="B34" s="186">
        <v>1</v>
      </c>
      <c r="C34" s="43"/>
      <c r="D34" s="187">
        <v>4</v>
      </c>
      <c r="E34" s="43"/>
      <c r="F34" s="186">
        <v>2</v>
      </c>
      <c r="G34" s="187">
        <v>5</v>
      </c>
      <c r="H34" s="43"/>
      <c r="I34" s="43"/>
      <c r="J34" s="43"/>
      <c r="K34" s="43"/>
      <c r="L34" s="143">
        <v>3</v>
      </c>
      <c r="M34" s="187">
        <v>6</v>
      </c>
      <c r="Q34" s="23" t="s">
        <v>16</v>
      </c>
      <c r="R34" s="24">
        <v>7</v>
      </c>
      <c r="S34" s="24">
        <v>9</v>
      </c>
      <c r="T34" s="157">
        <v>0</v>
      </c>
      <c r="U34" s="157">
        <v>0</v>
      </c>
      <c r="V34" s="157">
        <v>45347826</v>
      </c>
      <c r="W34" s="157">
        <v>14301768</v>
      </c>
      <c r="X34" s="206">
        <f t="shared" si="4"/>
        <v>-1</v>
      </c>
      <c r="Y34" s="207">
        <f t="shared" si="5"/>
        <v>2</v>
      </c>
    </row>
    <row r="35" spans="1:25" ht="60">
      <c r="A35" s="20" t="s">
        <v>0</v>
      </c>
      <c r="B35" s="20" t="s">
        <v>7</v>
      </c>
      <c r="C35" s="20" t="s">
        <v>3</v>
      </c>
      <c r="D35" s="20" t="s">
        <v>4</v>
      </c>
      <c r="E35" s="20" t="s">
        <v>6</v>
      </c>
      <c r="F35" s="20" t="s">
        <v>277</v>
      </c>
      <c r="G35" s="20" t="s">
        <v>277</v>
      </c>
      <c r="H35" s="20" t="s">
        <v>175</v>
      </c>
      <c r="I35" s="20" t="s">
        <v>176</v>
      </c>
      <c r="J35" s="20" t="s">
        <v>177</v>
      </c>
      <c r="K35" s="20" t="s">
        <v>178</v>
      </c>
      <c r="L35" s="20" t="s">
        <v>470</v>
      </c>
      <c r="M35" s="20" t="s">
        <v>471</v>
      </c>
      <c r="Q35" s="23" t="s">
        <v>34</v>
      </c>
      <c r="R35" s="24">
        <v>4</v>
      </c>
      <c r="S35" s="24">
        <v>8</v>
      </c>
      <c r="T35" s="157">
        <v>0</v>
      </c>
      <c r="U35" s="157">
        <v>0</v>
      </c>
      <c r="V35" s="157">
        <v>71453938</v>
      </c>
      <c r="W35" s="157">
        <v>38593802</v>
      </c>
      <c r="X35" s="206">
        <f t="shared" si="4"/>
        <v>-1</v>
      </c>
      <c r="Y35" s="207">
        <f t="shared" si="5"/>
        <v>2</v>
      </c>
    </row>
    <row r="36" spans="1:25">
      <c r="A36" s="189" t="s">
        <v>57</v>
      </c>
      <c r="B36" s="188" t="s">
        <v>13</v>
      </c>
      <c r="C36" s="188" t="s">
        <v>54</v>
      </c>
      <c r="D36" s="188" t="s">
        <v>55</v>
      </c>
      <c r="E36" s="188" t="s">
        <v>12</v>
      </c>
      <c r="F36" s="188">
        <v>8</v>
      </c>
      <c r="G36" s="188">
        <v>8</v>
      </c>
      <c r="H36" s="190">
        <v>0</v>
      </c>
      <c r="I36" s="190">
        <v>0</v>
      </c>
      <c r="J36" s="190">
        <v>96781441</v>
      </c>
      <c r="K36" s="190">
        <v>47643060</v>
      </c>
      <c r="L36" s="189" t="str">
        <f>IF(D36="Inversion",IF(I36&gt;=10000000,"VALIOSO",""),"")</f>
        <v/>
      </c>
      <c r="M36" s="189" t="str">
        <f>IF(B36="COLOMBIA",IF(J36&lt;=10000000,"OMITIR",""),"")</f>
        <v/>
      </c>
      <c r="Q36" s="23" t="s">
        <v>45</v>
      </c>
      <c r="R36" s="24">
        <v>9</v>
      </c>
      <c r="S36" s="24">
        <v>10</v>
      </c>
      <c r="T36" s="157">
        <v>20000000</v>
      </c>
      <c r="U36" s="157">
        <v>32346156</v>
      </c>
      <c r="V36" s="157">
        <v>22346275</v>
      </c>
      <c r="W36" s="157">
        <v>73743047</v>
      </c>
      <c r="X36" s="206">
        <f t="shared" si="4"/>
        <v>0.44749655143866257</v>
      </c>
      <c r="Y36" s="207">
        <f t="shared" si="5"/>
        <v>3</v>
      </c>
    </row>
    <row r="37" spans="1:25">
      <c r="A37" s="189" t="s">
        <v>98</v>
      </c>
      <c r="B37" s="188" t="s">
        <v>13</v>
      </c>
      <c r="C37" s="188" t="s">
        <v>21</v>
      </c>
      <c r="D37" s="188" t="s">
        <v>472</v>
      </c>
      <c r="E37" s="188" t="s">
        <v>30</v>
      </c>
      <c r="F37" s="188">
        <v>7</v>
      </c>
      <c r="G37" s="188">
        <v>7</v>
      </c>
      <c r="H37" s="190">
        <v>10000000</v>
      </c>
      <c r="I37" s="190">
        <v>40848959</v>
      </c>
      <c r="J37" s="190">
        <v>92963332</v>
      </c>
      <c r="K37" s="190">
        <v>47565587</v>
      </c>
      <c r="L37" s="189" t="str">
        <f t="shared" ref="L37:L100" si="6">IF(D37="Inversion",IF(I37&gt;=10000000,"VALIOSO",""),"")</f>
        <v>VALIOSO</v>
      </c>
      <c r="M37" s="189" t="str">
        <f t="shared" ref="M37:M100" si="7">IF(B37="COLOMBIA",IF(J37&lt;=10000000,"OMITIR",""),"")</f>
        <v/>
      </c>
      <c r="Q37" s="23" t="s">
        <v>64</v>
      </c>
      <c r="R37" s="24">
        <v>4</v>
      </c>
      <c r="S37" s="24">
        <v>6</v>
      </c>
      <c r="T37" s="157">
        <v>0</v>
      </c>
      <c r="U37" s="157">
        <v>0</v>
      </c>
      <c r="V37" s="157">
        <v>96357193</v>
      </c>
      <c r="W37" s="157">
        <v>67901582</v>
      </c>
      <c r="X37" s="206">
        <f t="shared" si="4"/>
        <v>-1</v>
      </c>
      <c r="Y37" s="207">
        <f t="shared" si="5"/>
        <v>2</v>
      </c>
    </row>
    <row r="38" spans="1:25">
      <c r="A38" s="189" t="s">
        <v>118</v>
      </c>
      <c r="B38" s="188" t="s">
        <v>13</v>
      </c>
      <c r="C38" s="188" t="s">
        <v>9</v>
      </c>
      <c r="D38" s="188" t="s">
        <v>17</v>
      </c>
      <c r="E38" s="188" t="s">
        <v>12</v>
      </c>
      <c r="F38" s="188">
        <v>10</v>
      </c>
      <c r="G38" s="188">
        <v>10</v>
      </c>
      <c r="H38" s="190">
        <v>0</v>
      </c>
      <c r="I38" s="190">
        <v>0</v>
      </c>
      <c r="J38" s="190">
        <v>49599457</v>
      </c>
      <c r="K38" s="190">
        <v>0</v>
      </c>
      <c r="L38" s="189" t="str">
        <f t="shared" si="6"/>
        <v/>
      </c>
      <c r="M38" s="189" t="str">
        <f t="shared" si="7"/>
        <v/>
      </c>
      <c r="Q38" s="23" t="s">
        <v>90</v>
      </c>
      <c r="R38" s="24">
        <v>5</v>
      </c>
      <c r="S38" s="24">
        <v>7</v>
      </c>
      <c r="T38" s="157">
        <v>100000000</v>
      </c>
      <c r="U38" s="157">
        <v>72903049</v>
      </c>
      <c r="V38" s="157">
        <v>67375493</v>
      </c>
      <c r="W38" s="157">
        <v>4753995</v>
      </c>
      <c r="X38" s="206">
        <f t="shared" si="4"/>
        <v>8.2041047180166832E-2</v>
      </c>
      <c r="Y38" s="207">
        <f t="shared" si="5"/>
        <v>1</v>
      </c>
    </row>
    <row r="39" spans="1:25">
      <c r="A39" s="189" t="s">
        <v>60</v>
      </c>
      <c r="B39" s="188" t="s">
        <v>13</v>
      </c>
      <c r="C39" s="188" t="s">
        <v>21</v>
      </c>
      <c r="D39" s="188" t="s">
        <v>472</v>
      </c>
      <c r="E39" s="188" t="s">
        <v>12</v>
      </c>
      <c r="F39" s="188">
        <v>8</v>
      </c>
      <c r="G39" s="188">
        <v>8</v>
      </c>
      <c r="H39" s="190">
        <v>10000000</v>
      </c>
      <c r="I39" s="190">
        <v>78308880</v>
      </c>
      <c r="J39" s="190">
        <v>3248026</v>
      </c>
      <c r="K39" s="190">
        <v>27143270</v>
      </c>
      <c r="L39" s="189" t="str">
        <f t="shared" si="6"/>
        <v>VALIOSO</v>
      </c>
      <c r="M39" s="189" t="str">
        <f t="shared" si="7"/>
        <v>OMITIR</v>
      </c>
      <c r="Q39" s="23" t="s">
        <v>105</v>
      </c>
      <c r="R39" s="24">
        <v>6</v>
      </c>
      <c r="S39" s="24">
        <v>7</v>
      </c>
      <c r="T39" s="157">
        <v>0</v>
      </c>
      <c r="U39" s="157">
        <v>0</v>
      </c>
      <c r="V39" s="157">
        <v>80671052</v>
      </c>
      <c r="W39" s="157">
        <v>58339670</v>
      </c>
      <c r="X39" s="206">
        <f t="shared" si="4"/>
        <v>-1</v>
      </c>
      <c r="Y39" s="207">
        <f t="shared" si="5"/>
        <v>2</v>
      </c>
    </row>
    <row r="40" spans="1:25">
      <c r="A40" s="189" t="s">
        <v>8</v>
      </c>
      <c r="B40" s="188" t="s">
        <v>13</v>
      </c>
      <c r="C40" s="188" t="s">
        <v>9</v>
      </c>
      <c r="D40" s="188" t="s">
        <v>472</v>
      </c>
      <c r="E40" s="188" t="s">
        <v>12</v>
      </c>
      <c r="F40" s="188">
        <v>9</v>
      </c>
      <c r="G40" s="188">
        <v>9</v>
      </c>
      <c r="H40" s="190">
        <v>50000000</v>
      </c>
      <c r="I40" s="190">
        <v>2910571</v>
      </c>
      <c r="J40" s="190">
        <v>37561085</v>
      </c>
      <c r="K40" s="190">
        <v>19598007</v>
      </c>
      <c r="L40" s="189" t="str">
        <f t="shared" si="6"/>
        <v/>
      </c>
      <c r="M40" s="189" t="str">
        <f t="shared" si="7"/>
        <v/>
      </c>
      <c r="Q40" s="23" t="s">
        <v>68</v>
      </c>
      <c r="R40" s="24">
        <v>9</v>
      </c>
      <c r="S40" s="24">
        <v>8</v>
      </c>
      <c r="T40" s="157">
        <v>0</v>
      </c>
      <c r="U40" s="157">
        <v>0</v>
      </c>
      <c r="V40" s="157">
        <v>0</v>
      </c>
      <c r="W40" s="157">
        <v>44898366</v>
      </c>
      <c r="X40" s="206">
        <f t="shared" si="4"/>
        <v>0</v>
      </c>
      <c r="Y40" s="207">
        <f t="shared" si="5"/>
        <v>2</v>
      </c>
    </row>
    <row r="41" spans="1:25">
      <c r="A41" s="189" t="s">
        <v>125</v>
      </c>
      <c r="B41" s="188" t="s">
        <v>13</v>
      </c>
      <c r="C41" s="188" t="s">
        <v>21</v>
      </c>
      <c r="D41" s="188" t="s">
        <v>472</v>
      </c>
      <c r="E41" s="188" t="s">
        <v>12</v>
      </c>
      <c r="F41" s="188">
        <v>7</v>
      </c>
      <c r="G41" s="188">
        <v>7</v>
      </c>
      <c r="H41" s="190">
        <v>90000000</v>
      </c>
      <c r="I41" s="190">
        <v>50075523</v>
      </c>
      <c r="J41" s="190">
        <v>59142617</v>
      </c>
      <c r="K41" s="190">
        <v>95314026</v>
      </c>
      <c r="L41" s="189" t="str">
        <f t="shared" si="6"/>
        <v>VALIOSO</v>
      </c>
      <c r="M41" s="189" t="str">
        <f t="shared" si="7"/>
        <v/>
      </c>
      <c r="Q41" s="23" t="s">
        <v>126</v>
      </c>
      <c r="R41" s="24">
        <v>5</v>
      </c>
      <c r="S41" s="24">
        <v>6</v>
      </c>
      <c r="T41" s="157">
        <v>1000000</v>
      </c>
      <c r="U41" s="157">
        <v>96696256</v>
      </c>
      <c r="V41" s="157">
        <v>62106884</v>
      </c>
      <c r="W41" s="157">
        <v>85228190</v>
      </c>
      <c r="X41" s="206">
        <f t="shared" si="4"/>
        <v>0.55693298024740701</v>
      </c>
      <c r="Y41" s="207">
        <f t="shared" si="5"/>
        <v>3</v>
      </c>
    </row>
    <row r="42" spans="1:25">
      <c r="A42" s="189" t="s">
        <v>74</v>
      </c>
      <c r="B42" s="188" t="s">
        <v>13</v>
      </c>
      <c r="C42" s="188" t="s">
        <v>21</v>
      </c>
      <c r="D42" s="188" t="s">
        <v>17</v>
      </c>
      <c r="E42" s="188" t="s">
        <v>12</v>
      </c>
      <c r="F42" s="188">
        <v>9</v>
      </c>
      <c r="G42" s="188">
        <v>9</v>
      </c>
      <c r="H42" s="190">
        <v>0</v>
      </c>
      <c r="I42" s="190">
        <v>0</v>
      </c>
      <c r="J42" s="190">
        <v>0</v>
      </c>
      <c r="K42" s="190">
        <v>67714973</v>
      </c>
      <c r="L42" s="189" t="str">
        <f t="shared" si="6"/>
        <v/>
      </c>
      <c r="M42" s="189" t="str">
        <f t="shared" si="7"/>
        <v>OMITIR</v>
      </c>
      <c r="Q42" s="23" t="s">
        <v>62</v>
      </c>
      <c r="R42" s="24">
        <v>6</v>
      </c>
      <c r="S42" s="24">
        <v>7</v>
      </c>
      <c r="T42" s="157">
        <v>10000000</v>
      </c>
      <c r="U42" s="157">
        <v>51531809</v>
      </c>
      <c r="V42" s="157">
        <v>99819688</v>
      </c>
      <c r="W42" s="157">
        <v>24233431</v>
      </c>
      <c r="X42" s="206">
        <f t="shared" si="4"/>
        <v>-0.48375105119543149</v>
      </c>
      <c r="Y42" s="207">
        <f t="shared" si="5"/>
        <v>3</v>
      </c>
    </row>
    <row r="43" spans="1:25">
      <c r="A43" s="189" t="s">
        <v>29</v>
      </c>
      <c r="B43" s="188" t="s">
        <v>13</v>
      </c>
      <c r="C43" s="188" t="s">
        <v>21</v>
      </c>
      <c r="D43" s="188" t="s">
        <v>472</v>
      </c>
      <c r="E43" s="188" t="s">
        <v>30</v>
      </c>
      <c r="F43" s="188">
        <v>10</v>
      </c>
      <c r="G43" s="188">
        <v>10</v>
      </c>
      <c r="H43" s="190">
        <v>1000000</v>
      </c>
      <c r="I43" s="190">
        <v>5305190</v>
      </c>
      <c r="J43" s="190">
        <v>53291805</v>
      </c>
      <c r="K43" s="190">
        <v>84809282</v>
      </c>
      <c r="L43" s="189" t="str">
        <f t="shared" si="6"/>
        <v/>
      </c>
      <c r="M43" s="189" t="str">
        <f t="shared" si="7"/>
        <v/>
      </c>
      <c r="Q43" s="23" t="s">
        <v>97</v>
      </c>
      <c r="R43" s="24">
        <v>6</v>
      </c>
      <c r="S43" s="24">
        <v>10</v>
      </c>
      <c r="T43" s="157">
        <v>0</v>
      </c>
      <c r="U43" s="157">
        <v>0</v>
      </c>
      <c r="V43" s="157">
        <v>34214902</v>
      </c>
      <c r="W43" s="157">
        <v>24896611</v>
      </c>
      <c r="X43" s="206">
        <f t="shared" si="4"/>
        <v>-1</v>
      </c>
      <c r="Y43" s="207">
        <f t="shared" si="5"/>
        <v>2</v>
      </c>
    </row>
    <row r="44" spans="1:25">
      <c r="A44" s="189" t="s">
        <v>107</v>
      </c>
      <c r="B44" s="189" t="s">
        <v>13</v>
      </c>
      <c r="C44" s="189" t="s">
        <v>15</v>
      </c>
      <c r="D44" s="189" t="s">
        <v>17</v>
      </c>
      <c r="E44" s="189" t="s">
        <v>30</v>
      </c>
      <c r="F44" s="188">
        <v>3</v>
      </c>
      <c r="G44" s="188">
        <v>3</v>
      </c>
      <c r="H44" s="190">
        <v>0</v>
      </c>
      <c r="I44" s="190">
        <v>0</v>
      </c>
      <c r="J44" s="190">
        <v>50085574</v>
      </c>
      <c r="K44" s="190">
        <v>42495353</v>
      </c>
      <c r="L44" s="189" t="str">
        <f t="shared" si="6"/>
        <v/>
      </c>
      <c r="M44" s="189" t="str">
        <f t="shared" si="7"/>
        <v/>
      </c>
      <c r="Q44" s="23" t="s">
        <v>101</v>
      </c>
      <c r="R44" s="24">
        <v>8</v>
      </c>
      <c r="S44" s="24">
        <v>5</v>
      </c>
      <c r="T44" s="157">
        <v>0</v>
      </c>
      <c r="U44" s="157">
        <v>0</v>
      </c>
      <c r="V44" s="157">
        <v>7121108</v>
      </c>
      <c r="W44" s="157">
        <v>6991703</v>
      </c>
      <c r="X44" s="206">
        <f t="shared" si="4"/>
        <v>-1</v>
      </c>
      <c r="Y44" s="207">
        <f t="shared" si="5"/>
        <v>2</v>
      </c>
    </row>
    <row r="45" spans="1:25">
      <c r="A45" s="189" t="s">
        <v>108</v>
      </c>
      <c r="B45" s="188" t="s">
        <v>13</v>
      </c>
      <c r="C45" s="188" t="s">
        <v>25</v>
      </c>
      <c r="D45" s="188" t="s">
        <v>472</v>
      </c>
      <c r="E45" s="188" t="s">
        <v>12</v>
      </c>
      <c r="F45" s="188">
        <v>9</v>
      </c>
      <c r="G45" s="188">
        <v>9</v>
      </c>
      <c r="H45" s="190">
        <v>10000000</v>
      </c>
      <c r="I45" s="190">
        <v>38941670</v>
      </c>
      <c r="J45" s="190">
        <v>67846781</v>
      </c>
      <c r="K45" s="190">
        <v>87726693</v>
      </c>
      <c r="L45" s="189" t="str">
        <f t="shared" si="6"/>
        <v>VALIOSO</v>
      </c>
      <c r="M45" s="189" t="str">
        <f t="shared" si="7"/>
        <v/>
      </c>
      <c r="Q45" s="23" t="s">
        <v>103</v>
      </c>
      <c r="R45" s="24">
        <v>7</v>
      </c>
      <c r="S45" s="24">
        <v>10</v>
      </c>
      <c r="T45" s="157">
        <v>20000000</v>
      </c>
      <c r="U45" s="157">
        <v>93037614</v>
      </c>
      <c r="V45" s="157">
        <v>48185946</v>
      </c>
      <c r="W45" s="157">
        <v>75039300</v>
      </c>
      <c r="X45" s="206">
        <f t="shared" si="4"/>
        <v>0.93080393191824018</v>
      </c>
      <c r="Y45" s="207">
        <f t="shared" si="5"/>
        <v>3</v>
      </c>
    </row>
    <row r="46" spans="1:25">
      <c r="A46" s="189" t="s">
        <v>129</v>
      </c>
      <c r="B46" s="25" t="s">
        <v>130</v>
      </c>
      <c r="C46" s="188" t="s">
        <v>21</v>
      </c>
      <c r="D46" s="188" t="s">
        <v>472</v>
      </c>
      <c r="E46" s="188" t="s">
        <v>12</v>
      </c>
      <c r="F46" s="188">
        <v>5</v>
      </c>
      <c r="G46" s="188">
        <v>5</v>
      </c>
      <c r="H46" s="190">
        <v>1000000</v>
      </c>
      <c r="I46" s="190">
        <v>28926771</v>
      </c>
      <c r="J46" s="190">
        <v>56939610</v>
      </c>
      <c r="K46" s="190">
        <v>92726884</v>
      </c>
      <c r="L46" s="189" t="str">
        <f t="shared" si="6"/>
        <v>VALIOSO</v>
      </c>
      <c r="M46" s="189" t="str">
        <f t="shared" si="7"/>
        <v/>
      </c>
      <c r="Q46" s="23" t="s">
        <v>35</v>
      </c>
      <c r="R46" s="24">
        <v>9</v>
      </c>
      <c r="S46" s="24">
        <v>10</v>
      </c>
      <c r="T46" s="157">
        <v>90000000</v>
      </c>
      <c r="U46" s="157">
        <v>62088180</v>
      </c>
      <c r="V46" s="157">
        <v>18047519</v>
      </c>
      <c r="W46" s="157">
        <v>3738158</v>
      </c>
      <c r="X46" s="206">
        <f t="shared" si="4"/>
        <v>2.4402612347990877</v>
      </c>
      <c r="Y46" s="207">
        <f t="shared" si="5"/>
        <v>1</v>
      </c>
    </row>
    <row r="47" spans="1:25">
      <c r="A47" s="189" t="s">
        <v>93</v>
      </c>
      <c r="B47" s="188" t="s">
        <v>13</v>
      </c>
      <c r="C47" s="188" t="s">
        <v>21</v>
      </c>
      <c r="D47" s="188" t="s">
        <v>472</v>
      </c>
      <c r="E47" s="188" t="s">
        <v>12</v>
      </c>
      <c r="F47" s="188">
        <v>8</v>
      </c>
      <c r="G47" s="188">
        <v>8</v>
      </c>
      <c r="H47" s="190">
        <v>1000000</v>
      </c>
      <c r="I47" s="190">
        <v>34252074</v>
      </c>
      <c r="J47" s="190">
        <v>0</v>
      </c>
      <c r="K47" s="190">
        <v>22994819</v>
      </c>
      <c r="L47" s="189" t="str">
        <f t="shared" si="6"/>
        <v>VALIOSO</v>
      </c>
      <c r="M47" s="189" t="str">
        <f t="shared" si="7"/>
        <v>OMITIR</v>
      </c>
      <c r="Q47" s="23" t="s">
        <v>61</v>
      </c>
      <c r="R47" s="24">
        <v>3</v>
      </c>
      <c r="S47" s="24">
        <v>9</v>
      </c>
      <c r="T47" s="157">
        <v>1000000</v>
      </c>
      <c r="U47" s="157">
        <v>1160848</v>
      </c>
      <c r="V47" s="157">
        <v>32268145</v>
      </c>
      <c r="W47" s="157">
        <v>13339687</v>
      </c>
      <c r="X47" s="206">
        <f t="shared" si="4"/>
        <v>-0.96402495402199295</v>
      </c>
      <c r="Y47" s="207">
        <f t="shared" si="5"/>
        <v>3</v>
      </c>
    </row>
    <row r="48" spans="1:25">
      <c r="A48" s="189" t="s">
        <v>16</v>
      </c>
      <c r="B48" s="188" t="s">
        <v>13</v>
      </c>
      <c r="C48" s="188" t="s">
        <v>9</v>
      </c>
      <c r="D48" s="188" t="s">
        <v>17</v>
      </c>
      <c r="E48" s="188" t="s">
        <v>12</v>
      </c>
      <c r="F48" s="188">
        <v>9</v>
      </c>
      <c r="G48" s="188">
        <v>9</v>
      </c>
      <c r="H48" s="190">
        <v>0</v>
      </c>
      <c r="I48" s="190">
        <v>0</v>
      </c>
      <c r="J48" s="190">
        <v>45347826</v>
      </c>
      <c r="K48" s="190">
        <v>14301768</v>
      </c>
      <c r="L48" s="189" t="str">
        <f t="shared" si="6"/>
        <v/>
      </c>
      <c r="M48" s="189" t="str">
        <f t="shared" si="7"/>
        <v/>
      </c>
      <c r="Q48" s="23" t="s">
        <v>124</v>
      </c>
      <c r="R48" s="24">
        <v>6</v>
      </c>
      <c r="S48" s="24">
        <v>2</v>
      </c>
      <c r="T48" s="157">
        <v>0</v>
      </c>
      <c r="U48" s="157">
        <v>0</v>
      </c>
      <c r="V48" s="157">
        <v>21224611</v>
      </c>
      <c r="W48" s="157">
        <v>62562457</v>
      </c>
      <c r="X48" s="206">
        <f t="shared" si="4"/>
        <v>-1</v>
      </c>
      <c r="Y48" s="207">
        <f t="shared" si="5"/>
        <v>2</v>
      </c>
    </row>
    <row r="49" spans="1:25">
      <c r="A49" s="189" t="s">
        <v>34</v>
      </c>
      <c r="B49" s="188" t="s">
        <v>13</v>
      </c>
      <c r="C49" s="188" t="s">
        <v>21</v>
      </c>
      <c r="D49" s="188" t="s">
        <v>17</v>
      </c>
      <c r="E49" s="188" t="s">
        <v>30</v>
      </c>
      <c r="F49" s="188">
        <v>8</v>
      </c>
      <c r="G49" s="188">
        <v>8</v>
      </c>
      <c r="H49" s="190">
        <v>0</v>
      </c>
      <c r="I49" s="190">
        <v>0</v>
      </c>
      <c r="J49" s="190">
        <v>71453938</v>
      </c>
      <c r="K49" s="190">
        <v>38593802</v>
      </c>
      <c r="L49" s="189" t="str">
        <f t="shared" si="6"/>
        <v/>
      </c>
      <c r="M49" s="189" t="str">
        <f t="shared" si="7"/>
        <v/>
      </c>
      <c r="Q49" s="23" t="s">
        <v>33</v>
      </c>
      <c r="R49" s="24">
        <v>9</v>
      </c>
      <c r="S49" s="24">
        <v>9</v>
      </c>
      <c r="T49" s="157">
        <v>0</v>
      </c>
      <c r="U49" s="157">
        <v>0</v>
      </c>
      <c r="V49" s="157">
        <v>85434615</v>
      </c>
      <c r="W49" s="157">
        <v>79508333</v>
      </c>
      <c r="X49" s="206">
        <f t="shared" si="4"/>
        <v>-1</v>
      </c>
      <c r="Y49" s="207">
        <f t="shared" si="5"/>
        <v>2</v>
      </c>
    </row>
    <row r="50" spans="1:25">
      <c r="A50" s="189" t="s">
        <v>45</v>
      </c>
      <c r="B50" s="188" t="s">
        <v>13</v>
      </c>
      <c r="C50" s="188" t="s">
        <v>25</v>
      </c>
      <c r="D50" s="188" t="s">
        <v>472</v>
      </c>
      <c r="E50" s="188" t="s">
        <v>12</v>
      </c>
      <c r="F50" s="188">
        <v>10</v>
      </c>
      <c r="G50" s="188">
        <v>10</v>
      </c>
      <c r="H50" s="190">
        <v>20000000</v>
      </c>
      <c r="I50" s="190">
        <v>32346156</v>
      </c>
      <c r="J50" s="190">
        <v>22346275</v>
      </c>
      <c r="K50" s="190">
        <v>73743047</v>
      </c>
      <c r="L50" s="189" t="str">
        <f t="shared" si="6"/>
        <v>VALIOSO</v>
      </c>
      <c r="M50" s="189" t="str">
        <f t="shared" si="7"/>
        <v/>
      </c>
      <c r="Q50" s="23" t="s">
        <v>85</v>
      </c>
      <c r="R50" s="24">
        <v>8</v>
      </c>
      <c r="S50" s="24">
        <v>7</v>
      </c>
      <c r="T50" s="157">
        <v>90000000</v>
      </c>
      <c r="U50" s="157">
        <v>23888885</v>
      </c>
      <c r="V50" s="157">
        <v>68725539</v>
      </c>
      <c r="W50" s="157">
        <v>78613526</v>
      </c>
      <c r="X50" s="206">
        <f t="shared" si="4"/>
        <v>-0.65240163485658509</v>
      </c>
      <c r="Y50" s="207">
        <f t="shared" si="5"/>
        <v>1</v>
      </c>
    </row>
    <row r="51" spans="1:25">
      <c r="A51" s="189" t="s">
        <v>64</v>
      </c>
      <c r="B51" s="188" t="s">
        <v>13</v>
      </c>
      <c r="C51" s="188" t="s">
        <v>54</v>
      </c>
      <c r="D51" s="188" t="s">
        <v>55</v>
      </c>
      <c r="E51" s="188" t="s">
        <v>12</v>
      </c>
      <c r="F51" s="188">
        <v>6</v>
      </c>
      <c r="G51" s="188">
        <v>6</v>
      </c>
      <c r="H51" s="190">
        <v>0</v>
      </c>
      <c r="I51" s="190">
        <v>0</v>
      </c>
      <c r="J51" s="190">
        <v>96357193</v>
      </c>
      <c r="K51" s="190">
        <v>67901582</v>
      </c>
      <c r="L51" s="189" t="str">
        <f t="shared" si="6"/>
        <v/>
      </c>
      <c r="M51" s="189" t="str">
        <f t="shared" si="7"/>
        <v/>
      </c>
      <c r="Q51" s="23" t="s">
        <v>110</v>
      </c>
      <c r="R51" s="24">
        <v>8</v>
      </c>
      <c r="S51" s="23">
        <v>8</v>
      </c>
      <c r="T51" s="157">
        <v>10000000</v>
      </c>
      <c r="U51" s="157">
        <v>23464528</v>
      </c>
      <c r="V51" s="157">
        <v>904543</v>
      </c>
      <c r="W51" s="157">
        <v>0</v>
      </c>
      <c r="X51" s="206">
        <f t="shared" si="4"/>
        <v>24.940754613102971</v>
      </c>
      <c r="Y51" s="207">
        <f t="shared" si="5"/>
        <v>3</v>
      </c>
    </row>
    <row r="52" spans="1:25">
      <c r="A52" s="189" t="s">
        <v>90</v>
      </c>
      <c r="B52" s="188" t="s">
        <v>13</v>
      </c>
      <c r="C52" s="188" t="s">
        <v>21</v>
      </c>
      <c r="D52" s="188" t="s">
        <v>472</v>
      </c>
      <c r="E52" s="188" t="s">
        <v>12</v>
      </c>
      <c r="F52" s="188">
        <v>7</v>
      </c>
      <c r="G52" s="188">
        <v>7</v>
      </c>
      <c r="H52" s="190">
        <v>100000000</v>
      </c>
      <c r="I52" s="190">
        <v>72903049</v>
      </c>
      <c r="J52" s="190">
        <v>67375493</v>
      </c>
      <c r="K52" s="190">
        <v>4753995</v>
      </c>
      <c r="L52" s="189" t="str">
        <f t="shared" si="6"/>
        <v>VALIOSO</v>
      </c>
      <c r="M52" s="189" t="str">
        <f t="shared" si="7"/>
        <v/>
      </c>
      <c r="Q52" s="23" t="s">
        <v>132</v>
      </c>
      <c r="R52" s="24">
        <v>6</v>
      </c>
      <c r="S52" s="24">
        <v>8</v>
      </c>
      <c r="T52" s="157">
        <v>0</v>
      </c>
      <c r="U52" s="157">
        <v>0</v>
      </c>
      <c r="V52" s="157">
        <v>66204884</v>
      </c>
      <c r="W52" s="157">
        <v>27801447</v>
      </c>
      <c r="X52" s="206">
        <f t="shared" si="4"/>
        <v>-1</v>
      </c>
      <c r="Y52" s="207">
        <f t="shared" si="5"/>
        <v>2</v>
      </c>
    </row>
    <row r="53" spans="1:25">
      <c r="A53" s="189" t="s">
        <v>105</v>
      </c>
      <c r="B53" s="188" t="s">
        <v>13</v>
      </c>
      <c r="C53" s="188" t="s">
        <v>54</v>
      </c>
      <c r="D53" s="188" t="s">
        <v>55</v>
      </c>
      <c r="E53" s="188" t="s">
        <v>12</v>
      </c>
      <c r="F53" s="188">
        <v>7</v>
      </c>
      <c r="G53" s="188">
        <v>7</v>
      </c>
      <c r="H53" s="190">
        <v>0</v>
      </c>
      <c r="I53" s="190">
        <v>0</v>
      </c>
      <c r="J53" s="190">
        <v>80671052</v>
      </c>
      <c r="K53" s="190">
        <v>58339670</v>
      </c>
      <c r="L53" s="189" t="str">
        <f t="shared" si="6"/>
        <v/>
      </c>
      <c r="M53" s="189" t="str">
        <f t="shared" si="7"/>
        <v/>
      </c>
      <c r="Q53" s="23" t="s">
        <v>91</v>
      </c>
      <c r="R53" s="24">
        <v>3</v>
      </c>
      <c r="S53" s="24">
        <v>5</v>
      </c>
      <c r="T53" s="157">
        <v>0</v>
      </c>
      <c r="U53" s="157">
        <v>0</v>
      </c>
      <c r="V53" s="157">
        <v>30987169</v>
      </c>
      <c r="W53" s="157">
        <v>7339680</v>
      </c>
      <c r="X53" s="206">
        <f t="shared" si="4"/>
        <v>-1</v>
      </c>
      <c r="Y53" s="207">
        <f t="shared" si="5"/>
        <v>2</v>
      </c>
    </row>
    <row r="54" spans="1:25">
      <c r="A54" s="189" t="s">
        <v>68</v>
      </c>
      <c r="B54" s="188" t="s">
        <v>32</v>
      </c>
      <c r="C54" s="188" t="s">
        <v>25</v>
      </c>
      <c r="D54" s="188" t="s">
        <v>17</v>
      </c>
      <c r="E54" s="188" t="s">
        <v>30</v>
      </c>
      <c r="F54" s="188">
        <v>8</v>
      </c>
      <c r="G54" s="188">
        <v>8</v>
      </c>
      <c r="H54" s="190">
        <v>0</v>
      </c>
      <c r="I54" s="190">
        <v>0</v>
      </c>
      <c r="J54" s="190">
        <v>0</v>
      </c>
      <c r="K54" s="190">
        <v>44898366</v>
      </c>
      <c r="L54" s="189" t="str">
        <f t="shared" si="6"/>
        <v/>
      </c>
      <c r="M54" s="189" t="str">
        <f t="shared" si="7"/>
        <v/>
      </c>
      <c r="Q54" s="23" t="s">
        <v>109</v>
      </c>
      <c r="R54" s="24">
        <v>6</v>
      </c>
      <c r="S54" s="24">
        <v>7</v>
      </c>
      <c r="T54" s="157">
        <v>10000000</v>
      </c>
      <c r="U54" s="157">
        <v>22390348</v>
      </c>
      <c r="V54" s="157">
        <v>24476166</v>
      </c>
      <c r="W54" s="157">
        <v>0</v>
      </c>
      <c r="X54" s="206">
        <f t="shared" si="4"/>
        <v>-8.5218330354517119E-2</v>
      </c>
      <c r="Y54" s="207">
        <f t="shared" si="5"/>
        <v>3</v>
      </c>
    </row>
    <row r="55" spans="1:25">
      <c r="A55" s="189" t="s">
        <v>126</v>
      </c>
      <c r="B55" s="188" t="s">
        <v>13</v>
      </c>
      <c r="C55" s="188" t="s">
        <v>21</v>
      </c>
      <c r="D55" s="188" t="s">
        <v>472</v>
      </c>
      <c r="E55" s="188" t="s">
        <v>12</v>
      </c>
      <c r="F55" s="188">
        <v>6</v>
      </c>
      <c r="G55" s="188">
        <v>6</v>
      </c>
      <c r="H55" s="190">
        <v>1000000</v>
      </c>
      <c r="I55" s="190">
        <v>96696256</v>
      </c>
      <c r="J55" s="190">
        <v>62106884</v>
      </c>
      <c r="K55" s="190">
        <v>85228190</v>
      </c>
      <c r="L55" s="189" t="str">
        <f t="shared" si="6"/>
        <v>VALIOSO</v>
      </c>
      <c r="M55" s="189" t="str">
        <f t="shared" si="7"/>
        <v/>
      </c>
      <c r="Q55" s="23" t="s">
        <v>127</v>
      </c>
      <c r="R55" s="24">
        <v>6</v>
      </c>
      <c r="S55" s="24">
        <v>10</v>
      </c>
      <c r="T55" s="157">
        <v>20000000</v>
      </c>
      <c r="U55" s="157">
        <v>31670482</v>
      </c>
      <c r="V55" s="157">
        <v>15619630</v>
      </c>
      <c r="W55" s="157">
        <v>59838390</v>
      </c>
      <c r="X55" s="206">
        <f t="shared" si="4"/>
        <v>1.0276076962130345</v>
      </c>
      <c r="Y55" s="207">
        <f t="shared" si="5"/>
        <v>3</v>
      </c>
    </row>
    <row r="56" spans="1:25">
      <c r="A56" s="189" t="s">
        <v>62</v>
      </c>
      <c r="B56" s="188" t="s">
        <v>13</v>
      </c>
      <c r="C56" s="188" t="s">
        <v>21</v>
      </c>
      <c r="D56" s="188" t="s">
        <v>472</v>
      </c>
      <c r="E56" s="188" t="s">
        <v>12</v>
      </c>
      <c r="F56" s="188">
        <v>7</v>
      </c>
      <c r="G56" s="188">
        <v>7</v>
      </c>
      <c r="H56" s="190">
        <v>10000000</v>
      </c>
      <c r="I56" s="190">
        <v>51531809</v>
      </c>
      <c r="J56" s="190">
        <v>99819688</v>
      </c>
      <c r="K56" s="190">
        <v>24233431</v>
      </c>
      <c r="L56" s="189" t="str">
        <f t="shared" si="6"/>
        <v>VALIOSO</v>
      </c>
      <c r="M56" s="189" t="str">
        <f t="shared" si="7"/>
        <v/>
      </c>
      <c r="Q56" s="23" t="s">
        <v>48</v>
      </c>
      <c r="R56" s="24">
        <v>8</v>
      </c>
      <c r="S56" s="24">
        <v>5</v>
      </c>
      <c r="T56" s="157">
        <v>20000000</v>
      </c>
      <c r="U56" s="157">
        <v>81056910</v>
      </c>
      <c r="V56" s="157">
        <v>96438403</v>
      </c>
      <c r="W56" s="157">
        <v>90723423</v>
      </c>
      <c r="X56" s="206">
        <f t="shared" si="4"/>
        <v>-0.15949551756886726</v>
      </c>
      <c r="Y56" s="207">
        <f t="shared" si="5"/>
        <v>3</v>
      </c>
    </row>
    <row r="57" spans="1:25">
      <c r="A57" s="189" t="s">
        <v>97</v>
      </c>
      <c r="B57" s="188" t="s">
        <v>13</v>
      </c>
      <c r="C57" s="188" t="s">
        <v>15</v>
      </c>
      <c r="D57" s="188" t="s">
        <v>472</v>
      </c>
      <c r="E57" s="188" t="s">
        <v>30</v>
      </c>
      <c r="F57" s="188">
        <v>10</v>
      </c>
      <c r="G57" s="188">
        <v>10</v>
      </c>
      <c r="H57" s="190">
        <v>0</v>
      </c>
      <c r="I57" s="190">
        <v>0</v>
      </c>
      <c r="J57" s="190">
        <v>34214902</v>
      </c>
      <c r="K57" s="190">
        <v>24896611</v>
      </c>
      <c r="L57" s="189" t="str">
        <f t="shared" si="6"/>
        <v/>
      </c>
      <c r="M57" s="189" t="str">
        <f t="shared" si="7"/>
        <v/>
      </c>
      <c r="Q57" s="23" t="s">
        <v>79</v>
      </c>
      <c r="R57" s="24">
        <v>5</v>
      </c>
      <c r="S57" s="24">
        <v>7</v>
      </c>
      <c r="T57" s="157">
        <v>0</v>
      </c>
      <c r="U57" s="157">
        <v>0</v>
      </c>
      <c r="V57" s="157">
        <v>0</v>
      </c>
      <c r="W57" s="157">
        <v>52936315</v>
      </c>
      <c r="X57" s="206">
        <f t="shared" si="4"/>
        <v>0</v>
      </c>
      <c r="Y57" s="207">
        <f t="shared" si="5"/>
        <v>2</v>
      </c>
    </row>
    <row r="58" spans="1:25">
      <c r="A58" s="189" t="s">
        <v>101</v>
      </c>
      <c r="B58" s="25" t="s">
        <v>102</v>
      </c>
      <c r="C58" s="188" t="s">
        <v>25</v>
      </c>
      <c r="D58" s="188" t="s">
        <v>17</v>
      </c>
      <c r="E58" s="188" t="s">
        <v>12</v>
      </c>
      <c r="F58" s="188">
        <v>5</v>
      </c>
      <c r="G58" s="188">
        <v>5</v>
      </c>
      <c r="H58" s="190">
        <v>0</v>
      </c>
      <c r="I58" s="190">
        <v>0</v>
      </c>
      <c r="J58" s="190">
        <v>7121108</v>
      </c>
      <c r="K58" s="190">
        <v>6991703</v>
      </c>
      <c r="L58" s="189" t="str">
        <f t="shared" si="6"/>
        <v/>
      </c>
      <c r="M58" s="189" t="str">
        <f t="shared" si="7"/>
        <v/>
      </c>
      <c r="Q58" s="23" t="s">
        <v>113</v>
      </c>
      <c r="R58" s="24">
        <v>9</v>
      </c>
      <c r="S58" s="24">
        <v>7</v>
      </c>
      <c r="T58" s="157">
        <v>30000000</v>
      </c>
      <c r="U58" s="157">
        <v>91413171</v>
      </c>
      <c r="V58" s="157">
        <v>13211402</v>
      </c>
      <c r="W58" s="157">
        <v>0</v>
      </c>
      <c r="X58" s="206">
        <f t="shared" si="4"/>
        <v>5.9192634513732907</v>
      </c>
      <c r="Y58" s="207">
        <f t="shared" si="5"/>
        <v>3</v>
      </c>
    </row>
    <row r="59" spans="1:25">
      <c r="A59" s="189" t="s">
        <v>103</v>
      </c>
      <c r="B59" s="188" t="s">
        <v>13</v>
      </c>
      <c r="C59" s="188" t="s">
        <v>15</v>
      </c>
      <c r="D59" s="188" t="s">
        <v>472</v>
      </c>
      <c r="E59" s="188" t="s">
        <v>12</v>
      </c>
      <c r="F59" s="188">
        <v>10</v>
      </c>
      <c r="G59" s="188">
        <v>10</v>
      </c>
      <c r="H59" s="190">
        <v>20000000</v>
      </c>
      <c r="I59" s="190">
        <v>93037614</v>
      </c>
      <c r="J59" s="190">
        <v>48185946</v>
      </c>
      <c r="K59" s="190">
        <v>75039300</v>
      </c>
      <c r="L59" s="189" t="str">
        <f t="shared" si="6"/>
        <v>VALIOSO</v>
      </c>
      <c r="M59" s="189" t="str">
        <f t="shared" si="7"/>
        <v/>
      </c>
      <c r="Q59" s="23" t="s">
        <v>36</v>
      </c>
      <c r="R59" s="24">
        <v>4</v>
      </c>
      <c r="S59" s="24">
        <v>7</v>
      </c>
      <c r="T59" s="157">
        <v>1000000</v>
      </c>
      <c r="U59" s="157">
        <v>87347043</v>
      </c>
      <c r="V59" s="157">
        <v>50796112</v>
      </c>
      <c r="W59" s="157">
        <v>72757830</v>
      </c>
      <c r="X59" s="206">
        <f t="shared" si="4"/>
        <v>0.71956158770576772</v>
      </c>
      <c r="Y59" s="207">
        <f t="shared" si="5"/>
        <v>3</v>
      </c>
    </row>
    <row r="60" spans="1:25">
      <c r="A60" s="189" t="s">
        <v>35</v>
      </c>
      <c r="B60" s="188" t="s">
        <v>13</v>
      </c>
      <c r="C60" s="188" t="s">
        <v>21</v>
      </c>
      <c r="D60" s="188" t="s">
        <v>472</v>
      </c>
      <c r="E60" s="188" t="s">
        <v>12</v>
      </c>
      <c r="F60" s="188">
        <v>10</v>
      </c>
      <c r="G60" s="188">
        <v>10</v>
      </c>
      <c r="H60" s="190">
        <v>90000000</v>
      </c>
      <c r="I60" s="190">
        <v>62088180</v>
      </c>
      <c r="J60" s="190">
        <v>18047519</v>
      </c>
      <c r="K60" s="190">
        <v>3738158</v>
      </c>
      <c r="L60" s="189" t="str">
        <f t="shared" si="6"/>
        <v>VALIOSO</v>
      </c>
      <c r="M60" s="189" t="str">
        <f t="shared" si="7"/>
        <v/>
      </c>
      <c r="Q60" s="23" t="s">
        <v>44</v>
      </c>
      <c r="R60" s="24">
        <v>4</v>
      </c>
      <c r="S60" s="24">
        <v>9</v>
      </c>
      <c r="T60" s="157">
        <v>0</v>
      </c>
      <c r="U60" s="157">
        <v>0</v>
      </c>
      <c r="V60" s="157">
        <v>38721754</v>
      </c>
      <c r="W60" s="157">
        <v>77230635</v>
      </c>
      <c r="X60" s="206">
        <f t="shared" si="4"/>
        <v>-1</v>
      </c>
      <c r="Y60" s="207">
        <f t="shared" si="5"/>
        <v>2</v>
      </c>
    </row>
    <row r="61" spans="1:25">
      <c r="A61" s="189" t="s">
        <v>61</v>
      </c>
      <c r="B61" s="188" t="s">
        <v>13</v>
      </c>
      <c r="C61" s="188" t="s">
        <v>25</v>
      </c>
      <c r="D61" s="188" t="s">
        <v>472</v>
      </c>
      <c r="E61" s="188" t="s">
        <v>12</v>
      </c>
      <c r="F61" s="188">
        <v>9</v>
      </c>
      <c r="G61" s="188">
        <v>9</v>
      </c>
      <c r="H61" s="190">
        <v>1000000</v>
      </c>
      <c r="I61" s="190">
        <v>1160848</v>
      </c>
      <c r="J61" s="190">
        <v>32268145</v>
      </c>
      <c r="K61" s="190">
        <v>13339687</v>
      </c>
      <c r="L61" s="189" t="str">
        <f t="shared" si="6"/>
        <v/>
      </c>
      <c r="M61" s="189" t="str">
        <f t="shared" si="7"/>
        <v/>
      </c>
      <c r="Q61" s="23" t="s">
        <v>100</v>
      </c>
      <c r="R61" s="24">
        <v>9</v>
      </c>
      <c r="S61" s="24">
        <v>5</v>
      </c>
      <c r="T61" s="157">
        <v>10000000</v>
      </c>
      <c r="U61" s="157">
        <v>43538967</v>
      </c>
      <c r="V61" s="157">
        <v>5161300</v>
      </c>
      <c r="W61" s="157">
        <v>85417673</v>
      </c>
      <c r="X61" s="206">
        <f t="shared" si="4"/>
        <v>7.435659039389301</v>
      </c>
      <c r="Y61" s="207">
        <f t="shared" si="5"/>
        <v>3</v>
      </c>
    </row>
    <row r="62" spans="1:25">
      <c r="A62" s="189" t="s">
        <v>124</v>
      </c>
      <c r="B62" s="188" t="s">
        <v>13</v>
      </c>
      <c r="C62" s="188" t="s">
        <v>21</v>
      </c>
      <c r="D62" s="188" t="s">
        <v>17</v>
      </c>
      <c r="E62" s="188" t="s">
        <v>12</v>
      </c>
      <c r="F62" s="188">
        <v>2</v>
      </c>
      <c r="G62" s="188">
        <v>2</v>
      </c>
      <c r="H62" s="190">
        <v>0</v>
      </c>
      <c r="I62" s="190">
        <v>0</v>
      </c>
      <c r="J62" s="190">
        <v>21224611</v>
      </c>
      <c r="K62" s="190">
        <v>62562457</v>
      </c>
      <c r="L62" s="189" t="str">
        <f t="shared" si="6"/>
        <v/>
      </c>
      <c r="M62" s="189" t="str">
        <f t="shared" si="7"/>
        <v/>
      </c>
      <c r="Q62" s="23" t="s">
        <v>42</v>
      </c>
      <c r="R62" s="24">
        <v>6</v>
      </c>
      <c r="S62" s="24">
        <v>10</v>
      </c>
      <c r="T62" s="157">
        <v>1000000</v>
      </c>
      <c r="U62" s="157">
        <v>95899452</v>
      </c>
      <c r="V62" s="157">
        <v>2565664</v>
      </c>
      <c r="W62" s="157">
        <v>39602953</v>
      </c>
      <c r="X62" s="206">
        <f t="shared" si="4"/>
        <v>36.378024558165059</v>
      </c>
      <c r="Y62" s="207">
        <f t="shared" si="5"/>
        <v>3</v>
      </c>
    </row>
    <row r="63" spans="1:25">
      <c r="A63" s="189" t="s">
        <v>33</v>
      </c>
      <c r="B63" s="188" t="s">
        <v>13</v>
      </c>
      <c r="C63" s="188" t="s">
        <v>25</v>
      </c>
      <c r="D63" s="188" t="s">
        <v>17</v>
      </c>
      <c r="E63" s="188" t="s">
        <v>12</v>
      </c>
      <c r="F63" s="188">
        <v>9</v>
      </c>
      <c r="G63" s="188">
        <v>9</v>
      </c>
      <c r="H63" s="190">
        <v>0</v>
      </c>
      <c r="I63" s="190">
        <v>0</v>
      </c>
      <c r="J63" s="190">
        <v>85434615</v>
      </c>
      <c r="K63" s="190">
        <v>79508333</v>
      </c>
      <c r="L63" s="189" t="str">
        <f t="shared" si="6"/>
        <v/>
      </c>
      <c r="M63" s="189" t="str">
        <f t="shared" si="7"/>
        <v/>
      </c>
      <c r="Q63" s="23" t="s">
        <v>39</v>
      </c>
      <c r="R63" s="24">
        <v>8</v>
      </c>
      <c r="S63" s="24">
        <v>8</v>
      </c>
      <c r="T63" s="157">
        <v>1000000</v>
      </c>
      <c r="U63" s="157">
        <v>81347428</v>
      </c>
      <c r="V63" s="157">
        <v>10860215</v>
      </c>
      <c r="W63" s="157">
        <v>28637290</v>
      </c>
      <c r="X63" s="206">
        <f t="shared" si="4"/>
        <v>6.4904067737148852</v>
      </c>
      <c r="Y63" s="207">
        <f t="shared" si="5"/>
        <v>3</v>
      </c>
    </row>
    <row r="64" spans="1:25">
      <c r="A64" s="189" t="s">
        <v>85</v>
      </c>
      <c r="B64" s="188" t="s">
        <v>13</v>
      </c>
      <c r="C64" s="188" t="s">
        <v>21</v>
      </c>
      <c r="D64" s="188" t="s">
        <v>472</v>
      </c>
      <c r="E64" s="188" t="s">
        <v>12</v>
      </c>
      <c r="F64" s="188">
        <v>7</v>
      </c>
      <c r="G64" s="188">
        <v>7</v>
      </c>
      <c r="H64" s="190">
        <v>90000000</v>
      </c>
      <c r="I64" s="190">
        <v>23888885</v>
      </c>
      <c r="J64" s="190">
        <v>68725539</v>
      </c>
      <c r="K64" s="190">
        <v>78613526</v>
      </c>
      <c r="L64" s="189" t="str">
        <f t="shared" si="6"/>
        <v>VALIOSO</v>
      </c>
      <c r="M64" s="189" t="str">
        <f t="shared" si="7"/>
        <v/>
      </c>
      <c r="Q64" s="23" t="s">
        <v>120</v>
      </c>
      <c r="R64" s="24">
        <v>6</v>
      </c>
      <c r="S64" s="24">
        <v>10</v>
      </c>
      <c r="T64" s="157">
        <v>30000000</v>
      </c>
      <c r="U64" s="157">
        <v>52442860</v>
      </c>
      <c r="V64" s="157">
        <v>2659881</v>
      </c>
      <c r="W64" s="157">
        <v>80287314</v>
      </c>
      <c r="X64" s="206">
        <f t="shared" si="4"/>
        <v>18.716242944703165</v>
      </c>
      <c r="Y64" s="207">
        <f t="shared" si="5"/>
        <v>3</v>
      </c>
    </row>
    <row r="65" spans="1:25">
      <c r="A65" s="189" t="s">
        <v>110</v>
      </c>
      <c r="B65" s="189" t="s">
        <v>13</v>
      </c>
      <c r="C65" s="189" t="s">
        <v>25</v>
      </c>
      <c r="D65" s="189" t="s">
        <v>472</v>
      </c>
      <c r="E65" s="189" t="s">
        <v>30</v>
      </c>
      <c r="F65" s="189">
        <v>8</v>
      </c>
      <c r="G65" s="189">
        <v>8</v>
      </c>
      <c r="H65" s="190">
        <v>10000000</v>
      </c>
      <c r="I65" s="190">
        <v>23464528</v>
      </c>
      <c r="J65" s="190">
        <v>904543</v>
      </c>
      <c r="K65" s="190">
        <v>0</v>
      </c>
      <c r="L65" s="189" t="str">
        <f t="shared" si="6"/>
        <v>VALIOSO</v>
      </c>
      <c r="M65" s="189" t="str">
        <f t="shared" si="7"/>
        <v>OMITIR</v>
      </c>
      <c r="Q65" s="23" t="s">
        <v>43</v>
      </c>
      <c r="R65" s="24">
        <v>7</v>
      </c>
      <c r="S65" s="24">
        <v>5</v>
      </c>
      <c r="T65" s="157">
        <v>10000000</v>
      </c>
      <c r="U65" s="157">
        <v>96199053</v>
      </c>
      <c r="V65" s="157">
        <v>31746355</v>
      </c>
      <c r="W65" s="157">
        <v>80063468</v>
      </c>
      <c r="X65" s="206">
        <f t="shared" si="4"/>
        <v>2.0302393140881843</v>
      </c>
      <c r="Y65" s="207">
        <f t="shared" si="5"/>
        <v>3</v>
      </c>
    </row>
    <row r="66" spans="1:25">
      <c r="A66" s="189" t="s">
        <v>132</v>
      </c>
      <c r="B66" s="188" t="s">
        <v>13</v>
      </c>
      <c r="C66" s="188" t="s">
        <v>15</v>
      </c>
      <c r="D66" s="188" t="s">
        <v>17</v>
      </c>
      <c r="E66" s="188" t="s">
        <v>12</v>
      </c>
      <c r="F66" s="188">
        <v>8</v>
      </c>
      <c r="G66" s="188">
        <v>8</v>
      </c>
      <c r="H66" s="190">
        <v>0</v>
      </c>
      <c r="I66" s="190">
        <v>0</v>
      </c>
      <c r="J66" s="190">
        <v>66204884</v>
      </c>
      <c r="K66" s="190">
        <v>27801447</v>
      </c>
      <c r="L66" s="189" t="str">
        <f t="shared" si="6"/>
        <v/>
      </c>
      <c r="M66" s="189" t="str">
        <f t="shared" si="7"/>
        <v/>
      </c>
      <c r="Q66" s="23" t="s">
        <v>106</v>
      </c>
      <c r="R66" s="24">
        <v>5</v>
      </c>
      <c r="S66" s="24">
        <v>7</v>
      </c>
      <c r="T66" s="157">
        <v>1000000</v>
      </c>
      <c r="U66" s="157">
        <v>71783742</v>
      </c>
      <c r="V66" s="157">
        <v>64667814</v>
      </c>
      <c r="W66" s="157">
        <v>70653180</v>
      </c>
      <c r="X66" s="206">
        <f t="shared" si="4"/>
        <v>0.11003817138460874</v>
      </c>
      <c r="Y66" s="207">
        <f t="shared" si="5"/>
        <v>3</v>
      </c>
    </row>
    <row r="67" spans="1:25">
      <c r="A67" s="189" t="s">
        <v>91</v>
      </c>
      <c r="B67" s="188" t="s">
        <v>32</v>
      </c>
      <c r="C67" s="188" t="s">
        <v>25</v>
      </c>
      <c r="D67" s="188" t="s">
        <v>17</v>
      </c>
      <c r="E67" s="188" t="s">
        <v>30</v>
      </c>
      <c r="F67" s="188">
        <v>5</v>
      </c>
      <c r="G67" s="188">
        <v>5</v>
      </c>
      <c r="H67" s="190">
        <v>0</v>
      </c>
      <c r="I67" s="190">
        <v>0</v>
      </c>
      <c r="J67" s="190">
        <v>30987169</v>
      </c>
      <c r="K67" s="190">
        <v>7339680</v>
      </c>
      <c r="L67" s="189" t="str">
        <f t="shared" si="6"/>
        <v/>
      </c>
      <c r="M67" s="189" t="str">
        <f t="shared" si="7"/>
        <v/>
      </c>
      <c r="Q67" s="23" t="s">
        <v>122</v>
      </c>
      <c r="R67" s="24">
        <v>3</v>
      </c>
      <c r="S67" s="24">
        <v>8</v>
      </c>
      <c r="T67" s="157">
        <v>90000000</v>
      </c>
      <c r="U67" s="157">
        <v>94913746</v>
      </c>
      <c r="V67" s="157">
        <v>74083223</v>
      </c>
      <c r="W67" s="157">
        <v>31617670</v>
      </c>
      <c r="X67" s="206">
        <f t="shared" si="4"/>
        <v>0.28117733214711782</v>
      </c>
      <c r="Y67" s="207">
        <f t="shared" si="5"/>
        <v>3</v>
      </c>
    </row>
    <row r="68" spans="1:25">
      <c r="A68" s="189" t="s">
        <v>109</v>
      </c>
      <c r="B68" s="188" t="s">
        <v>13</v>
      </c>
      <c r="C68" s="188" t="s">
        <v>21</v>
      </c>
      <c r="D68" s="188" t="s">
        <v>472</v>
      </c>
      <c r="E68" s="188" t="s">
        <v>12</v>
      </c>
      <c r="F68" s="188">
        <v>7</v>
      </c>
      <c r="G68" s="188">
        <v>7</v>
      </c>
      <c r="H68" s="190">
        <v>10000000</v>
      </c>
      <c r="I68" s="190">
        <v>22390348</v>
      </c>
      <c r="J68" s="190">
        <v>24476166</v>
      </c>
      <c r="K68" s="190">
        <v>0</v>
      </c>
      <c r="L68" s="189" t="str">
        <f t="shared" si="6"/>
        <v>VALIOSO</v>
      </c>
      <c r="M68" s="189" t="str">
        <f t="shared" si="7"/>
        <v/>
      </c>
      <c r="Q68" s="23" t="s">
        <v>121</v>
      </c>
      <c r="R68" s="24">
        <v>7</v>
      </c>
      <c r="S68" s="24">
        <v>9</v>
      </c>
      <c r="T68" s="157">
        <v>0</v>
      </c>
      <c r="U68" s="157">
        <v>0</v>
      </c>
      <c r="V68" s="157">
        <v>67753952</v>
      </c>
      <c r="W68" s="157">
        <v>77205812</v>
      </c>
      <c r="X68" s="206">
        <f t="shared" si="4"/>
        <v>-1</v>
      </c>
      <c r="Y68" s="207">
        <f t="shared" si="5"/>
        <v>2</v>
      </c>
    </row>
    <row r="69" spans="1:25">
      <c r="A69" s="189" t="s">
        <v>127</v>
      </c>
      <c r="B69" s="188" t="s">
        <v>13</v>
      </c>
      <c r="C69" s="188" t="s">
        <v>25</v>
      </c>
      <c r="D69" s="188" t="s">
        <v>472</v>
      </c>
      <c r="E69" s="188" t="s">
        <v>12</v>
      </c>
      <c r="F69" s="188">
        <v>10</v>
      </c>
      <c r="G69" s="188">
        <v>10</v>
      </c>
      <c r="H69" s="190">
        <v>20000000</v>
      </c>
      <c r="I69" s="190">
        <v>31670482</v>
      </c>
      <c r="J69" s="190">
        <v>15619630</v>
      </c>
      <c r="K69" s="190">
        <v>59838390</v>
      </c>
      <c r="L69" s="189" t="str">
        <f t="shared" si="6"/>
        <v>VALIOSO</v>
      </c>
      <c r="M69" s="189" t="str">
        <f t="shared" si="7"/>
        <v/>
      </c>
      <c r="Q69" s="23" t="s">
        <v>78</v>
      </c>
      <c r="R69" s="24">
        <v>5</v>
      </c>
      <c r="S69" s="24">
        <v>6</v>
      </c>
      <c r="T69" s="157">
        <v>30000000</v>
      </c>
      <c r="U69" s="157">
        <v>33477783</v>
      </c>
      <c r="V69" s="157">
        <v>0</v>
      </c>
      <c r="W69" s="157">
        <v>27651635</v>
      </c>
      <c r="X69" s="206">
        <f t="shared" si="4"/>
        <v>0</v>
      </c>
      <c r="Y69" s="207">
        <f t="shared" si="5"/>
        <v>3</v>
      </c>
    </row>
    <row r="70" spans="1:25">
      <c r="A70" s="189" t="s">
        <v>48</v>
      </c>
      <c r="B70" s="188" t="s">
        <v>13</v>
      </c>
      <c r="C70" s="188" t="s">
        <v>9</v>
      </c>
      <c r="D70" s="188" t="s">
        <v>472</v>
      </c>
      <c r="E70" s="188" t="s">
        <v>12</v>
      </c>
      <c r="F70" s="188">
        <v>5</v>
      </c>
      <c r="G70" s="188">
        <v>5</v>
      </c>
      <c r="H70" s="190">
        <v>20000000</v>
      </c>
      <c r="I70" s="190">
        <v>81056910</v>
      </c>
      <c r="J70" s="190">
        <v>96438403</v>
      </c>
      <c r="K70" s="190">
        <v>90723423</v>
      </c>
      <c r="L70" s="189" t="str">
        <f t="shared" si="6"/>
        <v>VALIOSO</v>
      </c>
      <c r="M70" s="189" t="str">
        <f t="shared" si="7"/>
        <v/>
      </c>
      <c r="Q70" s="23" t="s">
        <v>82</v>
      </c>
      <c r="R70" s="24">
        <v>9</v>
      </c>
      <c r="S70" s="24">
        <v>9</v>
      </c>
      <c r="T70" s="157">
        <v>50000000</v>
      </c>
      <c r="U70" s="157">
        <v>2702447</v>
      </c>
      <c r="V70" s="157">
        <v>0</v>
      </c>
      <c r="W70" s="157">
        <v>44671760</v>
      </c>
      <c r="X70" s="206">
        <f t="shared" si="4"/>
        <v>0</v>
      </c>
      <c r="Y70" s="207">
        <f t="shared" si="5"/>
        <v>1</v>
      </c>
    </row>
    <row r="71" spans="1:25">
      <c r="A71" s="189" t="s">
        <v>79</v>
      </c>
      <c r="B71" s="188" t="s">
        <v>13</v>
      </c>
      <c r="C71" s="188" t="s">
        <v>21</v>
      </c>
      <c r="D71" s="188" t="s">
        <v>55</v>
      </c>
      <c r="E71" s="188" t="s">
        <v>12</v>
      </c>
      <c r="F71" s="188">
        <v>7</v>
      </c>
      <c r="G71" s="188">
        <v>7</v>
      </c>
      <c r="H71" s="190">
        <v>0</v>
      </c>
      <c r="I71" s="190">
        <v>0</v>
      </c>
      <c r="J71" s="190">
        <v>0</v>
      </c>
      <c r="K71" s="190">
        <v>52936315</v>
      </c>
      <c r="L71" s="189" t="str">
        <f t="shared" si="6"/>
        <v/>
      </c>
      <c r="M71" s="189" t="str">
        <f t="shared" si="7"/>
        <v>OMITIR</v>
      </c>
      <c r="Q71" s="23" t="s">
        <v>95</v>
      </c>
      <c r="R71" s="24">
        <v>6</v>
      </c>
      <c r="S71" s="24">
        <v>8</v>
      </c>
      <c r="T71" s="157">
        <v>50000000</v>
      </c>
      <c r="U71" s="157">
        <v>70787848</v>
      </c>
      <c r="V71" s="157">
        <v>33368202</v>
      </c>
      <c r="W71" s="157">
        <v>43277527</v>
      </c>
      <c r="X71" s="206">
        <f t="shared" si="4"/>
        <v>1.1214163112534503</v>
      </c>
      <c r="Y71" s="207">
        <f t="shared" si="5"/>
        <v>3</v>
      </c>
    </row>
    <row r="72" spans="1:25">
      <c r="A72" s="189" t="s">
        <v>113</v>
      </c>
      <c r="B72" s="188" t="s">
        <v>13</v>
      </c>
      <c r="C72" s="188" t="s">
        <v>21</v>
      </c>
      <c r="D72" s="188" t="s">
        <v>472</v>
      </c>
      <c r="E72" s="188" t="s">
        <v>12</v>
      </c>
      <c r="F72" s="188">
        <v>7</v>
      </c>
      <c r="G72" s="188">
        <v>7</v>
      </c>
      <c r="H72" s="190">
        <v>30000000</v>
      </c>
      <c r="I72" s="190">
        <v>91413171</v>
      </c>
      <c r="J72" s="190">
        <v>13211402</v>
      </c>
      <c r="K72" s="190">
        <v>0</v>
      </c>
      <c r="L72" s="189" t="str">
        <f t="shared" si="6"/>
        <v>VALIOSO</v>
      </c>
      <c r="M72" s="189" t="str">
        <f t="shared" si="7"/>
        <v/>
      </c>
      <c r="Q72" s="23" t="s">
        <v>31</v>
      </c>
      <c r="R72" s="24">
        <v>7</v>
      </c>
      <c r="S72" s="24">
        <v>5</v>
      </c>
      <c r="T72" s="157">
        <v>0</v>
      </c>
      <c r="U72" s="157">
        <v>0</v>
      </c>
      <c r="V72" s="157">
        <v>46563396</v>
      </c>
      <c r="W72" s="157">
        <v>63313535</v>
      </c>
      <c r="X72" s="206">
        <f t="shared" si="4"/>
        <v>-1</v>
      </c>
      <c r="Y72" s="207">
        <f t="shared" si="5"/>
        <v>2</v>
      </c>
    </row>
    <row r="73" spans="1:25">
      <c r="A73" s="189" t="s">
        <v>36</v>
      </c>
      <c r="B73" s="188" t="s">
        <v>13</v>
      </c>
      <c r="C73" s="188" t="s">
        <v>9</v>
      </c>
      <c r="D73" s="188" t="s">
        <v>472</v>
      </c>
      <c r="E73" s="188" t="s">
        <v>12</v>
      </c>
      <c r="F73" s="188">
        <v>7</v>
      </c>
      <c r="G73" s="188">
        <v>7</v>
      </c>
      <c r="H73" s="190">
        <v>1000000</v>
      </c>
      <c r="I73" s="190">
        <v>87347043</v>
      </c>
      <c r="J73" s="190">
        <v>50796112</v>
      </c>
      <c r="K73" s="190">
        <v>72757830</v>
      </c>
      <c r="L73" s="189" t="str">
        <f t="shared" si="6"/>
        <v>VALIOSO</v>
      </c>
      <c r="M73" s="189" t="str">
        <f t="shared" si="7"/>
        <v/>
      </c>
      <c r="Q73" s="23" t="s">
        <v>111</v>
      </c>
      <c r="R73" s="24">
        <v>5</v>
      </c>
      <c r="S73" s="24">
        <v>6</v>
      </c>
      <c r="T73" s="157">
        <v>20000000</v>
      </c>
      <c r="U73" s="157">
        <v>40064620</v>
      </c>
      <c r="V73" s="157">
        <v>98137438</v>
      </c>
      <c r="W73" s="157">
        <v>0</v>
      </c>
      <c r="X73" s="206">
        <f t="shared" si="4"/>
        <v>-0.59174988855934874</v>
      </c>
      <c r="Y73" s="207">
        <f t="shared" si="5"/>
        <v>3</v>
      </c>
    </row>
    <row r="74" spans="1:25">
      <c r="A74" s="189" t="s">
        <v>44</v>
      </c>
      <c r="B74" s="188" t="s">
        <v>13</v>
      </c>
      <c r="C74" s="188" t="s">
        <v>25</v>
      </c>
      <c r="D74" s="188" t="s">
        <v>17</v>
      </c>
      <c r="E74" s="188" t="s">
        <v>12</v>
      </c>
      <c r="F74" s="188">
        <v>9</v>
      </c>
      <c r="G74" s="188">
        <v>9</v>
      </c>
      <c r="H74" s="190">
        <v>0</v>
      </c>
      <c r="I74" s="190">
        <v>0</v>
      </c>
      <c r="J74" s="190">
        <v>38721754</v>
      </c>
      <c r="K74" s="190">
        <v>77230635</v>
      </c>
      <c r="L74" s="189" t="str">
        <f t="shared" si="6"/>
        <v/>
      </c>
      <c r="M74" s="189" t="str">
        <f t="shared" si="7"/>
        <v/>
      </c>
      <c r="Q74" s="23" t="s">
        <v>81</v>
      </c>
      <c r="R74" s="24">
        <v>4</v>
      </c>
      <c r="S74" s="24">
        <v>6</v>
      </c>
      <c r="T74" s="157">
        <v>30000000</v>
      </c>
      <c r="U74" s="157">
        <v>45289360</v>
      </c>
      <c r="V74" s="157">
        <v>0</v>
      </c>
      <c r="W74" s="157">
        <v>46980526</v>
      </c>
      <c r="X74" s="206">
        <f t="shared" si="4"/>
        <v>0</v>
      </c>
      <c r="Y74" s="207">
        <f t="shared" si="5"/>
        <v>3</v>
      </c>
    </row>
    <row r="75" spans="1:25">
      <c r="A75" s="189" t="s">
        <v>100</v>
      </c>
      <c r="B75" s="188" t="s">
        <v>13</v>
      </c>
      <c r="C75" s="188" t="s">
        <v>21</v>
      </c>
      <c r="D75" s="188" t="s">
        <v>472</v>
      </c>
      <c r="E75" s="188" t="s">
        <v>12</v>
      </c>
      <c r="F75" s="188">
        <v>5</v>
      </c>
      <c r="G75" s="188">
        <v>5</v>
      </c>
      <c r="H75" s="190">
        <v>10000000</v>
      </c>
      <c r="I75" s="190">
        <v>43538967</v>
      </c>
      <c r="J75" s="190">
        <v>5161300</v>
      </c>
      <c r="K75" s="190">
        <v>85417673</v>
      </c>
      <c r="L75" s="189" t="str">
        <f t="shared" si="6"/>
        <v>VALIOSO</v>
      </c>
      <c r="M75" s="189" t="str">
        <f t="shared" si="7"/>
        <v>OMITIR</v>
      </c>
      <c r="Q75" s="23" t="s">
        <v>50</v>
      </c>
      <c r="R75" s="24">
        <v>7</v>
      </c>
      <c r="S75" s="24">
        <v>5</v>
      </c>
      <c r="T75" s="157">
        <v>30000000</v>
      </c>
      <c r="U75" s="157">
        <v>34397393</v>
      </c>
      <c r="V75" s="157">
        <v>72192037</v>
      </c>
      <c r="W75" s="157">
        <v>21247716</v>
      </c>
      <c r="X75" s="206">
        <f t="shared" si="4"/>
        <v>-0.5235292640378052</v>
      </c>
      <c r="Y75" s="207">
        <f t="shared" si="5"/>
        <v>3</v>
      </c>
    </row>
    <row r="76" spans="1:25">
      <c r="A76" s="189" t="s">
        <v>42</v>
      </c>
      <c r="B76" s="188" t="s">
        <v>13</v>
      </c>
      <c r="C76" s="188" t="s">
        <v>21</v>
      </c>
      <c r="D76" s="188" t="s">
        <v>472</v>
      </c>
      <c r="E76" s="188" t="s">
        <v>30</v>
      </c>
      <c r="F76" s="188">
        <v>10</v>
      </c>
      <c r="G76" s="188">
        <v>10</v>
      </c>
      <c r="H76" s="190">
        <v>1000000</v>
      </c>
      <c r="I76" s="190">
        <v>95899452</v>
      </c>
      <c r="J76" s="190">
        <v>2565664</v>
      </c>
      <c r="K76" s="190">
        <v>39602953</v>
      </c>
      <c r="L76" s="189" t="str">
        <f t="shared" si="6"/>
        <v>VALIOSO</v>
      </c>
      <c r="M76" s="189" t="str">
        <f t="shared" si="7"/>
        <v>OMITIR</v>
      </c>
      <c r="Q76" s="23" t="s">
        <v>123</v>
      </c>
      <c r="R76" s="24">
        <v>3</v>
      </c>
      <c r="S76" s="24">
        <v>9</v>
      </c>
      <c r="T76" s="157">
        <v>0</v>
      </c>
      <c r="U76" s="157">
        <v>0</v>
      </c>
      <c r="V76" s="157">
        <v>69870077</v>
      </c>
      <c r="W76" s="157">
        <v>98441580</v>
      </c>
      <c r="X76" s="206">
        <f t="shared" si="4"/>
        <v>-1</v>
      </c>
      <c r="Y76" s="207">
        <f t="shared" si="5"/>
        <v>2</v>
      </c>
    </row>
    <row r="77" spans="1:25">
      <c r="A77" s="189" t="s">
        <v>39</v>
      </c>
      <c r="B77" s="188" t="s">
        <v>13</v>
      </c>
      <c r="C77" s="188" t="s">
        <v>21</v>
      </c>
      <c r="D77" s="188" t="s">
        <v>472</v>
      </c>
      <c r="E77" s="188" t="s">
        <v>30</v>
      </c>
      <c r="F77" s="188">
        <v>8</v>
      </c>
      <c r="G77" s="188">
        <v>8</v>
      </c>
      <c r="H77" s="190">
        <v>1000000</v>
      </c>
      <c r="I77" s="190">
        <v>81347428</v>
      </c>
      <c r="J77" s="190">
        <v>10860215</v>
      </c>
      <c r="K77" s="190">
        <v>28637290</v>
      </c>
      <c r="L77" s="189" t="str">
        <f t="shared" si="6"/>
        <v>VALIOSO</v>
      </c>
      <c r="M77" s="189" t="str">
        <f t="shared" si="7"/>
        <v/>
      </c>
      <c r="Q77" s="23" t="s">
        <v>26</v>
      </c>
      <c r="R77" s="24">
        <v>3</v>
      </c>
      <c r="S77" s="24">
        <v>6</v>
      </c>
      <c r="T77" s="157">
        <v>1000000</v>
      </c>
      <c r="U77" s="157">
        <v>34126405</v>
      </c>
      <c r="V77" s="157">
        <v>88265167</v>
      </c>
      <c r="W77" s="157">
        <v>56002928</v>
      </c>
      <c r="X77" s="206">
        <f t="shared" si="4"/>
        <v>-0.61336497556278347</v>
      </c>
      <c r="Y77" s="207">
        <f t="shared" si="5"/>
        <v>3</v>
      </c>
    </row>
    <row r="78" spans="1:25">
      <c r="A78" s="189" t="s">
        <v>120</v>
      </c>
      <c r="B78" s="188" t="s">
        <v>13</v>
      </c>
      <c r="C78" s="188" t="s">
        <v>25</v>
      </c>
      <c r="D78" s="188" t="s">
        <v>472</v>
      </c>
      <c r="E78" s="188" t="s">
        <v>30</v>
      </c>
      <c r="F78" s="188">
        <v>10</v>
      </c>
      <c r="G78" s="188">
        <v>10</v>
      </c>
      <c r="H78" s="190">
        <v>30000000</v>
      </c>
      <c r="I78" s="190">
        <v>52442860</v>
      </c>
      <c r="J78" s="190">
        <v>2659881</v>
      </c>
      <c r="K78" s="190">
        <v>80287314</v>
      </c>
      <c r="L78" s="189" t="str">
        <f t="shared" si="6"/>
        <v>VALIOSO</v>
      </c>
      <c r="M78" s="189" t="str">
        <f t="shared" si="7"/>
        <v>OMITIR</v>
      </c>
      <c r="Q78" s="23" t="s">
        <v>41</v>
      </c>
      <c r="R78" s="24">
        <v>7</v>
      </c>
      <c r="S78" s="24">
        <v>10</v>
      </c>
      <c r="T78" s="157">
        <v>1000000</v>
      </c>
      <c r="U78" s="157">
        <v>53008255</v>
      </c>
      <c r="V78" s="157">
        <v>46917910</v>
      </c>
      <c r="W78" s="157">
        <v>47557281</v>
      </c>
      <c r="X78" s="206">
        <f t="shared" si="4"/>
        <v>0.12980853153944838</v>
      </c>
      <c r="Y78" s="207">
        <f t="shared" si="5"/>
        <v>3</v>
      </c>
    </row>
    <row r="79" spans="1:25">
      <c r="A79" s="189" t="s">
        <v>43</v>
      </c>
      <c r="B79" s="188" t="s">
        <v>13</v>
      </c>
      <c r="C79" s="188" t="s">
        <v>21</v>
      </c>
      <c r="D79" s="188" t="s">
        <v>472</v>
      </c>
      <c r="E79" s="188" t="s">
        <v>30</v>
      </c>
      <c r="F79" s="188">
        <v>5</v>
      </c>
      <c r="G79" s="188">
        <v>5</v>
      </c>
      <c r="H79" s="190">
        <v>10000000</v>
      </c>
      <c r="I79" s="190">
        <v>96199053</v>
      </c>
      <c r="J79" s="190">
        <v>31746355</v>
      </c>
      <c r="K79" s="190">
        <v>80063468</v>
      </c>
      <c r="L79" s="189" t="str">
        <f t="shared" si="6"/>
        <v>VALIOSO</v>
      </c>
      <c r="M79" s="189" t="str">
        <f t="shared" si="7"/>
        <v/>
      </c>
      <c r="Q79" s="23" t="s">
        <v>73</v>
      </c>
      <c r="R79" s="24">
        <v>5</v>
      </c>
      <c r="S79" s="24">
        <v>9</v>
      </c>
      <c r="T79" s="157">
        <v>0</v>
      </c>
      <c r="U79" s="157">
        <v>0</v>
      </c>
      <c r="V79" s="157">
        <v>0</v>
      </c>
      <c r="W79" s="157">
        <v>22675260</v>
      </c>
      <c r="X79" s="206">
        <f t="shared" si="4"/>
        <v>0</v>
      </c>
      <c r="Y79" s="207">
        <f t="shared" si="5"/>
        <v>2</v>
      </c>
    </row>
    <row r="80" spans="1:25">
      <c r="A80" s="189" t="s">
        <v>106</v>
      </c>
      <c r="B80" s="188" t="s">
        <v>13</v>
      </c>
      <c r="C80" s="188" t="s">
        <v>21</v>
      </c>
      <c r="D80" s="188" t="s">
        <v>472</v>
      </c>
      <c r="E80" s="188" t="s">
        <v>12</v>
      </c>
      <c r="F80" s="188">
        <v>7</v>
      </c>
      <c r="G80" s="188">
        <v>7</v>
      </c>
      <c r="H80" s="190">
        <v>1000000</v>
      </c>
      <c r="I80" s="190">
        <v>71783742</v>
      </c>
      <c r="J80" s="190">
        <v>64667814</v>
      </c>
      <c r="K80" s="190">
        <v>70653180</v>
      </c>
      <c r="L80" s="189" t="str">
        <f t="shared" si="6"/>
        <v>VALIOSO</v>
      </c>
      <c r="M80" s="189" t="str">
        <f t="shared" si="7"/>
        <v/>
      </c>
      <c r="Q80" s="23" t="s">
        <v>88</v>
      </c>
      <c r="R80" s="24">
        <v>9</v>
      </c>
      <c r="S80" s="24">
        <v>5</v>
      </c>
      <c r="T80" s="157">
        <v>100000000</v>
      </c>
      <c r="U80" s="157">
        <v>94688720</v>
      </c>
      <c r="V80" s="157">
        <v>86323763</v>
      </c>
      <c r="W80" s="157">
        <v>20929788</v>
      </c>
      <c r="X80" s="206">
        <f t="shared" si="4"/>
        <v>9.6902135742159431E-2</v>
      </c>
      <c r="Y80" s="207">
        <f t="shared" si="5"/>
        <v>1</v>
      </c>
    </row>
    <row r="81" spans="1:25">
      <c r="A81" s="189" t="s">
        <v>122</v>
      </c>
      <c r="B81" s="188" t="s">
        <v>13</v>
      </c>
      <c r="C81" s="188" t="s">
        <v>25</v>
      </c>
      <c r="D81" s="188" t="s">
        <v>472</v>
      </c>
      <c r="E81" s="188" t="s">
        <v>12</v>
      </c>
      <c r="F81" s="188">
        <v>8</v>
      </c>
      <c r="G81" s="188">
        <v>8</v>
      </c>
      <c r="H81" s="190">
        <v>90000000</v>
      </c>
      <c r="I81" s="190">
        <v>94913746</v>
      </c>
      <c r="J81" s="190">
        <v>74083223</v>
      </c>
      <c r="K81" s="190">
        <v>31617670</v>
      </c>
      <c r="L81" s="189" t="str">
        <f t="shared" si="6"/>
        <v>VALIOSO</v>
      </c>
      <c r="M81" s="189" t="str">
        <f t="shared" si="7"/>
        <v/>
      </c>
      <c r="Q81" s="23" t="s">
        <v>133</v>
      </c>
      <c r="R81" s="24">
        <v>4</v>
      </c>
      <c r="S81" s="24">
        <v>8</v>
      </c>
      <c r="T81" s="157">
        <v>0</v>
      </c>
      <c r="U81" s="157">
        <v>0</v>
      </c>
      <c r="V81" s="157">
        <v>96750826</v>
      </c>
      <c r="W81" s="157">
        <v>31435769</v>
      </c>
      <c r="X81" s="206">
        <f t="shared" si="4"/>
        <v>-1</v>
      </c>
      <c r="Y81" s="207">
        <f t="shared" si="5"/>
        <v>2</v>
      </c>
    </row>
    <row r="82" spans="1:25">
      <c r="A82" s="189" t="s">
        <v>121</v>
      </c>
      <c r="B82" s="188" t="s">
        <v>13</v>
      </c>
      <c r="C82" s="188" t="s">
        <v>25</v>
      </c>
      <c r="D82" s="188" t="s">
        <v>17</v>
      </c>
      <c r="E82" s="188" t="s">
        <v>12</v>
      </c>
      <c r="F82" s="188">
        <v>9</v>
      </c>
      <c r="G82" s="188">
        <v>9</v>
      </c>
      <c r="H82" s="190">
        <v>0</v>
      </c>
      <c r="I82" s="190">
        <v>0</v>
      </c>
      <c r="J82" s="190">
        <v>67753952</v>
      </c>
      <c r="K82" s="190">
        <v>77205812</v>
      </c>
      <c r="L82" s="189" t="str">
        <f t="shared" si="6"/>
        <v/>
      </c>
      <c r="M82" s="189" t="str">
        <f t="shared" si="7"/>
        <v/>
      </c>
      <c r="Q82" s="23" t="s">
        <v>67</v>
      </c>
      <c r="R82" s="24">
        <v>5</v>
      </c>
      <c r="S82" s="24">
        <v>10</v>
      </c>
      <c r="T82" s="157">
        <v>10000000</v>
      </c>
      <c r="U82" s="157">
        <v>89686683</v>
      </c>
      <c r="V82" s="157">
        <v>62448793</v>
      </c>
      <c r="W82" s="157">
        <v>26812600</v>
      </c>
      <c r="X82" s="206">
        <f t="shared" si="4"/>
        <v>0.43616359406658189</v>
      </c>
      <c r="Y82" s="207">
        <f t="shared" si="5"/>
        <v>3</v>
      </c>
    </row>
    <row r="83" spans="1:25">
      <c r="A83" s="189" t="s">
        <v>78</v>
      </c>
      <c r="B83" s="188" t="s">
        <v>32</v>
      </c>
      <c r="C83" s="188" t="s">
        <v>21</v>
      </c>
      <c r="D83" s="188" t="s">
        <v>472</v>
      </c>
      <c r="E83" s="188" t="s">
        <v>30</v>
      </c>
      <c r="F83" s="188">
        <v>6</v>
      </c>
      <c r="G83" s="188">
        <v>6</v>
      </c>
      <c r="H83" s="190">
        <v>30000000</v>
      </c>
      <c r="I83" s="190">
        <v>33477783</v>
      </c>
      <c r="J83" s="190">
        <v>0</v>
      </c>
      <c r="K83" s="190">
        <v>27651635</v>
      </c>
      <c r="L83" s="189" t="str">
        <f t="shared" si="6"/>
        <v>VALIOSO</v>
      </c>
      <c r="M83" s="189" t="str">
        <f t="shared" si="7"/>
        <v/>
      </c>
      <c r="Q83" s="23" t="s">
        <v>84</v>
      </c>
      <c r="R83" s="24">
        <v>3</v>
      </c>
      <c r="S83" s="24">
        <v>10</v>
      </c>
      <c r="T83" s="157">
        <v>30000000</v>
      </c>
      <c r="U83" s="157">
        <v>32890743</v>
      </c>
      <c r="V83" s="157">
        <v>0</v>
      </c>
      <c r="W83" s="157">
        <v>39864620</v>
      </c>
      <c r="X83" s="206">
        <f t="shared" si="4"/>
        <v>0</v>
      </c>
      <c r="Y83" s="207">
        <f t="shared" si="5"/>
        <v>3</v>
      </c>
    </row>
    <row r="84" spans="1:25">
      <c r="A84" s="189" t="s">
        <v>82</v>
      </c>
      <c r="B84" s="188" t="s">
        <v>13</v>
      </c>
      <c r="C84" s="188" t="s">
        <v>9</v>
      </c>
      <c r="D84" s="188" t="s">
        <v>472</v>
      </c>
      <c r="E84" s="188" t="s">
        <v>30</v>
      </c>
      <c r="F84" s="188">
        <v>9</v>
      </c>
      <c r="G84" s="188">
        <v>9</v>
      </c>
      <c r="H84" s="190">
        <v>50000000</v>
      </c>
      <c r="I84" s="190">
        <v>2702447</v>
      </c>
      <c r="J84" s="190">
        <v>0</v>
      </c>
      <c r="K84" s="190">
        <v>44671760</v>
      </c>
      <c r="L84" s="189" t="str">
        <f t="shared" si="6"/>
        <v/>
      </c>
      <c r="M84" s="189" t="str">
        <f t="shared" si="7"/>
        <v>OMITIR</v>
      </c>
      <c r="Q84" s="23" t="s">
        <v>38</v>
      </c>
      <c r="R84" s="24">
        <v>3</v>
      </c>
      <c r="S84" s="24">
        <v>10</v>
      </c>
      <c r="T84" s="157">
        <v>10000000</v>
      </c>
      <c r="U84" s="157">
        <v>32370896</v>
      </c>
      <c r="V84" s="157">
        <v>96066942</v>
      </c>
      <c r="W84" s="157">
        <v>3767736</v>
      </c>
      <c r="X84" s="206">
        <f t="shared" si="4"/>
        <v>-0.66303813438758152</v>
      </c>
      <c r="Y84" s="207">
        <f t="shared" si="5"/>
        <v>3</v>
      </c>
    </row>
    <row r="85" spans="1:25">
      <c r="A85" s="189" t="s">
        <v>95</v>
      </c>
      <c r="B85" s="25" t="s">
        <v>96</v>
      </c>
      <c r="C85" s="188" t="s">
        <v>21</v>
      </c>
      <c r="D85" s="188" t="s">
        <v>472</v>
      </c>
      <c r="E85" s="188" t="s">
        <v>12</v>
      </c>
      <c r="F85" s="188">
        <v>8</v>
      </c>
      <c r="G85" s="188">
        <v>8</v>
      </c>
      <c r="H85" s="190">
        <v>50000000</v>
      </c>
      <c r="I85" s="190">
        <v>70787848</v>
      </c>
      <c r="J85" s="190">
        <v>33368202</v>
      </c>
      <c r="K85" s="190">
        <v>43277527</v>
      </c>
      <c r="L85" s="189" t="str">
        <f t="shared" si="6"/>
        <v>VALIOSO</v>
      </c>
      <c r="M85" s="189" t="str">
        <f t="shared" si="7"/>
        <v/>
      </c>
      <c r="Q85" s="23" t="s">
        <v>24</v>
      </c>
      <c r="R85" s="24">
        <v>5</v>
      </c>
      <c r="S85" s="24">
        <v>5</v>
      </c>
      <c r="T85" s="157">
        <v>0</v>
      </c>
      <c r="U85" s="157">
        <v>0</v>
      </c>
      <c r="V85" s="157">
        <v>24514428</v>
      </c>
      <c r="W85" s="157">
        <v>27890231</v>
      </c>
      <c r="X85" s="206">
        <f t="shared" si="4"/>
        <v>-1</v>
      </c>
      <c r="Y85" s="207">
        <f t="shared" si="5"/>
        <v>2</v>
      </c>
    </row>
    <row r="86" spans="1:25">
      <c r="A86" s="189" t="s">
        <v>31</v>
      </c>
      <c r="B86" s="188" t="s">
        <v>32</v>
      </c>
      <c r="C86" s="188" t="s">
        <v>21</v>
      </c>
      <c r="D86" s="188" t="s">
        <v>17</v>
      </c>
      <c r="E86" s="188" t="s">
        <v>30</v>
      </c>
      <c r="F86" s="188">
        <v>5</v>
      </c>
      <c r="G86" s="188">
        <v>5</v>
      </c>
      <c r="H86" s="190">
        <v>0</v>
      </c>
      <c r="I86" s="190">
        <v>0</v>
      </c>
      <c r="J86" s="190">
        <v>46563396</v>
      </c>
      <c r="K86" s="190">
        <v>63313535</v>
      </c>
      <c r="L86" s="189" t="str">
        <f t="shared" si="6"/>
        <v/>
      </c>
      <c r="M86" s="189" t="str">
        <f t="shared" si="7"/>
        <v/>
      </c>
      <c r="Q86" s="23" t="s">
        <v>37</v>
      </c>
      <c r="R86" s="24">
        <v>7</v>
      </c>
      <c r="S86" s="24">
        <v>7</v>
      </c>
      <c r="T86" s="157">
        <v>10000000</v>
      </c>
      <c r="U86" s="157">
        <v>31953589</v>
      </c>
      <c r="V86" s="157">
        <v>40068224</v>
      </c>
      <c r="W86" s="157">
        <v>80951038</v>
      </c>
      <c r="X86" s="206">
        <f t="shared" si="4"/>
        <v>-0.20252045611005867</v>
      </c>
      <c r="Y86" s="207">
        <f t="shared" si="5"/>
        <v>3</v>
      </c>
    </row>
    <row r="87" spans="1:25">
      <c r="A87" s="189" t="s">
        <v>111</v>
      </c>
      <c r="B87" s="188" t="s">
        <v>72</v>
      </c>
      <c r="C87" s="188" t="s">
        <v>21</v>
      </c>
      <c r="D87" s="188" t="s">
        <v>472</v>
      </c>
      <c r="E87" s="188" t="s">
        <v>12</v>
      </c>
      <c r="F87" s="188">
        <v>6</v>
      </c>
      <c r="G87" s="188">
        <v>6</v>
      </c>
      <c r="H87" s="190">
        <v>20000000</v>
      </c>
      <c r="I87" s="190">
        <v>40064620</v>
      </c>
      <c r="J87" s="190">
        <v>98137438</v>
      </c>
      <c r="K87" s="190">
        <v>0</v>
      </c>
      <c r="L87" s="189" t="str">
        <f t="shared" si="6"/>
        <v>VALIOSO</v>
      </c>
      <c r="M87" s="189" t="str">
        <f t="shared" si="7"/>
        <v/>
      </c>
      <c r="Q87" s="23" t="s">
        <v>49</v>
      </c>
      <c r="R87" s="24">
        <v>7</v>
      </c>
      <c r="S87" s="24">
        <v>5</v>
      </c>
      <c r="T87" s="157">
        <v>50000000</v>
      </c>
      <c r="U87" s="157">
        <v>78205651</v>
      </c>
      <c r="V87" s="157">
        <v>62381180</v>
      </c>
      <c r="W87" s="157">
        <v>6508585</v>
      </c>
      <c r="X87" s="206">
        <f t="shared" ref="X87:X121" si="8">IFERROR((U87-V87)/V87,0%)</f>
        <v>0.25367380033529341</v>
      </c>
      <c r="Y87" s="207">
        <f t="shared" ref="Y87:Y121" si="9">IF(U87&gt;T87,3,IF(U87=T87,2,1))</f>
        <v>3</v>
      </c>
    </row>
    <row r="88" spans="1:25">
      <c r="A88" s="189" t="s">
        <v>81</v>
      </c>
      <c r="B88" s="188" t="s">
        <v>13</v>
      </c>
      <c r="C88" s="188" t="s">
        <v>21</v>
      </c>
      <c r="D88" s="188" t="s">
        <v>472</v>
      </c>
      <c r="E88" s="188" t="s">
        <v>12</v>
      </c>
      <c r="F88" s="188">
        <v>6</v>
      </c>
      <c r="G88" s="188">
        <v>6</v>
      </c>
      <c r="H88" s="190">
        <v>30000000</v>
      </c>
      <c r="I88" s="190">
        <v>45289360</v>
      </c>
      <c r="J88" s="190">
        <v>0</v>
      </c>
      <c r="K88" s="190">
        <v>46980526</v>
      </c>
      <c r="L88" s="189" t="str">
        <f t="shared" si="6"/>
        <v>VALIOSO</v>
      </c>
      <c r="M88" s="189" t="str">
        <f t="shared" si="7"/>
        <v>OMITIR</v>
      </c>
      <c r="Q88" s="23" t="s">
        <v>119</v>
      </c>
      <c r="R88" s="24">
        <v>5</v>
      </c>
      <c r="S88" s="24">
        <v>4</v>
      </c>
      <c r="T88" s="157">
        <v>0</v>
      </c>
      <c r="U88" s="157">
        <v>0</v>
      </c>
      <c r="V88" s="157">
        <v>34584522</v>
      </c>
      <c r="W88" s="157">
        <v>0</v>
      </c>
      <c r="X88" s="206">
        <f t="shared" si="8"/>
        <v>-1</v>
      </c>
      <c r="Y88" s="207">
        <f t="shared" si="9"/>
        <v>2</v>
      </c>
    </row>
    <row r="89" spans="1:25">
      <c r="A89" s="189" t="s">
        <v>50</v>
      </c>
      <c r="B89" s="188" t="s">
        <v>13</v>
      </c>
      <c r="C89" s="188" t="s">
        <v>25</v>
      </c>
      <c r="D89" s="188" t="s">
        <v>472</v>
      </c>
      <c r="E89" s="188" t="s">
        <v>12</v>
      </c>
      <c r="F89" s="188">
        <v>5</v>
      </c>
      <c r="G89" s="188">
        <v>5</v>
      </c>
      <c r="H89" s="190">
        <v>30000000</v>
      </c>
      <c r="I89" s="190">
        <v>34397393</v>
      </c>
      <c r="J89" s="190">
        <v>72192037</v>
      </c>
      <c r="K89" s="190">
        <v>21247716</v>
      </c>
      <c r="L89" s="189" t="str">
        <f t="shared" si="6"/>
        <v>VALIOSO</v>
      </c>
      <c r="M89" s="189" t="str">
        <f t="shared" si="7"/>
        <v/>
      </c>
      <c r="Q89" s="23" t="s">
        <v>86</v>
      </c>
      <c r="R89" s="24">
        <v>7</v>
      </c>
      <c r="S89" s="24">
        <v>7</v>
      </c>
      <c r="T89" s="157">
        <v>0</v>
      </c>
      <c r="U89" s="157">
        <v>0</v>
      </c>
      <c r="V89" s="157">
        <v>76942676</v>
      </c>
      <c r="W89" s="157">
        <v>74216691</v>
      </c>
      <c r="X89" s="206">
        <f t="shared" si="8"/>
        <v>-1</v>
      </c>
      <c r="Y89" s="207">
        <f t="shared" si="9"/>
        <v>2</v>
      </c>
    </row>
    <row r="90" spans="1:25">
      <c r="A90" s="189" t="s">
        <v>123</v>
      </c>
      <c r="B90" s="188" t="s">
        <v>13</v>
      </c>
      <c r="C90" s="188" t="s">
        <v>21</v>
      </c>
      <c r="D90" s="188" t="s">
        <v>17</v>
      </c>
      <c r="E90" s="188" t="s">
        <v>30</v>
      </c>
      <c r="F90" s="188">
        <v>9</v>
      </c>
      <c r="G90" s="188">
        <v>9</v>
      </c>
      <c r="H90" s="190">
        <v>0</v>
      </c>
      <c r="I90" s="190">
        <v>0</v>
      </c>
      <c r="J90" s="190">
        <v>69870077</v>
      </c>
      <c r="K90" s="190">
        <v>98441580</v>
      </c>
      <c r="L90" s="189" t="str">
        <f t="shared" si="6"/>
        <v/>
      </c>
      <c r="M90" s="189" t="str">
        <f t="shared" si="7"/>
        <v/>
      </c>
      <c r="Q90" s="23" t="s">
        <v>47</v>
      </c>
      <c r="R90" s="24">
        <v>8</v>
      </c>
      <c r="S90" s="24">
        <v>9</v>
      </c>
      <c r="T90" s="157">
        <v>5000000</v>
      </c>
      <c r="U90" s="157">
        <v>70270294</v>
      </c>
      <c r="V90" s="157">
        <v>19588762</v>
      </c>
      <c r="W90" s="157">
        <v>78634577</v>
      </c>
      <c r="X90" s="206">
        <f t="shared" si="8"/>
        <v>2.5872759085030488</v>
      </c>
      <c r="Y90" s="207">
        <f t="shared" si="9"/>
        <v>3</v>
      </c>
    </row>
    <row r="91" spans="1:25">
      <c r="A91" s="189" t="s">
        <v>26</v>
      </c>
      <c r="B91" s="25" t="s">
        <v>28</v>
      </c>
      <c r="C91" s="188" t="s">
        <v>25</v>
      </c>
      <c r="D91" s="188" t="s">
        <v>472</v>
      </c>
      <c r="E91" s="188" t="s">
        <v>12</v>
      </c>
      <c r="F91" s="188">
        <v>6</v>
      </c>
      <c r="G91" s="188">
        <v>6</v>
      </c>
      <c r="H91" s="190">
        <v>1000000</v>
      </c>
      <c r="I91" s="190">
        <v>34126405</v>
      </c>
      <c r="J91" s="190">
        <v>88265167</v>
      </c>
      <c r="K91" s="190">
        <v>56002928</v>
      </c>
      <c r="L91" s="189" t="str">
        <f t="shared" si="6"/>
        <v>VALIOSO</v>
      </c>
      <c r="M91" s="189" t="str">
        <f t="shared" si="7"/>
        <v/>
      </c>
      <c r="Q91" s="23" t="s">
        <v>59</v>
      </c>
      <c r="R91" s="24">
        <v>3</v>
      </c>
      <c r="S91" s="24">
        <v>5</v>
      </c>
      <c r="T91" s="157">
        <v>0</v>
      </c>
      <c r="U91" s="157">
        <v>0</v>
      </c>
      <c r="V91" s="157">
        <v>85955846</v>
      </c>
      <c r="W91" s="157">
        <v>25891596</v>
      </c>
      <c r="X91" s="206">
        <f t="shared" si="8"/>
        <v>-1</v>
      </c>
      <c r="Y91" s="207">
        <f t="shared" si="9"/>
        <v>2</v>
      </c>
    </row>
    <row r="92" spans="1:25">
      <c r="A92" s="189" t="s">
        <v>41</v>
      </c>
      <c r="B92" s="188" t="s">
        <v>13</v>
      </c>
      <c r="C92" s="188" t="s">
        <v>21</v>
      </c>
      <c r="D92" s="188" t="s">
        <v>472</v>
      </c>
      <c r="E92" s="188" t="s">
        <v>12</v>
      </c>
      <c r="F92" s="188">
        <v>10</v>
      </c>
      <c r="G92" s="188">
        <v>10</v>
      </c>
      <c r="H92" s="190">
        <v>1000000</v>
      </c>
      <c r="I92" s="190">
        <v>53008255</v>
      </c>
      <c r="J92" s="190">
        <v>46917910</v>
      </c>
      <c r="K92" s="190">
        <v>47557281</v>
      </c>
      <c r="L92" s="189" t="str">
        <f t="shared" si="6"/>
        <v>VALIOSO</v>
      </c>
      <c r="M92" s="189" t="str">
        <f t="shared" si="7"/>
        <v/>
      </c>
      <c r="Q92" s="23" t="s">
        <v>94</v>
      </c>
      <c r="R92" s="24">
        <v>8</v>
      </c>
      <c r="S92" s="24">
        <v>10</v>
      </c>
      <c r="T92" s="157">
        <v>20000000</v>
      </c>
      <c r="U92" s="157">
        <v>62745331</v>
      </c>
      <c r="V92" s="157">
        <v>39843357</v>
      </c>
      <c r="W92" s="157">
        <v>64840967</v>
      </c>
      <c r="X92" s="206">
        <f t="shared" si="8"/>
        <v>0.57480031112840213</v>
      </c>
      <c r="Y92" s="207">
        <f t="shared" si="9"/>
        <v>3</v>
      </c>
    </row>
    <row r="93" spans="1:25">
      <c r="A93" s="189" t="s">
        <v>73</v>
      </c>
      <c r="B93" s="188" t="s">
        <v>13</v>
      </c>
      <c r="C93" s="188" t="s">
        <v>21</v>
      </c>
      <c r="D93" s="188" t="s">
        <v>17</v>
      </c>
      <c r="E93" s="188" t="s">
        <v>12</v>
      </c>
      <c r="F93" s="188">
        <v>9</v>
      </c>
      <c r="G93" s="188">
        <v>9</v>
      </c>
      <c r="H93" s="190">
        <v>0</v>
      </c>
      <c r="I93" s="190">
        <v>0</v>
      </c>
      <c r="J93" s="190">
        <v>0</v>
      </c>
      <c r="K93" s="190">
        <v>22675260</v>
      </c>
      <c r="L93" s="189" t="str">
        <f t="shared" si="6"/>
        <v/>
      </c>
      <c r="M93" s="189" t="str">
        <f t="shared" si="7"/>
        <v>OMITIR</v>
      </c>
      <c r="Q93" s="23" t="s">
        <v>46</v>
      </c>
      <c r="R93" s="24">
        <v>5</v>
      </c>
      <c r="S93" s="24">
        <v>7</v>
      </c>
      <c r="T93" s="157">
        <v>0</v>
      </c>
      <c r="U93" s="157">
        <v>0</v>
      </c>
      <c r="V93" s="157">
        <v>82583322</v>
      </c>
      <c r="W93" s="157">
        <v>809058</v>
      </c>
      <c r="X93" s="206">
        <f t="shared" si="8"/>
        <v>-1</v>
      </c>
      <c r="Y93" s="207">
        <f t="shared" si="9"/>
        <v>2</v>
      </c>
    </row>
    <row r="94" spans="1:25">
      <c r="A94" s="189" t="s">
        <v>88</v>
      </c>
      <c r="B94" s="25" t="s">
        <v>89</v>
      </c>
      <c r="C94" s="188" t="s">
        <v>21</v>
      </c>
      <c r="D94" s="188" t="s">
        <v>472</v>
      </c>
      <c r="E94" s="188" t="s">
        <v>12</v>
      </c>
      <c r="F94" s="188">
        <v>5</v>
      </c>
      <c r="G94" s="188">
        <v>5</v>
      </c>
      <c r="H94" s="190">
        <v>100000000</v>
      </c>
      <c r="I94" s="190">
        <v>94688720</v>
      </c>
      <c r="J94" s="190">
        <v>86323763</v>
      </c>
      <c r="K94" s="190">
        <v>20929788</v>
      </c>
      <c r="L94" s="189" t="str">
        <f t="shared" si="6"/>
        <v>VALIOSO</v>
      </c>
      <c r="M94" s="189" t="str">
        <f t="shared" si="7"/>
        <v/>
      </c>
      <c r="Q94" s="23" t="s">
        <v>116</v>
      </c>
      <c r="R94" s="24">
        <v>6</v>
      </c>
      <c r="S94" s="24">
        <v>6</v>
      </c>
      <c r="T94" s="157">
        <v>10000000</v>
      </c>
      <c r="U94" s="157">
        <v>59890317</v>
      </c>
      <c r="V94" s="157">
        <v>42451842</v>
      </c>
      <c r="W94" s="157">
        <v>0</v>
      </c>
      <c r="X94" s="206">
        <f t="shared" si="8"/>
        <v>0.41078252858851211</v>
      </c>
      <c r="Y94" s="207">
        <f t="shared" si="9"/>
        <v>3</v>
      </c>
    </row>
    <row r="95" spans="1:25">
      <c r="A95" s="189" t="s">
        <v>133</v>
      </c>
      <c r="B95" s="188" t="s">
        <v>13</v>
      </c>
      <c r="C95" s="188" t="s">
        <v>54</v>
      </c>
      <c r="D95" s="188" t="s">
        <v>55</v>
      </c>
      <c r="E95" s="188" t="s">
        <v>12</v>
      </c>
      <c r="F95" s="188">
        <v>8</v>
      </c>
      <c r="G95" s="188">
        <v>8</v>
      </c>
      <c r="H95" s="190">
        <v>0</v>
      </c>
      <c r="I95" s="190">
        <v>0</v>
      </c>
      <c r="J95" s="190">
        <v>96750826</v>
      </c>
      <c r="K95" s="190">
        <v>31435769</v>
      </c>
      <c r="L95" s="189" t="str">
        <f t="shared" si="6"/>
        <v/>
      </c>
      <c r="M95" s="189" t="str">
        <f t="shared" si="7"/>
        <v/>
      </c>
      <c r="Q95" s="23" t="s">
        <v>14</v>
      </c>
      <c r="R95" s="24">
        <v>3</v>
      </c>
      <c r="S95" s="24">
        <v>6</v>
      </c>
      <c r="T95" s="157">
        <v>10000000</v>
      </c>
      <c r="U95" s="157">
        <v>97449662</v>
      </c>
      <c r="V95" s="157">
        <v>49624160</v>
      </c>
      <c r="W95" s="157">
        <v>17854677</v>
      </c>
      <c r="X95" s="206">
        <f t="shared" si="8"/>
        <v>0.96375438899116883</v>
      </c>
      <c r="Y95" s="207">
        <f t="shared" si="9"/>
        <v>3</v>
      </c>
    </row>
    <row r="96" spans="1:25">
      <c r="A96" s="189" t="s">
        <v>67</v>
      </c>
      <c r="B96" s="188" t="s">
        <v>13</v>
      </c>
      <c r="C96" s="188" t="s">
        <v>25</v>
      </c>
      <c r="D96" s="188" t="s">
        <v>472</v>
      </c>
      <c r="E96" s="188" t="s">
        <v>12</v>
      </c>
      <c r="F96" s="188">
        <v>10</v>
      </c>
      <c r="G96" s="188">
        <v>10</v>
      </c>
      <c r="H96" s="190">
        <v>10000000</v>
      </c>
      <c r="I96" s="190">
        <v>89686683</v>
      </c>
      <c r="J96" s="190">
        <v>62448793</v>
      </c>
      <c r="K96" s="190">
        <v>26812600</v>
      </c>
      <c r="L96" s="189" t="str">
        <f t="shared" si="6"/>
        <v>VALIOSO</v>
      </c>
      <c r="M96" s="189" t="str">
        <f t="shared" si="7"/>
        <v/>
      </c>
      <c r="Q96" s="23" t="s">
        <v>22</v>
      </c>
      <c r="R96" s="24">
        <v>8</v>
      </c>
      <c r="S96" s="24">
        <v>10</v>
      </c>
      <c r="T96" s="157">
        <v>0</v>
      </c>
      <c r="U96" s="157">
        <v>0</v>
      </c>
      <c r="V96" s="157">
        <v>44422091</v>
      </c>
      <c r="W96" s="157">
        <v>8898260</v>
      </c>
      <c r="X96" s="206">
        <f t="shared" si="8"/>
        <v>-1</v>
      </c>
      <c r="Y96" s="207">
        <f t="shared" si="9"/>
        <v>2</v>
      </c>
    </row>
    <row r="97" spans="1:25">
      <c r="A97" s="189" t="s">
        <v>84</v>
      </c>
      <c r="B97" s="188" t="s">
        <v>13</v>
      </c>
      <c r="C97" s="188" t="s">
        <v>21</v>
      </c>
      <c r="D97" s="188" t="s">
        <v>472</v>
      </c>
      <c r="E97" s="188" t="s">
        <v>12</v>
      </c>
      <c r="F97" s="188">
        <v>10</v>
      </c>
      <c r="G97" s="188">
        <v>10</v>
      </c>
      <c r="H97" s="190">
        <v>30000000</v>
      </c>
      <c r="I97" s="190">
        <v>32890743</v>
      </c>
      <c r="J97" s="190">
        <v>0</v>
      </c>
      <c r="K97" s="190">
        <v>39864620</v>
      </c>
      <c r="L97" s="189" t="str">
        <f t="shared" si="6"/>
        <v>VALIOSO</v>
      </c>
      <c r="M97" s="189" t="str">
        <f t="shared" si="7"/>
        <v>OMITIR</v>
      </c>
      <c r="Q97" s="23" t="s">
        <v>71</v>
      </c>
      <c r="R97" s="24">
        <v>5</v>
      </c>
      <c r="S97" s="24">
        <v>7</v>
      </c>
      <c r="T97" s="157">
        <v>0</v>
      </c>
      <c r="U97" s="157">
        <v>0</v>
      </c>
      <c r="V97" s="157">
        <v>0</v>
      </c>
      <c r="W97" s="157">
        <v>63436099</v>
      </c>
      <c r="X97" s="206">
        <f t="shared" si="8"/>
        <v>0</v>
      </c>
      <c r="Y97" s="207">
        <f t="shared" si="9"/>
        <v>2</v>
      </c>
    </row>
    <row r="98" spans="1:25">
      <c r="A98" s="189" t="s">
        <v>38</v>
      </c>
      <c r="B98" s="188" t="s">
        <v>13</v>
      </c>
      <c r="C98" s="188" t="s">
        <v>25</v>
      </c>
      <c r="D98" s="188" t="s">
        <v>472</v>
      </c>
      <c r="E98" s="188" t="s">
        <v>12</v>
      </c>
      <c r="F98" s="188">
        <v>10</v>
      </c>
      <c r="G98" s="188">
        <v>10</v>
      </c>
      <c r="H98" s="190">
        <v>10000000</v>
      </c>
      <c r="I98" s="190">
        <v>32370896</v>
      </c>
      <c r="J98" s="190">
        <v>96066942</v>
      </c>
      <c r="K98" s="190">
        <v>3767736</v>
      </c>
      <c r="L98" s="189" t="str">
        <f t="shared" si="6"/>
        <v>VALIOSO</v>
      </c>
      <c r="M98" s="189" t="str">
        <f t="shared" si="7"/>
        <v/>
      </c>
      <c r="Q98" s="23" t="s">
        <v>131</v>
      </c>
      <c r="R98" s="24">
        <v>8</v>
      </c>
      <c r="S98" s="24">
        <v>9</v>
      </c>
      <c r="T98" s="157">
        <v>10000000</v>
      </c>
      <c r="U98" s="157">
        <v>99989764</v>
      </c>
      <c r="V98" s="157">
        <v>8030175</v>
      </c>
      <c r="W98" s="157">
        <v>37676206</v>
      </c>
      <c r="X98" s="206">
        <f t="shared" si="8"/>
        <v>11.45175404022951</v>
      </c>
      <c r="Y98" s="207">
        <f t="shared" si="9"/>
        <v>3</v>
      </c>
    </row>
    <row r="99" spans="1:25">
      <c r="A99" s="189" t="s">
        <v>24</v>
      </c>
      <c r="B99" s="188" t="s">
        <v>13</v>
      </c>
      <c r="C99" s="188" t="s">
        <v>25</v>
      </c>
      <c r="D99" s="188" t="s">
        <v>17</v>
      </c>
      <c r="E99" s="188" t="s">
        <v>12</v>
      </c>
      <c r="F99" s="188">
        <v>5</v>
      </c>
      <c r="G99" s="188">
        <v>5</v>
      </c>
      <c r="H99" s="190">
        <v>0</v>
      </c>
      <c r="I99" s="190">
        <v>0</v>
      </c>
      <c r="J99" s="190">
        <v>24514428</v>
      </c>
      <c r="K99" s="190">
        <v>27890231</v>
      </c>
      <c r="L99" s="189" t="str">
        <f t="shared" si="6"/>
        <v/>
      </c>
      <c r="M99" s="189" t="str">
        <f t="shared" si="7"/>
        <v/>
      </c>
      <c r="Q99" s="23" t="s">
        <v>66</v>
      </c>
      <c r="R99" s="24">
        <v>4</v>
      </c>
      <c r="S99" s="24">
        <v>5</v>
      </c>
      <c r="T99" s="157">
        <v>0</v>
      </c>
      <c r="U99" s="157">
        <v>0</v>
      </c>
      <c r="V99" s="157">
        <v>12862402</v>
      </c>
      <c r="W99" s="157">
        <v>68922404</v>
      </c>
      <c r="X99" s="206">
        <f t="shared" si="8"/>
        <v>-1</v>
      </c>
      <c r="Y99" s="207">
        <f t="shared" si="9"/>
        <v>2</v>
      </c>
    </row>
    <row r="100" spans="1:25">
      <c r="A100" s="189" t="s">
        <v>37</v>
      </c>
      <c r="B100" s="188" t="s">
        <v>13</v>
      </c>
      <c r="C100" s="188" t="s">
        <v>21</v>
      </c>
      <c r="D100" s="188" t="s">
        <v>472</v>
      </c>
      <c r="E100" s="188" t="s">
        <v>30</v>
      </c>
      <c r="F100" s="188">
        <v>7</v>
      </c>
      <c r="G100" s="188">
        <v>7</v>
      </c>
      <c r="H100" s="190">
        <v>10000000</v>
      </c>
      <c r="I100" s="190">
        <v>31953589</v>
      </c>
      <c r="J100" s="190">
        <v>40068224</v>
      </c>
      <c r="K100" s="190">
        <v>80951038</v>
      </c>
      <c r="L100" s="189" t="str">
        <f t="shared" si="6"/>
        <v>VALIOSO</v>
      </c>
      <c r="M100" s="189" t="str">
        <f t="shared" si="7"/>
        <v/>
      </c>
      <c r="Q100" s="23" t="s">
        <v>99</v>
      </c>
      <c r="R100" s="24">
        <v>9</v>
      </c>
      <c r="S100" s="24">
        <v>9</v>
      </c>
      <c r="T100" s="157">
        <v>0</v>
      </c>
      <c r="U100" s="157">
        <v>0</v>
      </c>
      <c r="V100" s="157">
        <v>46914257</v>
      </c>
      <c r="W100" s="157">
        <v>43734508</v>
      </c>
      <c r="X100" s="206">
        <f t="shared" si="8"/>
        <v>-1</v>
      </c>
      <c r="Y100" s="207">
        <f t="shared" si="9"/>
        <v>2</v>
      </c>
    </row>
    <row r="101" spans="1:25">
      <c r="A101" s="189" t="s">
        <v>49</v>
      </c>
      <c r="B101" s="188" t="s">
        <v>13</v>
      </c>
      <c r="C101" s="188" t="s">
        <v>21</v>
      </c>
      <c r="D101" s="188" t="s">
        <v>472</v>
      </c>
      <c r="E101" s="188" t="s">
        <v>12</v>
      </c>
      <c r="F101" s="188">
        <v>5</v>
      </c>
      <c r="G101" s="188">
        <v>5</v>
      </c>
      <c r="H101" s="190">
        <v>50000000</v>
      </c>
      <c r="I101" s="190">
        <v>78205651</v>
      </c>
      <c r="J101" s="190">
        <v>62381180</v>
      </c>
      <c r="K101" s="190">
        <v>6508585</v>
      </c>
      <c r="L101" s="189" t="str">
        <f t="shared" ref="L101:L135" si="10">IF(D101="Inversion",IF(I101&gt;=10000000,"VALIOSO",""),"")</f>
        <v>VALIOSO</v>
      </c>
      <c r="M101" s="189" t="str">
        <f t="shared" ref="M101:M135" si="11">IF(B101="COLOMBIA",IF(J101&lt;=10000000,"OMITIR",""),"")</f>
        <v/>
      </c>
      <c r="Q101" s="23" t="s">
        <v>114</v>
      </c>
      <c r="R101" s="24">
        <v>6</v>
      </c>
      <c r="S101" s="24">
        <v>10</v>
      </c>
      <c r="T101" s="157">
        <v>0</v>
      </c>
      <c r="U101" s="157">
        <v>0</v>
      </c>
      <c r="V101" s="157">
        <v>95212463</v>
      </c>
      <c r="W101" s="157">
        <v>0</v>
      </c>
      <c r="X101" s="206">
        <f t="shared" si="8"/>
        <v>-1</v>
      </c>
      <c r="Y101" s="207">
        <f t="shared" si="9"/>
        <v>2</v>
      </c>
    </row>
    <row r="102" spans="1:25">
      <c r="A102" s="189" t="s">
        <v>119</v>
      </c>
      <c r="B102" s="188" t="s">
        <v>13</v>
      </c>
      <c r="C102" s="188" t="s">
        <v>15</v>
      </c>
      <c r="D102" s="188" t="s">
        <v>17</v>
      </c>
      <c r="E102" s="188" t="s">
        <v>12</v>
      </c>
      <c r="F102" s="188">
        <v>4</v>
      </c>
      <c r="G102" s="188">
        <v>4</v>
      </c>
      <c r="H102" s="190">
        <v>0</v>
      </c>
      <c r="I102" s="190">
        <v>0</v>
      </c>
      <c r="J102" s="190">
        <v>34584522</v>
      </c>
      <c r="K102" s="190">
        <v>0</v>
      </c>
      <c r="L102" s="189" t="str">
        <f t="shared" si="10"/>
        <v/>
      </c>
      <c r="M102" s="189" t="str">
        <f t="shared" si="11"/>
        <v/>
      </c>
      <c r="Q102" s="23" t="s">
        <v>58</v>
      </c>
      <c r="R102" s="24">
        <v>3</v>
      </c>
      <c r="S102" s="24">
        <v>9</v>
      </c>
      <c r="T102" s="157">
        <v>5000000</v>
      </c>
      <c r="U102" s="157">
        <v>32915397</v>
      </c>
      <c r="V102" s="157">
        <v>74493461</v>
      </c>
      <c r="W102" s="157">
        <v>151779</v>
      </c>
      <c r="X102" s="206">
        <f t="shared" si="8"/>
        <v>-0.55814380808538344</v>
      </c>
      <c r="Y102" s="207">
        <f t="shared" si="9"/>
        <v>3</v>
      </c>
    </row>
    <row r="103" spans="1:25">
      <c r="A103" s="189" t="s">
        <v>86</v>
      </c>
      <c r="B103" s="25" t="s">
        <v>87</v>
      </c>
      <c r="C103" s="188" t="s">
        <v>21</v>
      </c>
      <c r="D103" s="188" t="s">
        <v>55</v>
      </c>
      <c r="E103" s="188" t="s">
        <v>12</v>
      </c>
      <c r="F103" s="188">
        <v>7</v>
      </c>
      <c r="G103" s="188">
        <v>7</v>
      </c>
      <c r="H103" s="190">
        <v>0</v>
      </c>
      <c r="I103" s="190">
        <v>0</v>
      </c>
      <c r="J103" s="190">
        <v>76942676</v>
      </c>
      <c r="K103" s="190">
        <v>74216691</v>
      </c>
      <c r="L103" s="189" t="str">
        <f t="shared" si="10"/>
        <v/>
      </c>
      <c r="M103" s="189" t="str">
        <f t="shared" si="11"/>
        <v/>
      </c>
      <c r="Q103" s="23" t="s">
        <v>117</v>
      </c>
      <c r="R103" s="24">
        <v>3</v>
      </c>
      <c r="S103" s="24">
        <v>7</v>
      </c>
      <c r="T103" s="157">
        <v>0</v>
      </c>
      <c r="U103" s="157">
        <v>0</v>
      </c>
      <c r="V103" s="157">
        <v>43223505</v>
      </c>
      <c r="W103" s="157">
        <v>0</v>
      </c>
      <c r="X103" s="206">
        <f t="shared" si="8"/>
        <v>-1</v>
      </c>
      <c r="Y103" s="207">
        <f t="shared" si="9"/>
        <v>2</v>
      </c>
    </row>
    <row r="104" spans="1:25">
      <c r="A104" s="189" t="s">
        <v>47</v>
      </c>
      <c r="B104" s="188" t="s">
        <v>32</v>
      </c>
      <c r="C104" s="188" t="s">
        <v>25</v>
      </c>
      <c r="D104" s="188" t="s">
        <v>472</v>
      </c>
      <c r="E104" s="188" t="s">
        <v>30</v>
      </c>
      <c r="F104" s="188">
        <v>9</v>
      </c>
      <c r="G104" s="188">
        <v>9</v>
      </c>
      <c r="H104" s="190">
        <v>5000000</v>
      </c>
      <c r="I104" s="190">
        <v>70270294</v>
      </c>
      <c r="J104" s="190">
        <v>19588762</v>
      </c>
      <c r="K104" s="190">
        <v>78634577</v>
      </c>
      <c r="L104" s="189" t="str">
        <f t="shared" si="10"/>
        <v>VALIOSO</v>
      </c>
      <c r="M104" s="189" t="str">
        <f t="shared" si="11"/>
        <v/>
      </c>
      <c r="Q104" s="23" t="s">
        <v>65</v>
      </c>
      <c r="R104" s="24">
        <v>7</v>
      </c>
      <c r="S104" s="24">
        <v>10</v>
      </c>
      <c r="T104" s="157">
        <v>0</v>
      </c>
      <c r="U104" s="157">
        <v>0</v>
      </c>
      <c r="V104" s="157">
        <v>14141858</v>
      </c>
      <c r="W104" s="157">
        <v>87162317</v>
      </c>
      <c r="X104" s="206">
        <f t="shared" si="8"/>
        <v>-1</v>
      </c>
      <c r="Y104" s="207">
        <f t="shared" si="9"/>
        <v>2</v>
      </c>
    </row>
    <row r="105" spans="1:25">
      <c r="A105" s="189" t="s">
        <v>59</v>
      </c>
      <c r="B105" s="188" t="s">
        <v>13</v>
      </c>
      <c r="C105" s="188" t="s">
        <v>15</v>
      </c>
      <c r="D105" s="188" t="s">
        <v>17</v>
      </c>
      <c r="E105" s="188" t="s">
        <v>12</v>
      </c>
      <c r="F105" s="188">
        <v>5</v>
      </c>
      <c r="G105" s="188">
        <v>5</v>
      </c>
      <c r="H105" s="190">
        <v>0</v>
      </c>
      <c r="I105" s="190">
        <v>0</v>
      </c>
      <c r="J105" s="190">
        <v>85955846</v>
      </c>
      <c r="K105" s="190">
        <v>25891596</v>
      </c>
      <c r="L105" s="189" t="str">
        <f t="shared" si="10"/>
        <v/>
      </c>
      <c r="M105" s="189" t="str">
        <f t="shared" si="11"/>
        <v/>
      </c>
      <c r="Q105" s="23" t="s">
        <v>112</v>
      </c>
      <c r="R105" s="24">
        <v>3</v>
      </c>
      <c r="S105" s="24">
        <v>7</v>
      </c>
      <c r="T105" s="157">
        <v>0</v>
      </c>
      <c r="U105" s="157">
        <v>0</v>
      </c>
      <c r="V105" s="157">
        <v>29525162</v>
      </c>
      <c r="W105" s="157">
        <v>0</v>
      </c>
      <c r="X105" s="206">
        <f t="shared" si="8"/>
        <v>-1</v>
      </c>
      <c r="Y105" s="207">
        <f t="shared" si="9"/>
        <v>2</v>
      </c>
    </row>
    <row r="106" spans="1:25">
      <c r="A106" s="189" t="s">
        <v>94</v>
      </c>
      <c r="B106" s="188" t="s">
        <v>13</v>
      </c>
      <c r="C106" s="188" t="s">
        <v>15</v>
      </c>
      <c r="D106" s="188" t="s">
        <v>472</v>
      </c>
      <c r="E106" s="188" t="s">
        <v>30</v>
      </c>
      <c r="F106" s="188">
        <v>10</v>
      </c>
      <c r="G106" s="188">
        <v>10</v>
      </c>
      <c r="H106" s="190">
        <v>20000000</v>
      </c>
      <c r="I106" s="190">
        <v>62745331</v>
      </c>
      <c r="J106" s="190">
        <v>39843357</v>
      </c>
      <c r="K106" s="190">
        <v>64840967</v>
      </c>
      <c r="L106" s="189" t="str">
        <f t="shared" si="10"/>
        <v>VALIOSO</v>
      </c>
      <c r="M106" s="189" t="str">
        <f t="shared" si="11"/>
        <v/>
      </c>
      <c r="Q106" s="23" t="s">
        <v>135</v>
      </c>
      <c r="R106" s="24">
        <v>7</v>
      </c>
      <c r="S106" s="24">
        <v>4</v>
      </c>
      <c r="T106" s="157">
        <v>0</v>
      </c>
      <c r="U106" s="157">
        <v>0</v>
      </c>
      <c r="V106" s="157">
        <v>29366791</v>
      </c>
      <c r="W106" s="157">
        <v>89805774</v>
      </c>
      <c r="X106" s="206">
        <f t="shared" si="8"/>
        <v>-1</v>
      </c>
      <c r="Y106" s="207">
        <f t="shared" si="9"/>
        <v>2</v>
      </c>
    </row>
    <row r="107" spans="1:25">
      <c r="A107" s="189" t="s">
        <v>46</v>
      </c>
      <c r="B107" s="188" t="s">
        <v>13</v>
      </c>
      <c r="C107" s="188" t="s">
        <v>21</v>
      </c>
      <c r="D107" s="188" t="s">
        <v>17</v>
      </c>
      <c r="E107" s="188" t="s">
        <v>12</v>
      </c>
      <c r="F107" s="188">
        <v>7</v>
      </c>
      <c r="G107" s="188">
        <v>7</v>
      </c>
      <c r="H107" s="190">
        <v>0</v>
      </c>
      <c r="I107" s="190">
        <v>0</v>
      </c>
      <c r="J107" s="190">
        <v>82583322</v>
      </c>
      <c r="K107" s="190">
        <v>809058</v>
      </c>
      <c r="L107" s="189" t="str">
        <f t="shared" si="10"/>
        <v/>
      </c>
      <c r="M107" s="189" t="str">
        <f t="shared" si="11"/>
        <v/>
      </c>
      <c r="Q107" s="23" t="s">
        <v>40</v>
      </c>
      <c r="R107" s="24">
        <v>9</v>
      </c>
      <c r="S107" s="24">
        <v>5</v>
      </c>
      <c r="T107" s="157">
        <v>0</v>
      </c>
      <c r="U107" s="157">
        <v>0</v>
      </c>
      <c r="V107" s="157">
        <v>73195518</v>
      </c>
      <c r="W107" s="157">
        <v>10695678</v>
      </c>
      <c r="X107" s="206">
        <f t="shared" si="8"/>
        <v>-1</v>
      </c>
      <c r="Y107" s="207">
        <f t="shared" si="9"/>
        <v>2</v>
      </c>
    </row>
    <row r="108" spans="1:25">
      <c r="A108" s="189" t="s">
        <v>116</v>
      </c>
      <c r="B108" s="188" t="s">
        <v>13</v>
      </c>
      <c r="C108" s="188" t="s">
        <v>21</v>
      </c>
      <c r="D108" s="188" t="s">
        <v>472</v>
      </c>
      <c r="E108" s="188" t="s">
        <v>30</v>
      </c>
      <c r="F108" s="188">
        <v>6</v>
      </c>
      <c r="G108" s="188">
        <v>6</v>
      </c>
      <c r="H108" s="190">
        <v>10000000</v>
      </c>
      <c r="I108" s="190">
        <v>59890317</v>
      </c>
      <c r="J108" s="190">
        <v>42451842</v>
      </c>
      <c r="K108" s="190">
        <v>0</v>
      </c>
      <c r="L108" s="189" t="str">
        <f t="shared" si="10"/>
        <v>VALIOSO</v>
      </c>
      <c r="M108" s="189" t="str">
        <f t="shared" si="11"/>
        <v/>
      </c>
      <c r="Q108" s="23" t="s">
        <v>19</v>
      </c>
      <c r="R108" s="24">
        <v>3</v>
      </c>
      <c r="S108" s="24">
        <v>6</v>
      </c>
      <c r="T108" s="157">
        <v>0</v>
      </c>
      <c r="U108" s="157">
        <v>0</v>
      </c>
      <c r="V108" s="157">
        <v>1432950</v>
      </c>
      <c r="W108" s="157">
        <v>29672451</v>
      </c>
      <c r="X108" s="206">
        <f t="shared" si="8"/>
        <v>-1</v>
      </c>
      <c r="Y108" s="207">
        <f t="shared" si="9"/>
        <v>2</v>
      </c>
    </row>
    <row r="109" spans="1:25">
      <c r="A109" s="189" t="s">
        <v>14</v>
      </c>
      <c r="B109" s="188" t="s">
        <v>13</v>
      </c>
      <c r="C109" s="188" t="s">
        <v>15</v>
      </c>
      <c r="D109" s="188" t="s">
        <v>472</v>
      </c>
      <c r="E109" s="188" t="s">
        <v>12</v>
      </c>
      <c r="F109" s="188">
        <v>6</v>
      </c>
      <c r="G109" s="188">
        <v>6</v>
      </c>
      <c r="H109" s="190">
        <v>10000000</v>
      </c>
      <c r="I109" s="190">
        <v>97449662</v>
      </c>
      <c r="J109" s="190">
        <v>49624160</v>
      </c>
      <c r="K109" s="190">
        <v>17854677</v>
      </c>
      <c r="L109" s="189" t="str">
        <f t="shared" si="10"/>
        <v>VALIOSO</v>
      </c>
      <c r="M109" s="189" t="str">
        <f t="shared" si="11"/>
        <v/>
      </c>
      <c r="Q109" s="23" t="s">
        <v>70</v>
      </c>
      <c r="R109" s="24">
        <v>8</v>
      </c>
      <c r="S109" s="24">
        <v>7</v>
      </c>
      <c r="T109" s="157">
        <v>1000000</v>
      </c>
      <c r="U109" s="157">
        <v>77159264</v>
      </c>
      <c r="V109" s="157">
        <v>0</v>
      </c>
      <c r="W109" s="157">
        <v>97234303</v>
      </c>
      <c r="X109" s="206">
        <f t="shared" si="8"/>
        <v>0</v>
      </c>
      <c r="Y109" s="207">
        <f t="shared" si="9"/>
        <v>3</v>
      </c>
    </row>
    <row r="110" spans="1:25">
      <c r="A110" s="189" t="s">
        <v>22</v>
      </c>
      <c r="B110" s="188" t="s">
        <v>13</v>
      </c>
      <c r="C110" s="188" t="s">
        <v>9</v>
      </c>
      <c r="D110" s="188" t="s">
        <v>17</v>
      </c>
      <c r="E110" s="188" t="s">
        <v>12</v>
      </c>
      <c r="F110" s="188">
        <v>10</v>
      </c>
      <c r="G110" s="188">
        <v>10</v>
      </c>
      <c r="H110" s="190">
        <v>0</v>
      </c>
      <c r="I110" s="190">
        <v>0</v>
      </c>
      <c r="J110" s="190">
        <v>44422091</v>
      </c>
      <c r="K110" s="190">
        <v>8898260</v>
      </c>
      <c r="L110" s="189" t="str">
        <f t="shared" si="10"/>
        <v/>
      </c>
      <c r="M110" s="189" t="str">
        <f t="shared" si="11"/>
        <v/>
      </c>
      <c r="Q110" s="23" t="s">
        <v>104</v>
      </c>
      <c r="R110" s="24">
        <v>7</v>
      </c>
      <c r="S110" s="24">
        <v>10</v>
      </c>
      <c r="T110" s="157">
        <v>100000000</v>
      </c>
      <c r="U110" s="157">
        <v>12451199</v>
      </c>
      <c r="V110" s="157">
        <v>74231711</v>
      </c>
      <c r="W110" s="157">
        <v>42951226</v>
      </c>
      <c r="X110" s="206">
        <f t="shared" si="8"/>
        <v>-0.832265768466525</v>
      </c>
      <c r="Y110" s="207">
        <f t="shared" si="9"/>
        <v>1</v>
      </c>
    </row>
    <row r="111" spans="1:25">
      <c r="A111" s="189" t="s">
        <v>71</v>
      </c>
      <c r="B111" s="25" t="s">
        <v>72</v>
      </c>
      <c r="C111" s="188" t="s">
        <v>21</v>
      </c>
      <c r="D111" s="188" t="s">
        <v>17</v>
      </c>
      <c r="E111" s="188" t="s">
        <v>12</v>
      </c>
      <c r="F111" s="188">
        <v>7</v>
      </c>
      <c r="G111" s="188">
        <v>7</v>
      </c>
      <c r="H111" s="190">
        <v>0</v>
      </c>
      <c r="I111" s="190">
        <v>0</v>
      </c>
      <c r="J111" s="190">
        <v>0</v>
      </c>
      <c r="K111" s="190">
        <v>63436099</v>
      </c>
      <c r="L111" s="189" t="str">
        <f t="shared" si="10"/>
        <v/>
      </c>
      <c r="M111" s="189" t="str">
        <f t="shared" si="11"/>
        <v/>
      </c>
      <c r="Q111" s="23" t="s">
        <v>128</v>
      </c>
      <c r="R111" s="24">
        <v>3</v>
      </c>
      <c r="S111" s="24">
        <v>9</v>
      </c>
      <c r="T111" s="157">
        <v>90000000</v>
      </c>
      <c r="U111" s="157">
        <v>13287929</v>
      </c>
      <c r="V111" s="157">
        <v>27090183</v>
      </c>
      <c r="W111" s="157">
        <v>79518711</v>
      </c>
      <c r="X111" s="206">
        <f t="shared" si="8"/>
        <v>-0.50949282993031086</v>
      </c>
      <c r="Y111" s="207">
        <f t="shared" si="9"/>
        <v>1</v>
      </c>
    </row>
    <row r="112" spans="1:25">
      <c r="A112" s="189" t="s">
        <v>131</v>
      </c>
      <c r="B112" s="188" t="s">
        <v>13</v>
      </c>
      <c r="C112" s="188" t="s">
        <v>21</v>
      </c>
      <c r="D112" s="188" t="s">
        <v>472</v>
      </c>
      <c r="E112" s="188" t="s">
        <v>30</v>
      </c>
      <c r="F112" s="188">
        <v>9</v>
      </c>
      <c r="G112" s="188">
        <v>9</v>
      </c>
      <c r="H112" s="190">
        <v>10000000</v>
      </c>
      <c r="I112" s="190">
        <v>99989764</v>
      </c>
      <c r="J112" s="190">
        <v>8030175</v>
      </c>
      <c r="K112" s="190">
        <v>37676206</v>
      </c>
      <c r="L112" s="189" t="str">
        <f t="shared" si="10"/>
        <v>VALIOSO</v>
      </c>
      <c r="M112" s="189" t="str">
        <f t="shared" si="11"/>
        <v>OMITIR</v>
      </c>
      <c r="Q112" s="23" t="s">
        <v>53</v>
      </c>
      <c r="R112" s="24">
        <v>6</v>
      </c>
      <c r="S112" s="24">
        <v>5</v>
      </c>
      <c r="T112" s="157">
        <v>0</v>
      </c>
      <c r="U112" s="157">
        <v>0</v>
      </c>
      <c r="V112" s="157">
        <v>20898506</v>
      </c>
      <c r="W112" s="157">
        <v>24525645</v>
      </c>
      <c r="X112" s="206">
        <f t="shared" si="8"/>
        <v>-1</v>
      </c>
      <c r="Y112" s="207">
        <f t="shared" si="9"/>
        <v>2</v>
      </c>
    </row>
    <row r="113" spans="1:25">
      <c r="A113" s="189" t="s">
        <v>66</v>
      </c>
      <c r="B113" s="188" t="s">
        <v>13</v>
      </c>
      <c r="C113" s="188" t="s">
        <v>21</v>
      </c>
      <c r="D113" s="188" t="s">
        <v>17</v>
      </c>
      <c r="E113" s="188" t="s">
        <v>30</v>
      </c>
      <c r="F113" s="188">
        <v>5</v>
      </c>
      <c r="G113" s="188">
        <v>5</v>
      </c>
      <c r="H113" s="190">
        <v>0</v>
      </c>
      <c r="I113" s="190">
        <v>0</v>
      </c>
      <c r="J113" s="190">
        <v>12862402</v>
      </c>
      <c r="K113" s="190">
        <v>68922404</v>
      </c>
      <c r="L113" s="189" t="str">
        <f t="shared" si="10"/>
        <v/>
      </c>
      <c r="M113" s="189" t="str">
        <f t="shared" si="11"/>
        <v/>
      </c>
      <c r="Q113" s="23" t="s">
        <v>51</v>
      </c>
      <c r="R113" s="24">
        <v>8</v>
      </c>
      <c r="S113" s="24">
        <v>7</v>
      </c>
      <c r="T113" s="157">
        <v>5000000</v>
      </c>
      <c r="U113" s="157">
        <v>37959268</v>
      </c>
      <c r="V113" s="157">
        <v>69132389</v>
      </c>
      <c r="W113" s="157">
        <v>99564796</v>
      </c>
      <c r="X113" s="206">
        <f t="shared" si="8"/>
        <v>-0.45091919216042137</v>
      </c>
      <c r="Y113" s="207">
        <f t="shared" si="9"/>
        <v>3</v>
      </c>
    </row>
    <row r="114" spans="1:25">
      <c r="A114" s="189" t="s">
        <v>99</v>
      </c>
      <c r="B114" s="188" t="s">
        <v>13</v>
      </c>
      <c r="C114" s="188" t="s">
        <v>25</v>
      </c>
      <c r="D114" s="188" t="s">
        <v>17</v>
      </c>
      <c r="E114" s="188" t="s">
        <v>30</v>
      </c>
      <c r="F114" s="188">
        <v>9</v>
      </c>
      <c r="G114" s="188">
        <v>9</v>
      </c>
      <c r="H114" s="190">
        <v>0</v>
      </c>
      <c r="I114" s="190">
        <v>0</v>
      </c>
      <c r="J114" s="190">
        <v>46914257</v>
      </c>
      <c r="K114" s="190">
        <v>43734508</v>
      </c>
      <c r="L114" s="189" t="str">
        <f t="shared" si="10"/>
        <v/>
      </c>
      <c r="M114" s="189" t="str">
        <f t="shared" si="11"/>
        <v/>
      </c>
      <c r="Q114" s="23" t="s">
        <v>63</v>
      </c>
      <c r="R114" s="24">
        <v>3</v>
      </c>
      <c r="S114" s="24">
        <v>6</v>
      </c>
      <c r="T114" s="157">
        <v>0</v>
      </c>
      <c r="U114" s="157">
        <v>0</v>
      </c>
      <c r="V114" s="157">
        <v>26450622</v>
      </c>
      <c r="W114" s="157">
        <v>4227264</v>
      </c>
      <c r="X114" s="206">
        <f t="shared" si="8"/>
        <v>-1</v>
      </c>
      <c r="Y114" s="207">
        <f t="shared" si="9"/>
        <v>2</v>
      </c>
    </row>
    <row r="115" spans="1:25">
      <c r="A115" s="189" t="s">
        <v>114</v>
      </c>
      <c r="B115" s="56" t="s">
        <v>115</v>
      </c>
      <c r="C115" s="188" t="s">
        <v>54</v>
      </c>
      <c r="D115" s="188" t="s">
        <v>55</v>
      </c>
      <c r="E115" s="188" t="s">
        <v>12</v>
      </c>
      <c r="F115" s="188">
        <v>10</v>
      </c>
      <c r="G115" s="188">
        <v>10</v>
      </c>
      <c r="H115" s="190">
        <v>0</v>
      </c>
      <c r="I115" s="190">
        <v>0</v>
      </c>
      <c r="J115" s="190">
        <v>95212463</v>
      </c>
      <c r="K115" s="190">
        <v>0</v>
      </c>
      <c r="L115" s="189" t="str">
        <f t="shared" si="10"/>
        <v/>
      </c>
      <c r="M115" s="189" t="str">
        <f t="shared" si="11"/>
        <v/>
      </c>
      <c r="Q115" s="23" t="s">
        <v>76</v>
      </c>
      <c r="R115" s="24">
        <v>6</v>
      </c>
      <c r="S115" s="24">
        <v>5</v>
      </c>
      <c r="T115" s="157">
        <v>0</v>
      </c>
      <c r="U115" s="157">
        <v>0</v>
      </c>
      <c r="V115" s="157">
        <v>0</v>
      </c>
      <c r="W115" s="157">
        <v>54376640</v>
      </c>
      <c r="X115" s="206">
        <f t="shared" si="8"/>
        <v>0</v>
      </c>
      <c r="Y115" s="207">
        <f t="shared" si="9"/>
        <v>2</v>
      </c>
    </row>
    <row r="116" spans="1:25">
      <c r="A116" s="189" t="s">
        <v>58</v>
      </c>
      <c r="B116" s="25" t="s">
        <v>28</v>
      </c>
      <c r="C116" s="188" t="s">
        <v>21</v>
      </c>
      <c r="D116" s="188" t="s">
        <v>472</v>
      </c>
      <c r="E116" s="188" t="s">
        <v>12</v>
      </c>
      <c r="F116" s="188">
        <v>9</v>
      </c>
      <c r="G116" s="188">
        <v>9</v>
      </c>
      <c r="H116" s="190">
        <v>5000000</v>
      </c>
      <c r="I116" s="190">
        <v>32915397</v>
      </c>
      <c r="J116" s="190">
        <v>74493461</v>
      </c>
      <c r="K116" s="190">
        <v>151779</v>
      </c>
      <c r="L116" s="189" t="str">
        <f t="shared" si="10"/>
        <v>VALIOSO</v>
      </c>
      <c r="M116" s="189" t="str">
        <f t="shared" si="11"/>
        <v/>
      </c>
      <c r="Q116" s="23" t="s">
        <v>134</v>
      </c>
      <c r="R116" s="24">
        <v>7</v>
      </c>
      <c r="S116" s="24">
        <v>9</v>
      </c>
      <c r="T116" s="157">
        <v>90000000</v>
      </c>
      <c r="U116" s="157">
        <v>29991873</v>
      </c>
      <c r="V116" s="157">
        <v>39252741</v>
      </c>
      <c r="W116" s="157">
        <v>15542722</v>
      </c>
      <c r="X116" s="206">
        <f t="shared" si="8"/>
        <v>-0.23592920555535218</v>
      </c>
      <c r="Y116" s="207">
        <f t="shared" si="9"/>
        <v>1</v>
      </c>
    </row>
    <row r="117" spans="1:25">
      <c r="A117" s="189" t="s">
        <v>117</v>
      </c>
      <c r="B117" s="188" t="s">
        <v>13</v>
      </c>
      <c r="C117" s="188" t="s">
        <v>25</v>
      </c>
      <c r="D117" s="188" t="s">
        <v>17</v>
      </c>
      <c r="E117" s="188" t="s">
        <v>12</v>
      </c>
      <c r="F117" s="188">
        <v>7</v>
      </c>
      <c r="G117" s="188">
        <v>7</v>
      </c>
      <c r="H117" s="190">
        <v>0</v>
      </c>
      <c r="I117" s="190">
        <v>0</v>
      </c>
      <c r="J117" s="190">
        <v>43223505</v>
      </c>
      <c r="K117" s="190">
        <v>0</v>
      </c>
      <c r="L117" s="189" t="str">
        <f t="shared" si="10"/>
        <v/>
      </c>
      <c r="M117" s="189" t="str">
        <f t="shared" si="11"/>
        <v/>
      </c>
      <c r="Q117" s="23" t="s">
        <v>52</v>
      </c>
      <c r="R117" s="24">
        <v>6</v>
      </c>
      <c r="S117" s="24">
        <v>10</v>
      </c>
      <c r="T117" s="157">
        <v>10000000</v>
      </c>
      <c r="U117" s="157">
        <v>7303129</v>
      </c>
      <c r="V117" s="157">
        <v>3765621</v>
      </c>
      <c r="W117" s="157">
        <v>18125151</v>
      </c>
      <c r="X117" s="206">
        <f t="shared" si="8"/>
        <v>0.93942220951072875</v>
      </c>
      <c r="Y117" s="207">
        <f t="shared" si="9"/>
        <v>1</v>
      </c>
    </row>
    <row r="118" spans="1:25">
      <c r="A118" s="189" t="s">
        <v>65</v>
      </c>
      <c r="B118" s="188" t="s">
        <v>13</v>
      </c>
      <c r="C118" s="188" t="s">
        <v>21</v>
      </c>
      <c r="D118" s="188" t="s">
        <v>17</v>
      </c>
      <c r="E118" s="188" t="s">
        <v>12</v>
      </c>
      <c r="F118" s="188">
        <v>10</v>
      </c>
      <c r="G118" s="188">
        <v>10</v>
      </c>
      <c r="H118" s="190">
        <v>0</v>
      </c>
      <c r="I118" s="190">
        <v>0</v>
      </c>
      <c r="J118" s="190">
        <v>14141858</v>
      </c>
      <c r="K118" s="190">
        <v>87162317</v>
      </c>
      <c r="L118" s="189" t="str">
        <f t="shared" si="10"/>
        <v/>
      </c>
      <c r="M118" s="189" t="str">
        <f t="shared" si="11"/>
        <v/>
      </c>
      <c r="Q118" s="23" t="s">
        <v>69</v>
      </c>
      <c r="R118" s="24">
        <v>3</v>
      </c>
      <c r="S118" s="24">
        <v>9</v>
      </c>
      <c r="T118" s="157">
        <v>30000000</v>
      </c>
      <c r="U118" s="157">
        <v>44457754</v>
      </c>
      <c r="V118" s="157">
        <v>0</v>
      </c>
      <c r="W118" s="157">
        <v>62249765</v>
      </c>
      <c r="X118" s="206">
        <f t="shared" si="8"/>
        <v>0</v>
      </c>
      <c r="Y118" s="207">
        <f t="shared" si="9"/>
        <v>3</v>
      </c>
    </row>
    <row r="119" spans="1:25">
      <c r="A119" s="189" t="s">
        <v>112</v>
      </c>
      <c r="B119" s="188" t="s">
        <v>13</v>
      </c>
      <c r="C119" s="188" t="s">
        <v>21</v>
      </c>
      <c r="D119" s="188" t="s">
        <v>17</v>
      </c>
      <c r="E119" s="188" t="s">
        <v>12</v>
      </c>
      <c r="F119" s="188">
        <v>7</v>
      </c>
      <c r="G119" s="188">
        <v>7</v>
      </c>
      <c r="H119" s="190">
        <v>0</v>
      </c>
      <c r="I119" s="190">
        <v>0</v>
      </c>
      <c r="J119" s="190">
        <v>29525162</v>
      </c>
      <c r="K119" s="190">
        <v>0</v>
      </c>
      <c r="L119" s="189" t="str">
        <f t="shared" si="10"/>
        <v/>
      </c>
      <c r="M119" s="189" t="str">
        <f t="shared" si="11"/>
        <v/>
      </c>
      <c r="Q119" s="23" t="s">
        <v>83</v>
      </c>
      <c r="R119" s="24">
        <v>4</v>
      </c>
      <c r="S119" s="24">
        <v>10</v>
      </c>
      <c r="T119" s="157">
        <v>10000000</v>
      </c>
      <c r="U119" s="157">
        <v>54467236</v>
      </c>
      <c r="V119" s="157">
        <v>0</v>
      </c>
      <c r="W119" s="157">
        <v>1234692</v>
      </c>
      <c r="X119" s="206">
        <f t="shared" si="8"/>
        <v>0</v>
      </c>
      <c r="Y119" s="207">
        <f t="shared" si="9"/>
        <v>3</v>
      </c>
    </row>
    <row r="120" spans="1:25">
      <c r="A120" s="189" t="s">
        <v>135</v>
      </c>
      <c r="B120" s="188" t="s">
        <v>13</v>
      </c>
      <c r="C120" s="188" t="s">
        <v>21</v>
      </c>
      <c r="D120" s="188" t="s">
        <v>17</v>
      </c>
      <c r="E120" s="188" t="s">
        <v>30</v>
      </c>
      <c r="F120" s="188">
        <v>4</v>
      </c>
      <c r="G120" s="188">
        <v>4</v>
      </c>
      <c r="H120" s="190">
        <v>0</v>
      </c>
      <c r="I120" s="190">
        <v>0</v>
      </c>
      <c r="J120" s="190">
        <v>29366791</v>
      </c>
      <c r="K120" s="190">
        <v>89805774</v>
      </c>
      <c r="L120" s="189" t="str">
        <f t="shared" si="10"/>
        <v/>
      </c>
      <c r="M120" s="189" t="str">
        <f t="shared" si="11"/>
        <v/>
      </c>
      <c r="Q120" s="23" t="s">
        <v>75</v>
      </c>
      <c r="R120" s="24">
        <v>4</v>
      </c>
      <c r="S120" s="24">
        <v>10</v>
      </c>
      <c r="T120" s="157">
        <v>10000000</v>
      </c>
      <c r="U120" s="157">
        <v>17991607</v>
      </c>
      <c r="V120" s="157">
        <v>0</v>
      </c>
      <c r="W120" s="157">
        <v>174626</v>
      </c>
      <c r="X120" s="206">
        <f t="shared" si="8"/>
        <v>0</v>
      </c>
      <c r="Y120" s="207">
        <f t="shared" si="9"/>
        <v>3</v>
      </c>
    </row>
    <row r="121" spans="1:25">
      <c r="A121" s="189" t="s">
        <v>40</v>
      </c>
      <c r="B121" s="188" t="s">
        <v>13</v>
      </c>
      <c r="C121" s="188" t="s">
        <v>21</v>
      </c>
      <c r="D121" s="188" t="s">
        <v>17</v>
      </c>
      <c r="E121" s="188" t="s">
        <v>30</v>
      </c>
      <c r="F121" s="188">
        <v>5</v>
      </c>
      <c r="G121" s="188">
        <v>5</v>
      </c>
      <c r="H121" s="190">
        <v>0</v>
      </c>
      <c r="I121" s="190">
        <v>0</v>
      </c>
      <c r="J121" s="190">
        <v>73195518</v>
      </c>
      <c r="K121" s="190">
        <v>10695678</v>
      </c>
      <c r="L121" s="189" t="str">
        <f t="shared" si="10"/>
        <v/>
      </c>
      <c r="M121" s="189" t="str">
        <f t="shared" si="11"/>
        <v/>
      </c>
      <c r="Q121" s="23" t="s">
        <v>92</v>
      </c>
      <c r="R121" s="24">
        <v>5</v>
      </c>
      <c r="S121" s="24">
        <v>10</v>
      </c>
      <c r="T121" s="157">
        <v>0</v>
      </c>
      <c r="U121" s="157">
        <v>0</v>
      </c>
      <c r="V121" s="157">
        <v>24965127</v>
      </c>
      <c r="W121" s="157">
        <v>41129782</v>
      </c>
      <c r="X121" s="206">
        <f t="shared" si="8"/>
        <v>-1</v>
      </c>
      <c r="Y121" s="207">
        <f t="shared" si="9"/>
        <v>2</v>
      </c>
    </row>
    <row r="122" spans="1:25">
      <c r="A122" s="189" t="s">
        <v>19</v>
      </c>
      <c r="B122" s="188" t="s">
        <v>13</v>
      </c>
      <c r="C122" s="188" t="s">
        <v>21</v>
      </c>
      <c r="D122" s="188" t="s">
        <v>17</v>
      </c>
      <c r="E122" s="188" t="s">
        <v>12</v>
      </c>
      <c r="F122" s="188">
        <v>6</v>
      </c>
      <c r="G122" s="188">
        <v>6</v>
      </c>
      <c r="H122" s="190">
        <v>0</v>
      </c>
      <c r="I122" s="190">
        <v>0</v>
      </c>
      <c r="J122" s="190">
        <v>1432950</v>
      </c>
      <c r="K122" s="190">
        <v>29672451</v>
      </c>
      <c r="L122" s="189" t="str">
        <f t="shared" si="10"/>
        <v/>
      </c>
      <c r="M122" s="189" t="str">
        <f t="shared" si="11"/>
        <v>OMITIR</v>
      </c>
    </row>
    <row r="123" spans="1:25">
      <c r="A123" s="189" t="s">
        <v>70</v>
      </c>
      <c r="B123" s="188" t="s">
        <v>13</v>
      </c>
      <c r="C123" s="188" t="s">
        <v>21</v>
      </c>
      <c r="D123" s="188" t="s">
        <v>472</v>
      </c>
      <c r="E123" s="188" t="s">
        <v>30</v>
      </c>
      <c r="F123" s="188">
        <v>7</v>
      </c>
      <c r="G123" s="188">
        <v>7</v>
      </c>
      <c r="H123" s="190">
        <v>1000000</v>
      </c>
      <c r="I123" s="190">
        <v>77159264</v>
      </c>
      <c r="J123" s="190">
        <v>0</v>
      </c>
      <c r="K123" s="190">
        <v>97234303</v>
      </c>
      <c r="L123" s="189" t="str">
        <f t="shared" si="10"/>
        <v>VALIOSO</v>
      </c>
      <c r="M123" s="189" t="str">
        <f t="shared" si="11"/>
        <v>OMITIR</v>
      </c>
    </row>
    <row r="124" spans="1:25">
      <c r="A124" s="189" t="s">
        <v>104</v>
      </c>
      <c r="B124" s="25" t="s">
        <v>28</v>
      </c>
      <c r="C124" s="188" t="s">
        <v>21</v>
      </c>
      <c r="D124" s="188" t="s">
        <v>472</v>
      </c>
      <c r="E124" s="188" t="s">
        <v>12</v>
      </c>
      <c r="F124" s="188">
        <v>10</v>
      </c>
      <c r="G124" s="188">
        <v>10</v>
      </c>
      <c r="H124" s="190">
        <v>100000000</v>
      </c>
      <c r="I124" s="190">
        <v>12451199</v>
      </c>
      <c r="J124" s="190">
        <v>74231711</v>
      </c>
      <c r="K124" s="190">
        <v>42951226</v>
      </c>
      <c r="L124" s="189" t="str">
        <f t="shared" si="10"/>
        <v>VALIOSO</v>
      </c>
      <c r="M124" s="189" t="str">
        <f t="shared" si="11"/>
        <v/>
      </c>
    </row>
    <row r="125" spans="1:25">
      <c r="A125" s="189" t="s">
        <v>128</v>
      </c>
      <c r="B125" s="188" t="s">
        <v>13</v>
      </c>
      <c r="C125" s="188" t="s">
        <v>9</v>
      </c>
      <c r="D125" s="188" t="s">
        <v>472</v>
      </c>
      <c r="E125" s="188" t="s">
        <v>30</v>
      </c>
      <c r="F125" s="188">
        <v>9</v>
      </c>
      <c r="G125" s="188">
        <v>9</v>
      </c>
      <c r="H125" s="190">
        <v>90000000</v>
      </c>
      <c r="I125" s="190">
        <v>13287929</v>
      </c>
      <c r="J125" s="190">
        <v>27090183</v>
      </c>
      <c r="K125" s="190">
        <v>79518711</v>
      </c>
      <c r="L125" s="189" t="str">
        <f t="shared" si="10"/>
        <v>VALIOSO</v>
      </c>
      <c r="M125" s="189" t="str">
        <f t="shared" si="11"/>
        <v/>
      </c>
    </row>
    <row r="126" spans="1:25">
      <c r="A126" s="189" t="s">
        <v>53</v>
      </c>
      <c r="B126" s="25" t="s">
        <v>28</v>
      </c>
      <c r="C126" s="188" t="s">
        <v>54</v>
      </c>
      <c r="D126" s="188" t="s">
        <v>55</v>
      </c>
      <c r="E126" s="188" t="s">
        <v>12</v>
      </c>
      <c r="F126" s="188">
        <v>5</v>
      </c>
      <c r="G126" s="188">
        <v>5</v>
      </c>
      <c r="H126" s="190">
        <v>0</v>
      </c>
      <c r="I126" s="190">
        <v>0</v>
      </c>
      <c r="J126" s="190">
        <v>20898506</v>
      </c>
      <c r="K126" s="190">
        <v>24525645</v>
      </c>
      <c r="L126" s="189" t="str">
        <f t="shared" si="10"/>
        <v/>
      </c>
      <c r="M126" s="189" t="str">
        <f t="shared" si="11"/>
        <v/>
      </c>
    </row>
    <row r="127" spans="1:25">
      <c r="A127" s="189" t="s">
        <v>51</v>
      </c>
      <c r="B127" s="188" t="s">
        <v>13</v>
      </c>
      <c r="C127" s="188" t="s">
        <v>21</v>
      </c>
      <c r="D127" s="188" t="s">
        <v>472</v>
      </c>
      <c r="E127" s="188" t="s">
        <v>12</v>
      </c>
      <c r="F127" s="188">
        <v>7</v>
      </c>
      <c r="G127" s="188">
        <v>7</v>
      </c>
      <c r="H127" s="190">
        <v>5000000</v>
      </c>
      <c r="I127" s="190">
        <v>37959268</v>
      </c>
      <c r="J127" s="190">
        <v>69132389</v>
      </c>
      <c r="K127" s="190">
        <v>99564796</v>
      </c>
      <c r="L127" s="189" t="str">
        <f t="shared" si="10"/>
        <v>VALIOSO</v>
      </c>
      <c r="M127" s="189" t="str">
        <f t="shared" si="11"/>
        <v/>
      </c>
    </row>
    <row r="128" spans="1:25">
      <c r="A128" s="189" t="s">
        <v>63</v>
      </c>
      <c r="B128" s="188" t="s">
        <v>13</v>
      </c>
      <c r="C128" s="188" t="s">
        <v>21</v>
      </c>
      <c r="D128" s="188" t="s">
        <v>17</v>
      </c>
      <c r="E128" s="188" t="s">
        <v>30</v>
      </c>
      <c r="F128" s="188">
        <v>6</v>
      </c>
      <c r="G128" s="188">
        <v>6</v>
      </c>
      <c r="H128" s="190">
        <v>0</v>
      </c>
      <c r="I128" s="190">
        <v>0</v>
      </c>
      <c r="J128" s="190">
        <v>26450622</v>
      </c>
      <c r="K128" s="190">
        <v>4227264</v>
      </c>
      <c r="L128" s="189" t="str">
        <f t="shared" si="10"/>
        <v/>
      </c>
      <c r="M128" s="189" t="str">
        <f t="shared" si="11"/>
        <v/>
      </c>
    </row>
    <row r="129" spans="1:13">
      <c r="A129" s="189" t="s">
        <v>76</v>
      </c>
      <c r="B129" s="25" t="s">
        <v>77</v>
      </c>
      <c r="C129" s="188" t="s">
        <v>21</v>
      </c>
      <c r="D129" s="188" t="s">
        <v>17</v>
      </c>
      <c r="E129" s="188" t="s">
        <v>30</v>
      </c>
      <c r="F129" s="188">
        <v>5</v>
      </c>
      <c r="G129" s="188">
        <v>5</v>
      </c>
      <c r="H129" s="190">
        <v>0</v>
      </c>
      <c r="I129" s="190">
        <v>0</v>
      </c>
      <c r="J129" s="190">
        <v>0</v>
      </c>
      <c r="K129" s="190">
        <v>54376640</v>
      </c>
      <c r="L129" s="189" t="str">
        <f t="shared" si="10"/>
        <v/>
      </c>
      <c r="M129" s="189" t="str">
        <f t="shared" si="11"/>
        <v/>
      </c>
    </row>
    <row r="130" spans="1:13">
      <c r="A130" s="189" t="s">
        <v>134</v>
      </c>
      <c r="B130" s="188" t="s">
        <v>13</v>
      </c>
      <c r="C130" s="188" t="s">
        <v>21</v>
      </c>
      <c r="D130" s="188" t="s">
        <v>472</v>
      </c>
      <c r="E130" s="188" t="s">
        <v>12</v>
      </c>
      <c r="F130" s="188">
        <v>9</v>
      </c>
      <c r="G130" s="188">
        <v>9</v>
      </c>
      <c r="H130" s="190">
        <v>90000000</v>
      </c>
      <c r="I130" s="190">
        <v>29991873</v>
      </c>
      <c r="J130" s="190">
        <v>39252741</v>
      </c>
      <c r="K130" s="190">
        <v>15542722</v>
      </c>
      <c r="L130" s="189" t="str">
        <f t="shared" si="10"/>
        <v>VALIOSO</v>
      </c>
      <c r="M130" s="189" t="str">
        <f t="shared" si="11"/>
        <v/>
      </c>
    </row>
    <row r="131" spans="1:13">
      <c r="A131" s="189" t="s">
        <v>52</v>
      </c>
      <c r="B131" s="188" t="s">
        <v>13</v>
      </c>
      <c r="C131" s="188" t="s">
        <v>21</v>
      </c>
      <c r="D131" s="188" t="s">
        <v>472</v>
      </c>
      <c r="E131" s="188" t="s">
        <v>12</v>
      </c>
      <c r="F131" s="188">
        <v>10</v>
      </c>
      <c r="G131" s="188">
        <v>10</v>
      </c>
      <c r="H131" s="190">
        <v>10000000</v>
      </c>
      <c r="I131" s="190">
        <v>7303129</v>
      </c>
      <c r="J131" s="190">
        <v>3765621</v>
      </c>
      <c r="K131" s="190">
        <v>18125151</v>
      </c>
      <c r="L131" s="189" t="str">
        <f t="shared" si="10"/>
        <v/>
      </c>
      <c r="M131" s="189" t="str">
        <f t="shared" si="11"/>
        <v>OMITIR</v>
      </c>
    </row>
    <row r="132" spans="1:13">
      <c r="A132" s="189" t="s">
        <v>69</v>
      </c>
      <c r="B132" s="25" t="s">
        <v>32</v>
      </c>
      <c r="C132" s="188" t="s">
        <v>21</v>
      </c>
      <c r="D132" s="188" t="s">
        <v>472</v>
      </c>
      <c r="E132" s="188" t="s">
        <v>12</v>
      </c>
      <c r="F132" s="188">
        <v>9</v>
      </c>
      <c r="G132" s="188">
        <v>9</v>
      </c>
      <c r="H132" s="190">
        <v>30000000</v>
      </c>
      <c r="I132" s="190">
        <v>44457754</v>
      </c>
      <c r="J132" s="190">
        <v>0</v>
      </c>
      <c r="K132" s="190">
        <v>62249765</v>
      </c>
      <c r="L132" s="189" t="str">
        <f t="shared" si="10"/>
        <v>VALIOSO</v>
      </c>
      <c r="M132" s="189" t="str">
        <f t="shared" si="11"/>
        <v/>
      </c>
    </row>
    <row r="133" spans="1:13">
      <c r="A133" s="189" t="s">
        <v>83</v>
      </c>
      <c r="B133" s="188" t="s">
        <v>13</v>
      </c>
      <c r="C133" s="188" t="s">
        <v>21</v>
      </c>
      <c r="D133" s="188" t="s">
        <v>472</v>
      </c>
      <c r="E133" s="188" t="s">
        <v>12</v>
      </c>
      <c r="F133" s="188">
        <v>10</v>
      </c>
      <c r="G133" s="188">
        <v>10</v>
      </c>
      <c r="H133" s="190">
        <v>10000000</v>
      </c>
      <c r="I133" s="190">
        <v>54467236</v>
      </c>
      <c r="J133" s="190">
        <v>0</v>
      </c>
      <c r="K133" s="190">
        <v>1234692</v>
      </c>
      <c r="L133" s="189" t="str">
        <f t="shared" si="10"/>
        <v>VALIOSO</v>
      </c>
      <c r="M133" s="189" t="str">
        <f t="shared" si="11"/>
        <v>OMITIR</v>
      </c>
    </row>
    <row r="134" spans="1:13">
      <c r="A134" s="189" t="s">
        <v>75</v>
      </c>
      <c r="B134" s="188" t="s">
        <v>13</v>
      </c>
      <c r="C134" s="188" t="s">
        <v>21</v>
      </c>
      <c r="D134" s="188" t="s">
        <v>472</v>
      </c>
      <c r="E134" s="188" t="s">
        <v>12</v>
      </c>
      <c r="F134" s="188">
        <v>10</v>
      </c>
      <c r="G134" s="188">
        <v>10</v>
      </c>
      <c r="H134" s="190">
        <v>10000000</v>
      </c>
      <c r="I134" s="190">
        <v>17991607</v>
      </c>
      <c r="J134" s="190">
        <v>0</v>
      </c>
      <c r="K134" s="190">
        <v>174626</v>
      </c>
      <c r="L134" s="189" t="str">
        <f t="shared" si="10"/>
        <v>VALIOSO</v>
      </c>
      <c r="M134" s="189" t="str">
        <f t="shared" si="11"/>
        <v>OMITIR</v>
      </c>
    </row>
    <row r="135" spans="1:13">
      <c r="A135" s="189" t="s">
        <v>92</v>
      </c>
      <c r="B135" s="188" t="s">
        <v>13</v>
      </c>
      <c r="C135" s="188" t="s">
        <v>21</v>
      </c>
      <c r="D135" s="188" t="s">
        <v>17</v>
      </c>
      <c r="E135" s="188" t="s">
        <v>12</v>
      </c>
      <c r="F135" s="188">
        <v>10</v>
      </c>
      <c r="G135" s="188">
        <v>10</v>
      </c>
      <c r="H135" s="190">
        <v>0</v>
      </c>
      <c r="I135" s="190">
        <v>0</v>
      </c>
      <c r="J135" s="190">
        <v>24965127</v>
      </c>
      <c r="K135" s="190">
        <v>41129782</v>
      </c>
      <c r="L135" s="189" t="str">
        <f t="shared" si="10"/>
        <v/>
      </c>
      <c r="M135" s="189" t="str">
        <f t="shared" si="11"/>
        <v/>
      </c>
    </row>
    <row r="136" spans="1:13">
      <c r="G136">
        <f>AVERAGE(G36:G135)</f>
        <v>7.56</v>
      </c>
    </row>
  </sheetData>
  <mergeCells count="4">
    <mergeCell ref="A12:B12"/>
    <mergeCell ref="D12:E12"/>
    <mergeCell ref="G12:H12"/>
    <mergeCell ref="Q18:Q20"/>
  </mergeCells>
  <conditionalFormatting sqref="B36:B135">
    <cfRule type="cellIs" dxfId="37" priority="24" operator="equal">
      <formula>"COLOMBIA"</formula>
    </cfRule>
  </conditionalFormatting>
  <conditionalFormatting sqref="D36:D135">
    <cfRule type="cellIs" dxfId="36" priority="20" operator="equal">
      <formula>"Inversion"</formula>
    </cfRule>
  </conditionalFormatting>
  <conditionalFormatting sqref="F36:F135">
    <cfRule type="cellIs" dxfId="35" priority="22" operator="lessThan">
      <formula>6</formula>
    </cfRule>
  </conditionalFormatting>
  <conditionalFormatting sqref="G36:G135">
    <cfRule type="aboveAverage" dxfId="34" priority="19"/>
  </conditionalFormatting>
  <conditionalFormatting sqref="L36:L135">
    <cfRule type="cellIs" dxfId="33" priority="21" operator="equal">
      <formula>"VALIOSO"</formula>
    </cfRule>
  </conditionalFormatting>
  <conditionalFormatting sqref="M36:M135">
    <cfRule type="cellIs" dxfId="32" priority="17" operator="equal">
      <formula>$M$36</formula>
    </cfRule>
    <cfRule type="containsText" dxfId="31" priority="18" operator="containsText" text="OMITIR">
      <formula>NOT(ISERROR(SEARCH("OMITIR",M36)))</formula>
    </cfRule>
  </conditionalFormatting>
  <conditionalFormatting sqref="N9:N11">
    <cfRule type="iconSet" priority="10">
      <iconSet iconSet="3Arrows">
        <cfvo type="percent" val="0"/>
        <cfvo type="percent" val="0"/>
        <cfvo type="percent" val="1"/>
      </iconSet>
    </cfRule>
  </conditionalFormatting>
  <conditionalFormatting sqref="Q2:Q4">
    <cfRule type="iconSet" priority="9">
      <iconSet iconSet="3TrafficLights2">
        <cfvo type="percent" val="0"/>
        <cfvo type="num" val="2"/>
        <cfvo type="num" val="3"/>
      </iconSet>
    </cfRule>
  </conditionalFormatting>
  <conditionalFormatting sqref="U9:U11">
    <cfRule type="iconSet" priority="8">
      <iconSet>
        <cfvo type="percent" val="0"/>
        <cfvo type="num" val="0"/>
        <cfvo type="num" val="0.01"/>
      </iconSet>
    </cfRule>
  </conditionalFormatting>
  <conditionalFormatting sqref="W9:W11">
    <cfRule type="expression" dxfId="30" priority="6">
      <formula>(S9/R9)&gt;=100%</formula>
    </cfRule>
  </conditionalFormatting>
  <conditionalFormatting sqref="W22:W121">
    <cfRule type="cellIs" dxfId="29" priority="1" operator="greaterThanOrEqual">
      <formula>10000000</formula>
    </cfRule>
  </conditionalFormatting>
  <conditionalFormatting sqref="X9:X11">
    <cfRule type="iconSet" priority="5">
      <iconSet iconSet="3Arrows">
        <cfvo type="percent" val="0"/>
        <cfvo type="percent" val="33"/>
        <cfvo type="percent" val="67"/>
      </iconSet>
    </cfRule>
  </conditionalFormatting>
  <conditionalFormatting sqref="X22:X121">
    <cfRule type="iconSet" priority="3">
      <iconSet iconSet="3Arrows">
        <cfvo type="percent" val="0"/>
        <cfvo type="num" val="0"/>
        <cfvo type="num" val="0.01"/>
      </iconSet>
    </cfRule>
  </conditionalFormatting>
  <conditionalFormatting sqref="Y22:Y121">
    <cfRule type="iconSet" priority="2">
      <iconSet showValue="0">
        <cfvo type="percent" val="0"/>
        <cfvo type="num" val="2"/>
        <cfvo type="num" val="3"/>
      </iconSet>
    </cfRule>
  </conditionalFormatting>
  <pageMargins left="0.7" right="0.7" top="0.75" bottom="0.75" header="0.3" footer="0.3"/>
  <extLst>
    <ext xmlns:x14="http://schemas.microsoft.com/office/spreadsheetml/2009/9/main" uri="{05C60535-1F16-4fd2-B633-F4F36F0B64E0}">
      <x14:sparklineGroups xmlns:xm="http://schemas.microsoft.com/office/excel/2006/main">
        <x14:sparklineGroup type="stacked" displayEmptyCellsAs="span" xr2:uid="{AB30E132-3B7E-4F9C-A00C-FE0F9E392C26}">
          <x14:colorSeries theme="8"/>
          <x14:colorNegative theme="9"/>
          <x14:colorAxis rgb="FF000000"/>
          <x14:colorMarkers theme="8" tint="-0.249977111117893"/>
          <x14:colorFirst theme="8" tint="-0.249977111117893"/>
          <x14:colorLast theme="8" tint="-0.249977111117893"/>
          <x14:colorHigh theme="8" tint="-0.249977111117893"/>
          <x14:colorLow theme="8" tint="-0.249977111117893"/>
          <x14:sparklines>
            <x14:sparkline>
              <xm:f>FORMATOCONDICIONAL!N11:N11</xm:f>
              <xm:sqref>O11</xm:sqref>
            </x14:sparkline>
          </x14:sparklines>
        </x14:sparklineGroup>
      </x14:sparklineGroup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795D2-5198-49B1-8626-6A60AFAE2BD8}">
  <sheetPr codeName="Hoja17"/>
  <dimension ref="A1:T331"/>
  <sheetViews>
    <sheetView topLeftCell="A219" workbookViewId="0">
      <selection activeCell="F9" sqref="F9"/>
    </sheetView>
  </sheetViews>
  <sheetFormatPr baseColWidth="10" defaultRowHeight="15"/>
  <cols>
    <col min="16" max="16" width="32.85546875" bestFit="1" customWidth="1"/>
    <col min="17" max="17" width="22.42578125" bestFit="1" customWidth="1"/>
    <col min="18" max="18" width="16.28515625" bestFit="1" customWidth="1"/>
    <col min="19" max="19" width="17.85546875" bestFit="1" customWidth="1"/>
    <col min="20" max="20" width="32.85546875" bestFit="1" customWidth="1"/>
    <col min="21" max="21" width="30.85546875" bestFit="1" customWidth="1"/>
    <col min="22" max="22" width="37.85546875" bestFit="1" customWidth="1"/>
  </cols>
  <sheetData>
    <row r="1" spans="1:20">
      <c r="A1" s="43"/>
      <c r="B1" s="43"/>
      <c r="C1" s="43"/>
      <c r="D1" s="43"/>
      <c r="E1" s="43"/>
      <c r="F1" s="43"/>
      <c r="G1" s="43"/>
      <c r="H1" s="43"/>
      <c r="I1" s="43"/>
      <c r="J1" s="43"/>
      <c r="K1" s="43"/>
      <c r="L1" s="43"/>
      <c r="M1" s="43"/>
      <c r="N1" s="43"/>
    </row>
    <row r="2" spans="1:20">
      <c r="A2" s="43"/>
      <c r="B2" s="43"/>
      <c r="C2" s="43"/>
      <c r="D2" s="43"/>
      <c r="E2" s="43"/>
      <c r="F2" s="43"/>
      <c r="G2" s="43"/>
      <c r="H2" s="43"/>
      <c r="I2" s="43"/>
      <c r="J2" s="43"/>
      <c r="K2" s="43"/>
      <c r="L2" s="43"/>
      <c r="M2" s="43"/>
      <c r="N2" s="43"/>
    </row>
    <row r="3" spans="1:20" ht="18">
      <c r="A3" s="43"/>
      <c r="B3" s="177" t="s">
        <v>486</v>
      </c>
      <c r="C3" s="43"/>
      <c r="D3" s="43"/>
      <c r="E3" s="43"/>
      <c r="F3" s="43"/>
      <c r="G3" s="43"/>
      <c r="H3" s="43"/>
      <c r="I3" s="43"/>
      <c r="J3" s="43"/>
      <c r="K3" s="43"/>
      <c r="L3" s="43"/>
      <c r="M3" s="43"/>
      <c r="N3" s="43"/>
    </row>
    <row r="4" spans="1:20">
      <c r="A4" s="43"/>
      <c r="B4" s="43" t="s">
        <v>487</v>
      </c>
      <c r="C4" s="43"/>
      <c r="D4" s="43"/>
      <c r="E4" s="43"/>
      <c r="F4" s="43"/>
      <c r="G4" s="43"/>
      <c r="H4" s="43"/>
      <c r="I4" s="43"/>
      <c r="J4" s="43"/>
      <c r="K4" s="43"/>
      <c r="L4" s="43"/>
      <c r="M4" s="43"/>
      <c r="N4" s="43"/>
    </row>
    <row r="5" spans="1:20">
      <c r="A5" s="43"/>
      <c r="B5" s="43" t="s">
        <v>488</v>
      </c>
      <c r="C5" s="43"/>
      <c r="D5" s="43"/>
      <c r="E5" s="43"/>
      <c r="F5" s="43"/>
      <c r="G5" s="43"/>
      <c r="H5" s="43"/>
      <c r="I5" s="43"/>
      <c r="J5" s="43"/>
      <c r="K5" s="43"/>
      <c r="L5" s="43"/>
      <c r="M5" s="43"/>
      <c r="N5" s="43"/>
    </row>
    <row r="6" spans="1:20">
      <c r="A6" s="43"/>
      <c r="B6" s="43" t="s">
        <v>489</v>
      </c>
      <c r="C6" s="43"/>
      <c r="D6" s="43"/>
      <c r="E6" s="43"/>
      <c r="F6" s="43"/>
      <c r="G6" s="43"/>
      <c r="H6" s="43"/>
      <c r="I6" s="43"/>
      <c r="J6" s="43"/>
      <c r="K6" s="43"/>
      <c r="L6" s="43"/>
      <c r="M6" s="43"/>
      <c r="N6" s="43"/>
    </row>
    <row r="7" spans="1:20">
      <c r="A7" s="43"/>
      <c r="B7" s="43" t="s">
        <v>490</v>
      </c>
      <c r="C7" s="43"/>
      <c r="D7" s="43"/>
      <c r="E7" s="43"/>
      <c r="F7" s="43"/>
      <c r="G7" s="43"/>
      <c r="H7" s="43"/>
      <c r="I7" s="43"/>
      <c r="J7" s="43"/>
      <c r="K7" s="43"/>
      <c r="L7" s="43"/>
      <c r="M7" s="43"/>
      <c r="N7" s="43"/>
    </row>
    <row r="8" spans="1:20">
      <c r="A8" s="43"/>
      <c r="B8" s="43" t="s">
        <v>491</v>
      </c>
      <c r="C8" s="43"/>
      <c r="D8" s="43"/>
      <c r="E8" s="43"/>
      <c r="F8" s="43"/>
      <c r="G8" s="43"/>
      <c r="H8" s="43"/>
      <c r="I8" s="43"/>
      <c r="J8" s="43"/>
      <c r="K8" s="43"/>
      <c r="L8" s="43"/>
      <c r="M8" s="43"/>
      <c r="N8" s="43"/>
    </row>
    <row r="9" spans="1:20">
      <c r="A9" s="43"/>
      <c r="B9" s="43" t="s">
        <v>492</v>
      </c>
      <c r="C9" s="43"/>
      <c r="D9" s="43"/>
      <c r="E9" s="43"/>
      <c r="F9" s="43"/>
      <c r="G9" s="43"/>
      <c r="H9" s="43"/>
      <c r="I9" s="43"/>
      <c r="J9" s="43"/>
      <c r="K9" s="43"/>
      <c r="L9" s="43"/>
      <c r="M9" s="43"/>
      <c r="N9" s="43"/>
      <c r="P9" s="168" t="s">
        <v>277</v>
      </c>
      <c r="Q9" t="s">
        <v>494</v>
      </c>
    </row>
    <row r="10" spans="1:20">
      <c r="A10" s="43"/>
      <c r="B10" s="43"/>
      <c r="C10" s="43"/>
      <c r="D10" s="43"/>
      <c r="E10" s="43"/>
      <c r="F10" s="43"/>
      <c r="G10" s="43"/>
      <c r="H10" s="43"/>
      <c r="I10" s="43"/>
      <c r="J10" s="43"/>
      <c r="K10" s="43"/>
      <c r="L10" s="43"/>
      <c r="M10" s="43"/>
      <c r="N10" s="43"/>
    </row>
    <row r="11" spans="1:20" ht="60">
      <c r="A11" s="20" t="s">
        <v>140</v>
      </c>
      <c r="B11" s="20" t="s">
        <v>0</v>
      </c>
      <c r="C11" s="20" t="s">
        <v>305</v>
      </c>
      <c r="D11" s="20" t="s">
        <v>7</v>
      </c>
      <c r="E11" s="20" t="s">
        <v>3</v>
      </c>
      <c r="F11" s="20" t="s">
        <v>4</v>
      </c>
      <c r="G11" s="20" t="s">
        <v>5</v>
      </c>
      <c r="H11" s="20" t="s">
        <v>6</v>
      </c>
      <c r="I11" s="20" t="s">
        <v>276</v>
      </c>
      <c r="J11" s="20" t="s">
        <v>277</v>
      </c>
      <c r="K11" s="20" t="s">
        <v>175</v>
      </c>
      <c r="L11" s="20" t="s">
        <v>176</v>
      </c>
      <c r="M11" s="20" t="s">
        <v>177</v>
      </c>
      <c r="N11" s="20" t="s">
        <v>178</v>
      </c>
      <c r="P11" s="168" t="s">
        <v>493</v>
      </c>
      <c r="Q11" s="168" t="s">
        <v>409</v>
      </c>
    </row>
    <row r="12" spans="1:20">
      <c r="A12" s="23">
        <v>1</v>
      </c>
      <c r="B12" s="23" t="s">
        <v>8</v>
      </c>
      <c r="C12" s="137" t="s">
        <v>306</v>
      </c>
      <c r="D12" s="24" t="s">
        <v>13</v>
      </c>
      <c r="E12" s="24" t="s">
        <v>54</v>
      </c>
      <c r="F12" s="24" t="s">
        <v>55</v>
      </c>
      <c r="G12" s="24" t="s">
        <v>56</v>
      </c>
      <c r="H12" s="24" t="s">
        <v>12</v>
      </c>
      <c r="I12" s="24">
        <v>3</v>
      </c>
      <c r="J12" s="24">
        <v>8</v>
      </c>
      <c r="K12" s="23" t="s">
        <v>141</v>
      </c>
      <c r="L12" s="23" t="s">
        <v>179</v>
      </c>
      <c r="M12" s="28">
        <v>96781441</v>
      </c>
      <c r="N12" s="28">
        <v>47643060</v>
      </c>
      <c r="P12" s="168" t="s">
        <v>411</v>
      </c>
      <c r="Q12" t="s">
        <v>12</v>
      </c>
      <c r="R12" t="s">
        <v>30</v>
      </c>
      <c r="S12" t="s">
        <v>410</v>
      </c>
    </row>
    <row r="13" spans="1:20">
      <c r="A13" s="23">
        <v>2</v>
      </c>
      <c r="B13" s="23" t="s">
        <v>14</v>
      </c>
      <c r="C13" s="137" t="s">
        <v>307</v>
      </c>
      <c r="D13" s="24" t="s">
        <v>13</v>
      </c>
      <c r="E13" s="24" t="s">
        <v>21</v>
      </c>
      <c r="F13" s="24" t="s">
        <v>10</v>
      </c>
      <c r="G13" s="24" t="s">
        <v>11</v>
      </c>
      <c r="H13" s="24" t="s">
        <v>30</v>
      </c>
      <c r="I13" s="24">
        <v>8</v>
      </c>
      <c r="J13" s="24">
        <v>7</v>
      </c>
      <c r="K13" s="28">
        <v>10000000</v>
      </c>
      <c r="L13" s="28">
        <v>40848959</v>
      </c>
      <c r="M13" s="28">
        <v>92963332</v>
      </c>
      <c r="N13" s="28">
        <v>47565587</v>
      </c>
      <c r="P13" s="169" t="s">
        <v>15</v>
      </c>
      <c r="Q13" s="208">
        <v>287936938</v>
      </c>
      <c r="R13" s="208">
        <v>188235993</v>
      </c>
      <c r="S13" s="208">
        <v>476172931</v>
      </c>
      <c r="T13" s="191">
        <f>GETPIVOTDATA("Inversión real 2018",P11,"Sector","Agroindustrial")/GETPIVOTDATA("Inversión real 2018",$P$11)</f>
        <v>6.678206858346078E-2</v>
      </c>
    </row>
    <row r="14" spans="1:20">
      <c r="A14" s="23">
        <v>3</v>
      </c>
      <c r="B14" s="23" t="s">
        <v>16</v>
      </c>
      <c r="C14" s="137" t="s">
        <v>308</v>
      </c>
      <c r="D14" s="24" t="s">
        <v>13</v>
      </c>
      <c r="E14" s="24" t="s">
        <v>9</v>
      </c>
      <c r="F14" s="24" t="s">
        <v>17</v>
      </c>
      <c r="G14" s="25" t="s">
        <v>23</v>
      </c>
      <c r="H14" s="24" t="s">
        <v>12</v>
      </c>
      <c r="I14" s="24">
        <v>5</v>
      </c>
      <c r="J14" s="24">
        <v>10</v>
      </c>
      <c r="K14" s="23" t="s">
        <v>141</v>
      </c>
      <c r="L14" s="23" t="s">
        <v>179</v>
      </c>
      <c r="M14" s="28">
        <v>49599457</v>
      </c>
      <c r="N14" s="23" t="s">
        <v>179</v>
      </c>
      <c r="P14" s="169" t="s">
        <v>9</v>
      </c>
      <c r="Q14" s="208">
        <v>439645786</v>
      </c>
      <c r="R14" s="208">
        <v>53376022</v>
      </c>
      <c r="S14" s="208">
        <v>493021808</v>
      </c>
      <c r="T14" s="191">
        <f>GETPIVOTDATA("Inversión real 2018",$P$11,"Sector","Construcción")/GETPIVOTDATA("Inversión real 2018",$P$11)</f>
        <v>6.9145081653114449E-2</v>
      </c>
    </row>
    <row r="15" spans="1:20">
      <c r="A15" s="23">
        <v>4</v>
      </c>
      <c r="B15" s="23" t="s">
        <v>19</v>
      </c>
      <c r="C15" s="137" t="s">
        <v>309</v>
      </c>
      <c r="D15" s="24" t="s">
        <v>13</v>
      </c>
      <c r="E15" s="24" t="s">
        <v>21</v>
      </c>
      <c r="F15" s="24" t="s">
        <v>10</v>
      </c>
      <c r="G15" s="24" t="s">
        <v>27</v>
      </c>
      <c r="H15" s="24" t="s">
        <v>12</v>
      </c>
      <c r="I15" s="24">
        <v>4</v>
      </c>
      <c r="J15" s="24">
        <v>8</v>
      </c>
      <c r="K15" s="28">
        <v>10000000</v>
      </c>
      <c r="L15" s="28">
        <v>78308880</v>
      </c>
      <c r="M15" s="28">
        <v>3248026</v>
      </c>
      <c r="N15" s="28">
        <v>27143270</v>
      </c>
      <c r="P15" s="169" t="s">
        <v>54</v>
      </c>
      <c r="Q15" s="208">
        <v>0</v>
      </c>
      <c r="R15" s="208"/>
      <c r="S15" s="208">
        <v>0</v>
      </c>
      <c r="T15" s="191">
        <f>GETPIVOTDATA("Inversión real 2018",$P$11,"Sector","Educación")/GETPIVOTDATA("Inversión real 2018",$P$11)</f>
        <v>0</v>
      </c>
    </row>
    <row r="16" spans="1:20">
      <c r="A16" s="23">
        <v>5</v>
      </c>
      <c r="B16" s="23" t="s">
        <v>22</v>
      </c>
      <c r="C16" s="137" t="s">
        <v>310</v>
      </c>
      <c r="D16" s="24" t="s">
        <v>13</v>
      </c>
      <c r="E16" s="24" t="s">
        <v>9</v>
      </c>
      <c r="F16" s="24" t="s">
        <v>10</v>
      </c>
      <c r="G16" s="24" t="s">
        <v>11</v>
      </c>
      <c r="H16" s="24" t="s">
        <v>12</v>
      </c>
      <c r="I16" s="24">
        <v>4</v>
      </c>
      <c r="J16" s="24">
        <v>9</v>
      </c>
      <c r="K16" s="28">
        <v>50000000</v>
      </c>
      <c r="L16" s="28">
        <v>2910571</v>
      </c>
      <c r="M16" s="28">
        <v>37561085</v>
      </c>
      <c r="N16" s="28">
        <v>19598007</v>
      </c>
      <c r="P16" s="169" t="s">
        <v>25</v>
      </c>
      <c r="Q16" s="208">
        <v>890325218</v>
      </c>
      <c r="R16" s="208">
        <v>496489710</v>
      </c>
      <c r="S16" s="208">
        <v>1386814928</v>
      </c>
      <c r="T16" s="191">
        <f>GETPIVOTDATA("Inversión real 2018",$P$11,"Sector","Sector Real")/GETPIVOTDATA("Inversión real 2018",$P$11)</f>
        <v>0.19449734246708622</v>
      </c>
    </row>
    <row r="17" spans="1:20">
      <c r="A17" s="23">
        <v>6</v>
      </c>
      <c r="B17" s="23" t="s">
        <v>24</v>
      </c>
      <c r="C17" s="137" t="s">
        <v>311</v>
      </c>
      <c r="D17" s="24" t="s">
        <v>13</v>
      </c>
      <c r="E17" s="24" t="s">
        <v>21</v>
      </c>
      <c r="F17" s="24" t="s">
        <v>10</v>
      </c>
      <c r="G17" s="24" t="s">
        <v>27</v>
      </c>
      <c r="H17" s="24" t="s">
        <v>12</v>
      </c>
      <c r="I17" s="24">
        <v>9</v>
      </c>
      <c r="J17" s="24">
        <v>7</v>
      </c>
      <c r="K17" s="28">
        <v>90000000</v>
      </c>
      <c r="L17" s="28">
        <v>50075523</v>
      </c>
      <c r="M17" s="28">
        <v>59142617</v>
      </c>
      <c r="N17" s="28">
        <v>95314026</v>
      </c>
      <c r="P17" s="169" t="s">
        <v>21</v>
      </c>
      <c r="Q17" s="208">
        <v>2788605708</v>
      </c>
      <c r="R17" s="208">
        <v>1985635920</v>
      </c>
      <c r="S17" s="208">
        <v>4774241628</v>
      </c>
      <c r="T17" s="191">
        <f>GETPIVOTDATA("Inversión real 2018",$P$11,"Sector","Tecnología")/GETPIVOTDATA("Inversión real 2018",$P$11)</f>
        <v>0.66957550729633852</v>
      </c>
    </row>
    <row r="18" spans="1:20">
      <c r="A18" s="23">
        <v>7</v>
      </c>
      <c r="B18" s="23" t="s">
        <v>26</v>
      </c>
      <c r="C18" s="137" t="s">
        <v>312</v>
      </c>
      <c r="D18" s="24" t="s">
        <v>13</v>
      </c>
      <c r="E18" s="24" t="s">
        <v>21</v>
      </c>
      <c r="F18" s="24" t="s">
        <v>17</v>
      </c>
      <c r="G18" s="25" t="s">
        <v>23</v>
      </c>
      <c r="H18" s="24" t="s">
        <v>12</v>
      </c>
      <c r="I18" s="24">
        <v>5</v>
      </c>
      <c r="J18" s="24">
        <v>9</v>
      </c>
      <c r="K18" s="23" t="s">
        <v>141</v>
      </c>
      <c r="L18" s="23" t="s">
        <v>179</v>
      </c>
      <c r="M18" s="23" t="s">
        <v>179</v>
      </c>
      <c r="N18" s="28">
        <v>67714973</v>
      </c>
      <c r="P18" s="169" t="s">
        <v>410</v>
      </c>
      <c r="Q18" s="209">
        <v>4406513650</v>
      </c>
      <c r="R18" s="209">
        <v>2723737645</v>
      </c>
      <c r="S18" s="209">
        <v>7130251295</v>
      </c>
    </row>
    <row r="19" spans="1:20">
      <c r="A19" s="23">
        <v>8</v>
      </c>
      <c r="B19" s="23" t="s">
        <v>29</v>
      </c>
      <c r="C19" s="137" t="s">
        <v>313</v>
      </c>
      <c r="D19" s="24" t="s">
        <v>13</v>
      </c>
      <c r="E19" s="24" t="s">
        <v>21</v>
      </c>
      <c r="F19" s="24" t="s">
        <v>10</v>
      </c>
      <c r="G19" s="24" t="s">
        <v>11</v>
      </c>
      <c r="H19" s="24" t="s">
        <v>30</v>
      </c>
      <c r="I19" s="24">
        <v>8</v>
      </c>
      <c r="J19" s="24">
        <v>10</v>
      </c>
      <c r="K19" s="28">
        <v>1000000</v>
      </c>
      <c r="L19" s="28">
        <v>5305190</v>
      </c>
      <c r="M19" s="28">
        <v>53291805</v>
      </c>
      <c r="N19" s="28">
        <v>84809282</v>
      </c>
    </row>
    <row r="20" spans="1:20">
      <c r="A20" s="23">
        <v>9</v>
      </c>
      <c r="B20" s="23" t="s">
        <v>31</v>
      </c>
      <c r="C20" s="137" t="s">
        <v>314</v>
      </c>
      <c r="D20" s="23" t="s">
        <v>13</v>
      </c>
      <c r="E20" s="23" t="s">
        <v>15</v>
      </c>
      <c r="F20" s="23" t="s">
        <v>17</v>
      </c>
      <c r="G20" s="75" t="s">
        <v>23</v>
      </c>
      <c r="H20" s="23" t="s">
        <v>30</v>
      </c>
      <c r="I20" s="24">
        <v>8</v>
      </c>
      <c r="J20" s="24">
        <v>3</v>
      </c>
      <c r="K20" s="23" t="s">
        <v>141</v>
      </c>
      <c r="L20" s="23" t="s">
        <v>179</v>
      </c>
      <c r="M20" s="28">
        <v>50085574</v>
      </c>
      <c r="N20" s="28">
        <v>42495353</v>
      </c>
    </row>
    <row r="21" spans="1:20">
      <c r="A21" s="23">
        <v>10</v>
      </c>
      <c r="B21" s="23" t="s">
        <v>33</v>
      </c>
      <c r="C21" s="137" t="s">
        <v>315</v>
      </c>
      <c r="D21" s="24" t="s">
        <v>13</v>
      </c>
      <c r="E21" s="24" t="s">
        <v>25</v>
      </c>
      <c r="F21" s="24" t="s">
        <v>10</v>
      </c>
      <c r="G21" s="24" t="s">
        <v>27</v>
      </c>
      <c r="H21" s="24" t="s">
        <v>12</v>
      </c>
      <c r="I21" s="24">
        <v>5</v>
      </c>
      <c r="J21" s="24">
        <v>9</v>
      </c>
      <c r="K21" s="28">
        <v>10000000</v>
      </c>
      <c r="L21" s="28">
        <v>38941670</v>
      </c>
      <c r="M21" s="28">
        <v>67846781</v>
      </c>
      <c r="N21" s="28">
        <v>87726693</v>
      </c>
      <c r="P21" s="168" t="s">
        <v>277</v>
      </c>
      <c r="Q21" t="s">
        <v>494</v>
      </c>
    </row>
    <row r="22" spans="1:20">
      <c r="A22" s="23">
        <v>11</v>
      </c>
      <c r="B22" s="23" t="s">
        <v>34</v>
      </c>
      <c r="C22" s="137" t="s">
        <v>316</v>
      </c>
      <c r="D22" s="25" t="s">
        <v>130</v>
      </c>
      <c r="E22" s="24" t="s">
        <v>21</v>
      </c>
      <c r="F22" s="24" t="s">
        <v>10</v>
      </c>
      <c r="G22" s="24" t="s">
        <v>27</v>
      </c>
      <c r="H22" s="24" t="s">
        <v>12</v>
      </c>
      <c r="I22" s="24">
        <v>4</v>
      </c>
      <c r="J22" s="24">
        <v>5</v>
      </c>
      <c r="K22" s="28">
        <v>1000000</v>
      </c>
      <c r="L22" s="28">
        <v>28926771</v>
      </c>
      <c r="M22" s="28">
        <v>56939610</v>
      </c>
      <c r="N22" s="28">
        <v>92726884</v>
      </c>
    </row>
    <row r="23" spans="1:20">
      <c r="A23" s="23">
        <v>12</v>
      </c>
      <c r="B23" s="23" t="s">
        <v>35</v>
      </c>
      <c r="C23" s="137" t="s">
        <v>317</v>
      </c>
      <c r="D23" s="24" t="s">
        <v>13</v>
      </c>
      <c r="E23" s="24" t="s">
        <v>21</v>
      </c>
      <c r="F23" s="24" t="s">
        <v>10</v>
      </c>
      <c r="G23" s="24" t="s">
        <v>27</v>
      </c>
      <c r="H23" s="24" t="s">
        <v>12</v>
      </c>
      <c r="I23" s="24">
        <v>3</v>
      </c>
      <c r="J23" s="24">
        <v>8</v>
      </c>
      <c r="K23" s="28">
        <v>1000000</v>
      </c>
      <c r="L23" s="28">
        <v>34252074</v>
      </c>
      <c r="M23" s="23" t="s">
        <v>179</v>
      </c>
      <c r="N23" s="28">
        <v>22994819</v>
      </c>
      <c r="P23" s="168" t="s">
        <v>495</v>
      </c>
      <c r="Q23" s="168" t="s">
        <v>409</v>
      </c>
    </row>
    <row r="24" spans="1:20">
      <c r="A24" s="23">
        <v>13</v>
      </c>
      <c r="B24" s="23" t="s">
        <v>36</v>
      </c>
      <c r="C24" s="137" t="s">
        <v>318</v>
      </c>
      <c r="D24" s="24" t="s">
        <v>13</v>
      </c>
      <c r="E24" s="24" t="s">
        <v>9</v>
      </c>
      <c r="F24" s="24" t="s">
        <v>17</v>
      </c>
      <c r="G24" s="25" t="s">
        <v>18</v>
      </c>
      <c r="H24" s="24" t="s">
        <v>12</v>
      </c>
      <c r="I24" s="24">
        <v>7</v>
      </c>
      <c r="J24" s="24">
        <v>9</v>
      </c>
      <c r="K24" s="23" t="s">
        <v>141</v>
      </c>
      <c r="L24" s="23" t="s">
        <v>179</v>
      </c>
      <c r="M24" s="28">
        <v>45347826</v>
      </c>
      <c r="N24" s="28">
        <v>14301768</v>
      </c>
      <c r="P24" s="168" t="s">
        <v>411</v>
      </c>
      <c r="Q24" t="s">
        <v>12</v>
      </c>
      <c r="R24" t="s">
        <v>30</v>
      </c>
      <c r="S24" t="s">
        <v>410</v>
      </c>
    </row>
    <row r="25" spans="1:20">
      <c r="A25" s="23">
        <v>14</v>
      </c>
      <c r="B25" s="23" t="s">
        <v>37</v>
      </c>
      <c r="C25" s="137" t="s">
        <v>319</v>
      </c>
      <c r="D25" s="24" t="s">
        <v>13</v>
      </c>
      <c r="E25" s="24" t="s">
        <v>21</v>
      </c>
      <c r="F25" s="24" t="s">
        <v>17</v>
      </c>
      <c r="G25" s="25" t="s">
        <v>18</v>
      </c>
      <c r="H25" s="24" t="s">
        <v>30</v>
      </c>
      <c r="I25" s="24">
        <v>4</v>
      </c>
      <c r="J25" s="24">
        <v>8</v>
      </c>
      <c r="K25" s="23" t="s">
        <v>141</v>
      </c>
      <c r="L25" s="23" t="s">
        <v>179</v>
      </c>
      <c r="M25" s="28">
        <v>71453938</v>
      </c>
      <c r="N25" s="28">
        <v>38593802</v>
      </c>
      <c r="P25" s="169" t="s">
        <v>15</v>
      </c>
      <c r="Q25" s="208">
        <v>40000000</v>
      </c>
      <c r="R25" s="208">
        <v>60000000</v>
      </c>
      <c r="S25" s="208">
        <v>100000000</v>
      </c>
      <c r="T25" s="191">
        <f>GETPIVOTDATA("Expectativa inversión 2018",$P$23,"Sector","Agroindustrial")/GETPIVOTDATA("Expectativa inversión 2018",$P$23)</f>
        <v>3.0590394616090547E-2</v>
      </c>
    </row>
    <row r="26" spans="1:20">
      <c r="A26" s="23">
        <v>15</v>
      </c>
      <c r="B26" s="23" t="s">
        <v>38</v>
      </c>
      <c r="C26" s="137" t="s">
        <v>320</v>
      </c>
      <c r="D26" s="24" t="s">
        <v>13</v>
      </c>
      <c r="E26" s="24" t="s">
        <v>25</v>
      </c>
      <c r="F26" s="24" t="s">
        <v>10</v>
      </c>
      <c r="G26" s="24" t="s">
        <v>11</v>
      </c>
      <c r="H26" s="24" t="s">
        <v>12</v>
      </c>
      <c r="I26" s="24">
        <v>9</v>
      </c>
      <c r="J26" s="24">
        <v>10</v>
      </c>
      <c r="K26" s="28">
        <v>20000000</v>
      </c>
      <c r="L26" s="28">
        <v>32346156</v>
      </c>
      <c r="M26" s="28">
        <v>22346275</v>
      </c>
      <c r="N26" s="28">
        <v>73743047</v>
      </c>
      <c r="P26" s="169" t="s">
        <v>9</v>
      </c>
      <c r="Q26" s="208">
        <v>55000000</v>
      </c>
      <c r="R26" s="208">
        <v>520000000</v>
      </c>
      <c r="S26" s="208">
        <v>575000000</v>
      </c>
      <c r="T26" s="191">
        <f>GETPIVOTDATA("Expectativa inversión 2018",$P$23,"Sector","Construcción")/GETPIVOTDATA("Expectativa inversión 2018",$P$23)</f>
        <v>0.17589476904252066</v>
      </c>
    </row>
    <row r="27" spans="1:20">
      <c r="A27" s="23">
        <v>16</v>
      </c>
      <c r="B27" s="23" t="s">
        <v>39</v>
      </c>
      <c r="C27" s="137" t="s">
        <v>321</v>
      </c>
      <c r="D27" s="24" t="s">
        <v>13</v>
      </c>
      <c r="E27" s="24" t="s">
        <v>54</v>
      </c>
      <c r="F27" s="24" t="s">
        <v>55</v>
      </c>
      <c r="G27" s="24" t="s">
        <v>56</v>
      </c>
      <c r="H27" s="24" t="s">
        <v>12</v>
      </c>
      <c r="I27" s="24">
        <v>4</v>
      </c>
      <c r="J27" s="24">
        <v>6</v>
      </c>
      <c r="K27" s="23" t="s">
        <v>141</v>
      </c>
      <c r="L27" s="23" t="s">
        <v>179</v>
      </c>
      <c r="M27" s="28">
        <v>96357193</v>
      </c>
      <c r="N27" s="28">
        <v>67901582</v>
      </c>
      <c r="P27" s="169" t="s">
        <v>54</v>
      </c>
      <c r="Q27" s="208">
        <v>0</v>
      </c>
      <c r="R27" s="208"/>
      <c r="S27" s="208">
        <v>0</v>
      </c>
      <c r="T27" s="191">
        <f>GETPIVOTDATA("Expectativa inversión 2018",$P$23,"Sector","Educación")/GETPIVOTDATA("Expectativa inversión 2018",$P$23)</f>
        <v>0</v>
      </c>
    </row>
    <row r="28" spans="1:20">
      <c r="A28" s="23">
        <v>17</v>
      </c>
      <c r="B28" s="23" t="s">
        <v>40</v>
      </c>
      <c r="C28" s="137" t="s">
        <v>322</v>
      </c>
      <c r="D28" s="24" t="s">
        <v>13</v>
      </c>
      <c r="E28" s="24" t="s">
        <v>21</v>
      </c>
      <c r="F28" s="24" t="s">
        <v>10</v>
      </c>
      <c r="G28" s="24" t="s">
        <v>11</v>
      </c>
      <c r="H28" s="24" t="s">
        <v>12</v>
      </c>
      <c r="I28" s="24">
        <v>5</v>
      </c>
      <c r="J28" s="24">
        <v>7</v>
      </c>
      <c r="K28" s="28">
        <v>100000000</v>
      </c>
      <c r="L28" s="28">
        <v>72903049</v>
      </c>
      <c r="M28" s="28">
        <v>67375493</v>
      </c>
      <c r="N28" s="28">
        <v>4753995</v>
      </c>
      <c r="P28" s="169" t="s">
        <v>25</v>
      </c>
      <c r="Q28" s="208">
        <v>452000000</v>
      </c>
      <c r="R28" s="208">
        <v>175000000</v>
      </c>
      <c r="S28" s="208">
        <v>627000000</v>
      </c>
      <c r="T28" s="191">
        <f>GETPIVOTDATA("Expectativa inversión 2018",$P$23,"Sector","Sector Real")/GETPIVOTDATA("Expectativa inversión 2018",$P$23)</f>
        <v>0.19180177424288775</v>
      </c>
    </row>
    <row r="29" spans="1:20">
      <c r="A29" s="23">
        <v>18</v>
      </c>
      <c r="B29" s="23" t="s">
        <v>41</v>
      </c>
      <c r="C29" s="137" t="s">
        <v>323</v>
      </c>
      <c r="D29" s="24" t="s">
        <v>13</v>
      </c>
      <c r="E29" s="24" t="s">
        <v>54</v>
      </c>
      <c r="F29" s="24" t="s">
        <v>55</v>
      </c>
      <c r="G29" s="24" t="s">
        <v>56</v>
      </c>
      <c r="H29" s="24" t="s">
        <v>12</v>
      </c>
      <c r="I29" s="24">
        <v>6</v>
      </c>
      <c r="J29" s="24">
        <v>7</v>
      </c>
      <c r="K29" s="23" t="s">
        <v>141</v>
      </c>
      <c r="L29" s="23" t="s">
        <v>179</v>
      </c>
      <c r="M29" s="28">
        <v>80671052</v>
      </c>
      <c r="N29" s="28">
        <v>58339670</v>
      </c>
      <c r="P29" s="169" t="s">
        <v>21</v>
      </c>
      <c r="Q29" s="208">
        <v>1764000000</v>
      </c>
      <c r="R29" s="208">
        <v>203000000</v>
      </c>
      <c r="S29" s="208">
        <v>1967000000</v>
      </c>
      <c r="T29" s="191">
        <f>GETPIVOTDATA("Expectativa inversión 2018",$P$23,"Sector","Tecnología")/GETPIVOTDATA("Expectativa inversión 2018",$P$23)</f>
        <v>0.60171306209850106</v>
      </c>
    </row>
    <row r="30" spans="1:20">
      <c r="A30" s="23">
        <v>19</v>
      </c>
      <c r="B30" s="23" t="s">
        <v>42</v>
      </c>
      <c r="C30" s="137" t="s">
        <v>324</v>
      </c>
      <c r="D30" s="24" t="s">
        <v>32</v>
      </c>
      <c r="E30" s="24" t="s">
        <v>25</v>
      </c>
      <c r="F30" s="24" t="s">
        <v>17</v>
      </c>
      <c r="G30" s="25" t="s">
        <v>18</v>
      </c>
      <c r="H30" s="24" t="s">
        <v>30</v>
      </c>
      <c r="I30" s="24">
        <v>9</v>
      </c>
      <c r="J30" s="24">
        <v>8</v>
      </c>
      <c r="K30" s="23" t="s">
        <v>141</v>
      </c>
      <c r="L30" s="23" t="s">
        <v>179</v>
      </c>
      <c r="M30" s="23" t="s">
        <v>179</v>
      </c>
      <c r="N30" s="28">
        <v>44898366</v>
      </c>
      <c r="P30" s="169" t="s">
        <v>410</v>
      </c>
      <c r="Q30" s="209">
        <v>2311000000</v>
      </c>
      <c r="R30" s="209">
        <v>958000000</v>
      </c>
      <c r="S30" s="209">
        <v>3269000000</v>
      </c>
    </row>
    <row r="31" spans="1:20">
      <c r="A31" s="23">
        <v>20</v>
      </c>
      <c r="B31" s="23" t="s">
        <v>43</v>
      </c>
      <c r="C31" s="137" t="s">
        <v>325</v>
      </c>
      <c r="D31" s="24" t="s">
        <v>13</v>
      </c>
      <c r="E31" s="24" t="s">
        <v>21</v>
      </c>
      <c r="F31" s="24" t="s">
        <v>10</v>
      </c>
      <c r="G31" s="24" t="s">
        <v>27</v>
      </c>
      <c r="H31" s="24" t="s">
        <v>12</v>
      </c>
      <c r="I31" s="24">
        <v>5</v>
      </c>
      <c r="J31" s="24">
        <v>6</v>
      </c>
      <c r="K31" s="28">
        <v>1000000</v>
      </c>
      <c r="L31" s="28">
        <v>96696256</v>
      </c>
      <c r="M31" s="28">
        <v>62106884</v>
      </c>
      <c r="N31" s="28">
        <v>85228190</v>
      </c>
    </row>
    <row r="32" spans="1:20">
      <c r="A32" s="23">
        <v>21</v>
      </c>
      <c r="B32" s="23" t="s">
        <v>44</v>
      </c>
      <c r="C32" s="137" t="s">
        <v>326</v>
      </c>
      <c r="D32" s="24" t="s">
        <v>13</v>
      </c>
      <c r="E32" s="24" t="s">
        <v>21</v>
      </c>
      <c r="F32" s="24" t="s">
        <v>10</v>
      </c>
      <c r="G32" s="24" t="s">
        <v>27</v>
      </c>
      <c r="H32" s="24" t="s">
        <v>12</v>
      </c>
      <c r="I32" s="24">
        <v>6</v>
      </c>
      <c r="J32" s="24">
        <v>7</v>
      </c>
      <c r="K32" s="28">
        <v>10000000</v>
      </c>
      <c r="L32" s="28">
        <v>51531809</v>
      </c>
      <c r="M32" s="28">
        <v>99819688</v>
      </c>
      <c r="N32" s="28">
        <v>24233431</v>
      </c>
    </row>
    <row r="33" spans="1:14">
      <c r="A33" s="23">
        <v>22</v>
      </c>
      <c r="B33" s="23" t="s">
        <v>45</v>
      </c>
      <c r="C33" s="137" t="s">
        <v>327</v>
      </c>
      <c r="D33" s="24" t="s">
        <v>13</v>
      </c>
      <c r="E33" s="24" t="s">
        <v>15</v>
      </c>
      <c r="F33" s="24" t="s">
        <v>10</v>
      </c>
      <c r="G33" s="25" t="s">
        <v>11</v>
      </c>
      <c r="H33" s="24" t="s">
        <v>30</v>
      </c>
      <c r="I33" s="24">
        <v>6</v>
      </c>
      <c r="J33" s="24">
        <v>10</v>
      </c>
      <c r="K33" s="23" t="s">
        <v>141</v>
      </c>
      <c r="L33" s="23" t="s">
        <v>179</v>
      </c>
      <c r="M33" s="28">
        <v>34214902</v>
      </c>
      <c r="N33" s="28">
        <v>24896611</v>
      </c>
    </row>
    <row r="34" spans="1:14">
      <c r="A34" s="23">
        <v>23</v>
      </c>
      <c r="B34" s="23" t="s">
        <v>46</v>
      </c>
      <c r="C34" s="137" t="s">
        <v>328</v>
      </c>
      <c r="D34" s="25" t="s">
        <v>102</v>
      </c>
      <c r="E34" s="24" t="s">
        <v>25</v>
      </c>
      <c r="F34" s="24" t="s">
        <v>17</v>
      </c>
      <c r="G34" s="25" t="s">
        <v>23</v>
      </c>
      <c r="H34" s="24" t="s">
        <v>12</v>
      </c>
      <c r="I34" s="24">
        <v>8</v>
      </c>
      <c r="J34" s="24">
        <v>5</v>
      </c>
      <c r="K34" s="23" t="s">
        <v>141</v>
      </c>
      <c r="L34" s="23" t="s">
        <v>179</v>
      </c>
      <c r="M34" s="28">
        <v>7121108</v>
      </c>
      <c r="N34" s="28">
        <v>6991703</v>
      </c>
    </row>
    <row r="35" spans="1:14">
      <c r="A35" s="23">
        <v>24</v>
      </c>
      <c r="B35" s="23" t="s">
        <v>47</v>
      </c>
      <c r="C35" s="137" t="s">
        <v>329</v>
      </c>
      <c r="D35" s="24" t="s">
        <v>13</v>
      </c>
      <c r="E35" s="24" t="s">
        <v>15</v>
      </c>
      <c r="F35" s="24" t="s">
        <v>10</v>
      </c>
      <c r="G35" s="24" t="s">
        <v>11</v>
      </c>
      <c r="H35" s="24" t="s">
        <v>12</v>
      </c>
      <c r="I35" s="24">
        <v>7</v>
      </c>
      <c r="J35" s="24">
        <v>10</v>
      </c>
      <c r="K35" s="28">
        <v>20000000</v>
      </c>
      <c r="L35" s="28">
        <v>93037614</v>
      </c>
      <c r="M35" s="28">
        <v>48185946</v>
      </c>
      <c r="N35" s="28">
        <v>75039300</v>
      </c>
    </row>
    <row r="36" spans="1:14">
      <c r="A36" s="23">
        <v>25</v>
      </c>
      <c r="B36" s="23" t="s">
        <v>48</v>
      </c>
      <c r="C36" s="137" t="s">
        <v>330</v>
      </c>
      <c r="D36" s="24" t="s">
        <v>13</v>
      </c>
      <c r="E36" s="24" t="s">
        <v>21</v>
      </c>
      <c r="F36" s="24" t="s">
        <v>10</v>
      </c>
      <c r="G36" s="24" t="s">
        <v>11</v>
      </c>
      <c r="H36" s="24" t="s">
        <v>12</v>
      </c>
      <c r="I36" s="24">
        <v>9</v>
      </c>
      <c r="J36" s="24">
        <v>10</v>
      </c>
      <c r="K36" s="28">
        <v>90000000</v>
      </c>
      <c r="L36" s="28">
        <v>62088180</v>
      </c>
      <c r="M36" s="28">
        <v>18047519</v>
      </c>
      <c r="N36" s="28">
        <v>3738158</v>
      </c>
    </row>
    <row r="37" spans="1:14">
      <c r="A37" s="23">
        <v>26</v>
      </c>
      <c r="B37" s="23" t="s">
        <v>49</v>
      </c>
      <c r="C37" s="137" t="s">
        <v>331</v>
      </c>
      <c r="D37" s="24" t="s">
        <v>13</v>
      </c>
      <c r="E37" s="24" t="s">
        <v>25</v>
      </c>
      <c r="F37" s="24" t="s">
        <v>10</v>
      </c>
      <c r="G37" s="24" t="s">
        <v>11</v>
      </c>
      <c r="H37" s="24" t="s">
        <v>12</v>
      </c>
      <c r="I37" s="24">
        <v>3</v>
      </c>
      <c r="J37" s="24">
        <v>9</v>
      </c>
      <c r="K37" s="28">
        <v>1000000</v>
      </c>
      <c r="L37" s="28">
        <v>1160848</v>
      </c>
      <c r="M37" s="28">
        <v>32268145</v>
      </c>
      <c r="N37" s="28">
        <v>13339687</v>
      </c>
    </row>
    <row r="38" spans="1:14">
      <c r="A38" s="23">
        <v>27</v>
      </c>
      <c r="B38" s="23" t="s">
        <v>50</v>
      </c>
      <c r="C38" s="137" t="s">
        <v>332</v>
      </c>
      <c r="D38" s="24" t="s">
        <v>13</v>
      </c>
      <c r="E38" s="24" t="s">
        <v>21</v>
      </c>
      <c r="F38" s="24" t="s">
        <v>17</v>
      </c>
      <c r="G38" s="25" t="s">
        <v>23</v>
      </c>
      <c r="H38" s="24" t="s">
        <v>12</v>
      </c>
      <c r="I38" s="24">
        <v>6</v>
      </c>
      <c r="J38" s="24">
        <v>2</v>
      </c>
      <c r="K38" s="23" t="s">
        <v>141</v>
      </c>
      <c r="L38" s="23" t="s">
        <v>179</v>
      </c>
      <c r="M38" s="28">
        <v>21224611</v>
      </c>
      <c r="N38" s="28">
        <v>62562457</v>
      </c>
    </row>
    <row r="39" spans="1:14">
      <c r="A39" s="23">
        <v>28</v>
      </c>
      <c r="B39" s="23" t="s">
        <v>51</v>
      </c>
      <c r="C39" s="137" t="s">
        <v>333</v>
      </c>
      <c r="D39" s="24" t="s">
        <v>13</v>
      </c>
      <c r="E39" s="24" t="s">
        <v>25</v>
      </c>
      <c r="F39" s="24" t="s">
        <v>17</v>
      </c>
      <c r="G39" s="25" t="s">
        <v>23</v>
      </c>
      <c r="H39" s="24" t="s">
        <v>12</v>
      </c>
      <c r="I39" s="24">
        <v>9</v>
      </c>
      <c r="J39" s="24">
        <v>9</v>
      </c>
      <c r="K39" s="23" t="s">
        <v>141</v>
      </c>
      <c r="L39" s="23" t="s">
        <v>179</v>
      </c>
      <c r="M39" s="28">
        <v>85434615</v>
      </c>
      <c r="N39" s="28">
        <v>79508333</v>
      </c>
    </row>
    <row r="40" spans="1:14">
      <c r="A40" s="23">
        <v>29</v>
      </c>
      <c r="B40" s="23" t="s">
        <v>52</v>
      </c>
      <c r="C40" s="137" t="s">
        <v>334</v>
      </c>
      <c r="D40" s="24" t="s">
        <v>13</v>
      </c>
      <c r="E40" s="24" t="s">
        <v>21</v>
      </c>
      <c r="F40" s="24" t="s">
        <v>10</v>
      </c>
      <c r="G40" s="24" t="s">
        <v>27</v>
      </c>
      <c r="H40" s="24" t="s">
        <v>12</v>
      </c>
      <c r="I40" s="24">
        <v>8</v>
      </c>
      <c r="J40" s="24">
        <v>7</v>
      </c>
      <c r="K40" s="28">
        <v>90000000</v>
      </c>
      <c r="L40" s="28">
        <v>23888885</v>
      </c>
      <c r="M40" s="28">
        <v>68725539</v>
      </c>
      <c r="N40" s="28">
        <v>78613526</v>
      </c>
    </row>
    <row r="41" spans="1:14">
      <c r="A41" s="23">
        <v>30</v>
      </c>
      <c r="B41" s="23" t="s">
        <v>53</v>
      </c>
      <c r="C41" s="137" t="s">
        <v>335</v>
      </c>
      <c r="D41" s="23" t="s">
        <v>13</v>
      </c>
      <c r="E41" s="23" t="s">
        <v>25</v>
      </c>
      <c r="F41" s="23" t="s">
        <v>10</v>
      </c>
      <c r="G41" s="23" t="s">
        <v>11</v>
      </c>
      <c r="H41" s="23" t="s">
        <v>30</v>
      </c>
      <c r="I41" s="24">
        <v>8</v>
      </c>
      <c r="J41" s="23">
        <v>8</v>
      </c>
      <c r="K41" s="28">
        <v>10000000</v>
      </c>
      <c r="L41" s="28">
        <v>23464528</v>
      </c>
      <c r="M41" s="28">
        <v>904543</v>
      </c>
      <c r="N41" s="23" t="s">
        <v>179</v>
      </c>
    </row>
    <row r="42" spans="1:14">
      <c r="A42" s="23">
        <v>31</v>
      </c>
      <c r="B42" s="23" t="s">
        <v>57</v>
      </c>
      <c r="C42" s="137" t="s">
        <v>336</v>
      </c>
      <c r="D42" s="24" t="s">
        <v>13</v>
      </c>
      <c r="E42" s="24" t="s">
        <v>15</v>
      </c>
      <c r="F42" s="24" t="s">
        <v>17</v>
      </c>
      <c r="G42" s="25" t="s">
        <v>23</v>
      </c>
      <c r="H42" s="24" t="s">
        <v>12</v>
      </c>
      <c r="I42" s="24">
        <v>6</v>
      </c>
      <c r="J42" s="24">
        <v>8</v>
      </c>
      <c r="K42" s="23" t="s">
        <v>141</v>
      </c>
      <c r="L42" s="23" t="s">
        <v>179</v>
      </c>
      <c r="M42" s="28">
        <v>66204884</v>
      </c>
      <c r="N42" s="28">
        <v>27801447</v>
      </c>
    </row>
    <row r="43" spans="1:14">
      <c r="A43" s="23">
        <v>32</v>
      </c>
      <c r="B43" s="23" t="s">
        <v>58</v>
      </c>
      <c r="C43" s="137" t="s">
        <v>337</v>
      </c>
      <c r="D43" s="24" t="s">
        <v>32</v>
      </c>
      <c r="E43" s="24" t="s">
        <v>25</v>
      </c>
      <c r="F43" s="24" t="s">
        <v>17</v>
      </c>
      <c r="G43" s="25" t="s">
        <v>18</v>
      </c>
      <c r="H43" s="24" t="s">
        <v>30</v>
      </c>
      <c r="I43" s="24">
        <v>3</v>
      </c>
      <c r="J43" s="24">
        <v>5</v>
      </c>
      <c r="K43" s="23" t="s">
        <v>141</v>
      </c>
      <c r="L43" s="23" t="s">
        <v>179</v>
      </c>
      <c r="M43" s="28">
        <v>30987169</v>
      </c>
      <c r="N43" s="28">
        <v>7339680</v>
      </c>
    </row>
    <row r="44" spans="1:14">
      <c r="A44" s="23">
        <v>33</v>
      </c>
      <c r="B44" s="23" t="s">
        <v>59</v>
      </c>
      <c r="C44" s="137" t="s">
        <v>338</v>
      </c>
      <c r="D44" s="24" t="s">
        <v>13</v>
      </c>
      <c r="E44" s="24" t="s">
        <v>21</v>
      </c>
      <c r="F44" s="24" t="s">
        <v>10</v>
      </c>
      <c r="G44" s="24" t="s">
        <v>11</v>
      </c>
      <c r="H44" s="24" t="s">
        <v>12</v>
      </c>
      <c r="I44" s="24">
        <v>6</v>
      </c>
      <c r="J44" s="24">
        <v>7</v>
      </c>
      <c r="K44" s="28">
        <v>10000000</v>
      </c>
      <c r="L44" s="28">
        <v>22390348</v>
      </c>
      <c r="M44" s="28">
        <v>24476166</v>
      </c>
      <c r="N44" s="23" t="s">
        <v>179</v>
      </c>
    </row>
    <row r="45" spans="1:14">
      <c r="A45" s="23">
        <v>34</v>
      </c>
      <c r="B45" s="23" t="s">
        <v>60</v>
      </c>
      <c r="C45" s="137" t="s">
        <v>339</v>
      </c>
      <c r="D45" s="24" t="s">
        <v>13</v>
      </c>
      <c r="E45" s="24" t="s">
        <v>25</v>
      </c>
      <c r="F45" s="24" t="s">
        <v>10</v>
      </c>
      <c r="G45" s="24" t="s">
        <v>27</v>
      </c>
      <c r="H45" s="24" t="s">
        <v>12</v>
      </c>
      <c r="I45" s="24">
        <v>6</v>
      </c>
      <c r="J45" s="24">
        <v>10</v>
      </c>
      <c r="K45" s="28">
        <v>20000000</v>
      </c>
      <c r="L45" s="28">
        <v>31670482</v>
      </c>
      <c r="M45" s="28">
        <v>15619630</v>
      </c>
      <c r="N45" s="28">
        <v>59838390</v>
      </c>
    </row>
    <row r="46" spans="1:14">
      <c r="A46" s="23">
        <v>35</v>
      </c>
      <c r="B46" s="23" t="s">
        <v>61</v>
      </c>
      <c r="C46" s="137" t="s">
        <v>340</v>
      </c>
      <c r="D46" s="24" t="s">
        <v>13</v>
      </c>
      <c r="E46" s="24" t="s">
        <v>9</v>
      </c>
      <c r="F46" s="24" t="s">
        <v>10</v>
      </c>
      <c r="G46" s="24" t="s">
        <v>27</v>
      </c>
      <c r="H46" s="24" t="s">
        <v>12</v>
      </c>
      <c r="I46" s="24">
        <v>8</v>
      </c>
      <c r="J46" s="24">
        <v>5</v>
      </c>
      <c r="K46" s="28">
        <v>20000000</v>
      </c>
      <c r="L46" s="28">
        <v>81056910</v>
      </c>
      <c r="M46" s="28">
        <v>96438403</v>
      </c>
      <c r="N46" s="28">
        <v>90723423</v>
      </c>
    </row>
    <row r="47" spans="1:14">
      <c r="A47" s="23">
        <v>36</v>
      </c>
      <c r="B47" s="23" t="s">
        <v>62</v>
      </c>
      <c r="C47" s="137" t="s">
        <v>341</v>
      </c>
      <c r="D47" s="24" t="s">
        <v>13</v>
      </c>
      <c r="E47" s="24" t="s">
        <v>21</v>
      </c>
      <c r="F47" s="24" t="s">
        <v>55</v>
      </c>
      <c r="G47" s="24" t="s">
        <v>80</v>
      </c>
      <c r="H47" s="24" t="s">
        <v>12</v>
      </c>
      <c r="I47" s="24">
        <v>5</v>
      </c>
      <c r="J47" s="24">
        <v>7</v>
      </c>
      <c r="K47" s="23" t="s">
        <v>141</v>
      </c>
      <c r="L47" s="23" t="s">
        <v>179</v>
      </c>
      <c r="M47" s="23" t="s">
        <v>179</v>
      </c>
      <c r="N47" s="28">
        <v>52936315</v>
      </c>
    </row>
    <row r="48" spans="1:14">
      <c r="A48" s="23">
        <v>37</v>
      </c>
      <c r="B48" s="23" t="s">
        <v>63</v>
      </c>
      <c r="C48" s="137" t="s">
        <v>342</v>
      </c>
      <c r="D48" s="24" t="s">
        <v>13</v>
      </c>
      <c r="E48" s="24" t="s">
        <v>21</v>
      </c>
      <c r="F48" s="24" t="s">
        <v>10</v>
      </c>
      <c r="G48" s="24" t="s">
        <v>11</v>
      </c>
      <c r="H48" s="24" t="s">
        <v>12</v>
      </c>
      <c r="I48" s="24">
        <v>9</v>
      </c>
      <c r="J48" s="24">
        <v>7</v>
      </c>
      <c r="K48" s="28">
        <v>30000000</v>
      </c>
      <c r="L48" s="28">
        <v>91413171</v>
      </c>
      <c r="M48" s="28">
        <v>13211402</v>
      </c>
      <c r="N48" s="23" t="s">
        <v>179</v>
      </c>
    </row>
    <row r="49" spans="1:14">
      <c r="A49" s="23">
        <v>38</v>
      </c>
      <c r="B49" s="23" t="s">
        <v>64</v>
      </c>
      <c r="C49" s="137" t="s">
        <v>343</v>
      </c>
      <c r="D49" s="24" t="s">
        <v>13</v>
      </c>
      <c r="E49" s="24" t="s">
        <v>9</v>
      </c>
      <c r="F49" s="24" t="s">
        <v>10</v>
      </c>
      <c r="G49" s="24" t="s">
        <v>27</v>
      </c>
      <c r="H49" s="24" t="s">
        <v>12</v>
      </c>
      <c r="I49" s="24">
        <v>4</v>
      </c>
      <c r="J49" s="24">
        <v>7</v>
      </c>
      <c r="K49" s="28">
        <v>1000000</v>
      </c>
      <c r="L49" s="28">
        <v>87347043</v>
      </c>
      <c r="M49" s="28">
        <v>50796112</v>
      </c>
      <c r="N49" s="28">
        <v>72757830</v>
      </c>
    </row>
    <row r="50" spans="1:14">
      <c r="A50" s="23">
        <v>39</v>
      </c>
      <c r="B50" s="23" t="s">
        <v>65</v>
      </c>
      <c r="C50" s="137" t="s">
        <v>344</v>
      </c>
      <c r="D50" s="24" t="s">
        <v>13</v>
      </c>
      <c r="E50" s="24" t="s">
        <v>25</v>
      </c>
      <c r="F50" s="24" t="s">
        <v>17</v>
      </c>
      <c r="G50" s="25" t="s">
        <v>18</v>
      </c>
      <c r="H50" s="24" t="s">
        <v>12</v>
      </c>
      <c r="I50" s="24">
        <v>4</v>
      </c>
      <c r="J50" s="24">
        <v>9</v>
      </c>
      <c r="K50" s="23" t="s">
        <v>141</v>
      </c>
      <c r="L50" s="23" t="s">
        <v>179</v>
      </c>
      <c r="M50" s="28">
        <v>38721754</v>
      </c>
      <c r="N50" s="28">
        <v>77230635</v>
      </c>
    </row>
    <row r="51" spans="1:14">
      <c r="A51" s="23">
        <v>40</v>
      </c>
      <c r="B51" s="23" t="s">
        <v>66</v>
      </c>
      <c r="C51" s="137" t="s">
        <v>345</v>
      </c>
      <c r="D51" s="24" t="s">
        <v>13</v>
      </c>
      <c r="E51" s="24" t="s">
        <v>21</v>
      </c>
      <c r="F51" s="24" t="s">
        <v>10</v>
      </c>
      <c r="G51" s="24" t="s">
        <v>27</v>
      </c>
      <c r="H51" s="24" t="s">
        <v>12</v>
      </c>
      <c r="I51" s="24">
        <v>9</v>
      </c>
      <c r="J51" s="24">
        <v>5</v>
      </c>
      <c r="K51" s="28">
        <v>10000000</v>
      </c>
      <c r="L51" s="28">
        <v>43538967</v>
      </c>
      <c r="M51" s="28">
        <v>5161300</v>
      </c>
      <c r="N51" s="28">
        <v>85417673</v>
      </c>
    </row>
    <row r="52" spans="1:14">
      <c r="A52" s="23">
        <v>41</v>
      </c>
      <c r="B52" s="23" t="s">
        <v>67</v>
      </c>
      <c r="C52" s="137" t="s">
        <v>346</v>
      </c>
      <c r="D52" s="24" t="s">
        <v>13</v>
      </c>
      <c r="E52" s="24" t="s">
        <v>21</v>
      </c>
      <c r="F52" s="24" t="s">
        <v>10</v>
      </c>
      <c r="G52" s="24" t="s">
        <v>27</v>
      </c>
      <c r="H52" s="24" t="s">
        <v>30</v>
      </c>
      <c r="I52" s="24">
        <v>6</v>
      </c>
      <c r="J52" s="24">
        <v>10</v>
      </c>
      <c r="K52" s="28">
        <v>1000000</v>
      </c>
      <c r="L52" s="28">
        <v>95899452</v>
      </c>
      <c r="M52" s="28">
        <v>2565664</v>
      </c>
      <c r="N52" s="28">
        <v>39602953</v>
      </c>
    </row>
    <row r="53" spans="1:14">
      <c r="A53" s="23">
        <v>42</v>
      </c>
      <c r="B53" s="23" t="s">
        <v>68</v>
      </c>
      <c r="C53" s="137" t="s">
        <v>347</v>
      </c>
      <c r="D53" s="24" t="s">
        <v>13</v>
      </c>
      <c r="E53" s="24" t="s">
        <v>21</v>
      </c>
      <c r="F53" s="24" t="s">
        <v>10</v>
      </c>
      <c r="G53" s="24" t="s">
        <v>27</v>
      </c>
      <c r="H53" s="24" t="s">
        <v>30</v>
      </c>
      <c r="I53" s="24">
        <v>8</v>
      </c>
      <c r="J53" s="24">
        <v>8</v>
      </c>
      <c r="K53" s="28">
        <v>1000000</v>
      </c>
      <c r="L53" s="28">
        <v>81347428</v>
      </c>
      <c r="M53" s="28">
        <v>10860215</v>
      </c>
      <c r="N53" s="28">
        <v>28637290</v>
      </c>
    </row>
    <row r="54" spans="1:14">
      <c r="A54" s="23">
        <v>43</v>
      </c>
      <c r="B54" s="23" t="s">
        <v>69</v>
      </c>
      <c r="C54" s="137" t="s">
        <v>348</v>
      </c>
      <c r="D54" s="24" t="s">
        <v>13</v>
      </c>
      <c r="E54" s="24" t="s">
        <v>25</v>
      </c>
      <c r="F54" s="24" t="s">
        <v>10</v>
      </c>
      <c r="G54" s="24" t="s">
        <v>27</v>
      </c>
      <c r="H54" s="24" t="s">
        <v>30</v>
      </c>
      <c r="I54" s="24">
        <v>6</v>
      </c>
      <c r="J54" s="24">
        <v>10</v>
      </c>
      <c r="K54" s="28">
        <v>30000000</v>
      </c>
      <c r="L54" s="28">
        <v>52442860</v>
      </c>
      <c r="M54" s="28">
        <v>2659881</v>
      </c>
      <c r="N54" s="28">
        <v>80287314</v>
      </c>
    </row>
    <row r="55" spans="1:14">
      <c r="A55" s="23">
        <v>44</v>
      </c>
      <c r="B55" s="23" t="s">
        <v>70</v>
      </c>
      <c r="C55" s="137" t="s">
        <v>349</v>
      </c>
      <c r="D55" s="24" t="s">
        <v>13</v>
      </c>
      <c r="E55" s="24" t="s">
        <v>21</v>
      </c>
      <c r="F55" s="24" t="s">
        <v>10</v>
      </c>
      <c r="G55" s="24" t="s">
        <v>27</v>
      </c>
      <c r="H55" s="24" t="s">
        <v>30</v>
      </c>
      <c r="I55" s="24">
        <v>7</v>
      </c>
      <c r="J55" s="24">
        <v>5</v>
      </c>
      <c r="K55" s="28">
        <v>10000000</v>
      </c>
      <c r="L55" s="28">
        <v>96199053</v>
      </c>
      <c r="M55" s="28">
        <v>31746355</v>
      </c>
      <c r="N55" s="28">
        <v>80063468</v>
      </c>
    </row>
    <row r="56" spans="1:14">
      <c r="A56" s="23">
        <v>45</v>
      </c>
      <c r="B56" s="23" t="s">
        <v>71</v>
      </c>
      <c r="C56" s="137" t="s">
        <v>350</v>
      </c>
      <c r="D56" s="24" t="s">
        <v>13</v>
      </c>
      <c r="E56" s="24" t="s">
        <v>21</v>
      </c>
      <c r="F56" s="24" t="s">
        <v>10</v>
      </c>
      <c r="G56" s="24" t="s">
        <v>27</v>
      </c>
      <c r="H56" s="24" t="s">
        <v>12</v>
      </c>
      <c r="I56" s="24">
        <v>5</v>
      </c>
      <c r="J56" s="24">
        <v>7</v>
      </c>
      <c r="K56" s="28">
        <v>1000000</v>
      </c>
      <c r="L56" s="28">
        <v>71783742</v>
      </c>
      <c r="M56" s="28">
        <v>64667814</v>
      </c>
      <c r="N56" s="28">
        <v>70653180</v>
      </c>
    </row>
    <row r="57" spans="1:14">
      <c r="A57" s="23">
        <v>46</v>
      </c>
      <c r="B57" s="23" t="s">
        <v>73</v>
      </c>
      <c r="C57" s="137" t="s">
        <v>351</v>
      </c>
      <c r="D57" s="24" t="s">
        <v>13</v>
      </c>
      <c r="E57" s="24" t="s">
        <v>25</v>
      </c>
      <c r="F57" s="24" t="s">
        <v>10</v>
      </c>
      <c r="G57" s="24" t="s">
        <v>27</v>
      </c>
      <c r="H57" s="24" t="s">
        <v>12</v>
      </c>
      <c r="I57" s="24">
        <v>3</v>
      </c>
      <c r="J57" s="24">
        <v>8</v>
      </c>
      <c r="K57" s="28">
        <v>90000000</v>
      </c>
      <c r="L57" s="28">
        <v>94913746</v>
      </c>
      <c r="M57" s="28">
        <v>74083223</v>
      </c>
      <c r="N57" s="28">
        <v>31617670</v>
      </c>
    </row>
    <row r="58" spans="1:14">
      <c r="A58" s="23">
        <v>47</v>
      </c>
      <c r="B58" s="23" t="s">
        <v>74</v>
      </c>
      <c r="C58" s="137" t="s">
        <v>352</v>
      </c>
      <c r="D58" s="24" t="s">
        <v>13</v>
      </c>
      <c r="E58" s="24" t="s">
        <v>25</v>
      </c>
      <c r="F58" s="24" t="s">
        <v>17</v>
      </c>
      <c r="G58" s="25" t="s">
        <v>23</v>
      </c>
      <c r="H58" s="24" t="s">
        <v>12</v>
      </c>
      <c r="I58" s="24">
        <v>7</v>
      </c>
      <c r="J58" s="24">
        <v>9</v>
      </c>
      <c r="K58" s="23" t="s">
        <v>141</v>
      </c>
      <c r="L58" s="23" t="s">
        <v>179</v>
      </c>
      <c r="M58" s="28">
        <v>67753952</v>
      </c>
      <c r="N58" s="28">
        <v>77205812</v>
      </c>
    </row>
    <row r="59" spans="1:14">
      <c r="A59" s="23">
        <v>48</v>
      </c>
      <c r="B59" s="23" t="s">
        <v>75</v>
      </c>
      <c r="C59" s="137" t="s">
        <v>353</v>
      </c>
      <c r="D59" s="24" t="s">
        <v>32</v>
      </c>
      <c r="E59" s="24" t="s">
        <v>21</v>
      </c>
      <c r="F59" s="24" t="s">
        <v>10</v>
      </c>
      <c r="G59" s="24" t="s">
        <v>27</v>
      </c>
      <c r="H59" s="24" t="s">
        <v>30</v>
      </c>
      <c r="I59" s="24">
        <v>5</v>
      </c>
      <c r="J59" s="24">
        <v>6</v>
      </c>
      <c r="K59" s="28">
        <v>30000000</v>
      </c>
      <c r="L59" s="28">
        <v>33477783</v>
      </c>
      <c r="M59" s="23" t="s">
        <v>179</v>
      </c>
      <c r="N59" s="28">
        <v>27651635</v>
      </c>
    </row>
    <row r="60" spans="1:14">
      <c r="A60" s="23">
        <v>49</v>
      </c>
      <c r="B60" s="23" t="s">
        <v>76</v>
      </c>
      <c r="C60" s="137" t="s">
        <v>354</v>
      </c>
      <c r="D60" s="24" t="s">
        <v>13</v>
      </c>
      <c r="E60" s="24" t="s">
        <v>9</v>
      </c>
      <c r="F60" s="24" t="s">
        <v>10</v>
      </c>
      <c r="G60" s="24" t="s">
        <v>11</v>
      </c>
      <c r="H60" s="24" t="s">
        <v>30</v>
      </c>
      <c r="I60" s="24">
        <v>9</v>
      </c>
      <c r="J60" s="24">
        <v>9</v>
      </c>
      <c r="K60" s="28">
        <v>50000000</v>
      </c>
      <c r="L60" s="28">
        <v>2702447</v>
      </c>
      <c r="M60" s="23" t="s">
        <v>179</v>
      </c>
      <c r="N60" s="28">
        <v>44671760</v>
      </c>
    </row>
    <row r="61" spans="1:14">
      <c r="A61" s="23">
        <v>50</v>
      </c>
      <c r="B61" s="23" t="s">
        <v>78</v>
      </c>
      <c r="C61" s="137" t="s">
        <v>355</v>
      </c>
      <c r="D61" s="25" t="s">
        <v>96</v>
      </c>
      <c r="E61" s="24" t="s">
        <v>21</v>
      </c>
      <c r="F61" s="24" t="s">
        <v>10</v>
      </c>
      <c r="G61" s="24" t="s">
        <v>11</v>
      </c>
      <c r="H61" s="24" t="s">
        <v>12</v>
      </c>
      <c r="I61" s="24">
        <v>6</v>
      </c>
      <c r="J61" s="24">
        <v>8</v>
      </c>
      <c r="K61" s="28">
        <v>50000000</v>
      </c>
      <c r="L61" s="28">
        <v>70787848</v>
      </c>
      <c r="M61" s="28">
        <v>33368202</v>
      </c>
      <c r="N61" s="28">
        <v>43277527</v>
      </c>
    </row>
    <row r="62" spans="1:14">
      <c r="A62" s="23">
        <v>51</v>
      </c>
      <c r="B62" s="23" t="s">
        <v>79</v>
      </c>
      <c r="C62" s="137" t="s">
        <v>356</v>
      </c>
      <c r="D62" s="24" t="s">
        <v>32</v>
      </c>
      <c r="E62" s="24" t="s">
        <v>21</v>
      </c>
      <c r="F62" s="24" t="s">
        <v>17</v>
      </c>
      <c r="G62" s="25" t="s">
        <v>23</v>
      </c>
      <c r="H62" s="24" t="s">
        <v>30</v>
      </c>
      <c r="I62" s="24">
        <v>7</v>
      </c>
      <c r="J62" s="24">
        <v>5</v>
      </c>
      <c r="K62" s="23" t="s">
        <v>141</v>
      </c>
      <c r="L62" s="23" t="s">
        <v>179</v>
      </c>
      <c r="M62" s="28">
        <v>46563396</v>
      </c>
      <c r="N62" s="28">
        <v>63313535</v>
      </c>
    </row>
    <row r="63" spans="1:14">
      <c r="A63" s="23">
        <v>52</v>
      </c>
      <c r="B63" s="23" t="s">
        <v>81</v>
      </c>
      <c r="C63" s="137" t="s">
        <v>357</v>
      </c>
      <c r="D63" s="24" t="s">
        <v>72</v>
      </c>
      <c r="E63" s="24" t="s">
        <v>21</v>
      </c>
      <c r="F63" s="24" t="s">
        <v>10</v>
      </c>
      <c r="G63" s="24" t="s">
        <v>11</v>
      </c>
      <c r="H63" s="24" t="s">
        <v>12</v>
      </c>
      <c r="I63" s="24">
        <v>5</v>
      </c>
      <c r="J63" s="24">
        <v>6</v>
      </c>
      <c r="K63" s="28">
        <v>20000000</v>
      </c>
      <c r="L63" s="28">
        <v>40064620</v>
      </c>
      <c r="M63" s="28">
        <v>98137438</v>
      </c>
      <c r="N63" s="23" t="s">
        <v>179</v>
      </c>
    </row>
    <row r="64" spans="1:14">
      <c r="A64" s="23">
        <v>53</v>
      </c>
      <c r="B64" s="23" t="s">
        <v>82</v>
      </c>
      <c r="C64" s="137" t="s">
        <v>358</v>
      </c>
      <c r="D64" s="24" t="s">
        <v>13</v>
      </c>
      <c r="E64" s="24" t="s">
        <v>21</v>
      </c>
      <c r="F64" s="24" t="s">
        <v>10</v>
      </c>
      <c r="G64" s="24" t="s">
        <v>27</v>
      </c>
      <c r="H64" s="24" t="s">
        <v>12</v>
      </c>
      <c r="I64" s="24">
        <v>4</v>
      </c>
      <c r="J64" s="24">
        <v>6</v>
      </c>
      <c r="K64" s="28">
        <v>30000000</v>
      </c>
      <c r="L64" s="28">
        <v>45289360</v>
      </c>
      <c r="M64" s="23" t="s">
        <v>179</v>
      </c>
      <c r="N64" s="28">
        <v>46980526</v>
      </c>
    </row>
    <row r="65" spans="1:14">
      <c r="A65" s="23">
        <v>54</v>
      </c>
      <c r="B65" s="23" t="s">
        <v>83</v>
      </c>
      <c r="C65" s="137" t="s">
        <v>359</v>
      </c>
      <c r="D65" s="24" t="s">
        <v>13</v>
      </c>
      <c r="E65" s="24" t="s">
        <v>25</v>
      </c>
      <c r="F65" s="24" t="s">
        <v>10</v>
      </c>
      <c r="G65" s="24" t="s">
        <v>27</v>
      </c>
      <c r="H65" s="24" t="s">
        <v>12</v>
      </c>
      <c r="I65" s="24">
        <v>7</v>
      </c>
      <c r="J65" s="24">
        <v>5</v>
      </c>
      <c r="K65" s="28">
        <v>30000000</v>
      </c>
      <c r="L65" s="28">
        <v>34397393</v>
      </c>
      <c r="M65" s="28">
        <v>72192037</v>
      </c>
      <c r="N65" s="28">
        <v>21247716</v>
      </c>
    </row>
    <row r="66" spans="1:14">
      <c r="A66" s="23">
        <v>55</v>
      </c>
      <c r="B66" s="23" t="s">
        <v>84</v>
      </c>
      <c r="C66" s="137" t="s">
        <v>360</v>
      </c>
      <c r="D66" s="24" t="s">
        <v>13</v>
      </c>
      <c r="E66" s="24" t="s">
        <v>21</v>
      </c>
      <c r="F66" s="24" t="s">
        <v>17</v>
      </c>
      <c r="G66" s="25" t="s">
        <v>18</v>
      </c>
      <c r="H66" s="24" t="s">
        <v>30</v>
      </c>
      <c r="I66" s="24">
        <v>3</v>
      </c>
      <c r="J66" s="24">
        <v>9</v>
      </c>
      <c r="K66" s="23" t="s">
        <v>141</v>
      </c>
      <c r="L66" s="23" t="s">
        <v>179</v>
      </c>
      <c r="M66" s="28">
        <v>69870077</v>
      </c>
      <c r="N66" s="28">
        <v>98441580</v>
      </c>
    </row>
    <row r="67" spans="1:14">
      <c r="A67" s="23">
        <v>56</v>
      </c>
      <c r="B67" s="23" t="s">
        <v>85</v>
      </c>
      <c r="C67" s="137" t="s">
        <v>361</v>
      </c>
      <c r="D67" s="25" t="s">
        <v>28</v>
      </c>
      <c r="E67" s="24" t="s">
        <v>25</v>
      </c>
      <c r="F67" s="24" t="s">
        <v>10</v>
      </c>
      <c r="G67" s="24" t="s">
        <v>27</v>
      </c>
      <c r="H67" s="24" t="s">
        <v>12</v>
      </c>
      <c r="I67" s="24">
        <v>3</v>
      </c>
      <c r="J67" s="24">
        <v>6</v>
      </c>
      <c r="K67" s="28">
        <v>1000000</v>
      </c>
      <c r="L67" s="28">
        <v>34126405</v>
      </c>
      <c r="M67" s="28">
        <v>88265167</v>
      </c>
      <c r="N67" s="28">
        <v>56002928</v>
      </c>
    </row>
    <row r="68" spans="1:14">
      <c r="A68" s="23">
        <v>57</v>
      </c>
      <c r="B68" s="23" t="s">
        <v>86</v>
      </c>
      <c r="C68" s="137" t="s">
        <v>362</v>
      </c>
      <c r="D68" s="24" t="s">
        <v>13</v>
      </c>
      <c r="E68" s="24" t="s">
        <v>21</v>
      </c>
      <c r="F68" s="24" t="s">
        <v>10</v>
      </c>
      <c r="G68" s="24" t="s">
        <v>11</v>
      </c>
      <c r="H68" s="24" t="s">
        <v>12</v>
      </c>
      <c r="I68" s="24">
        <v>7</v>
      </c>
      <c r="J68" s="24">
        <v>10</v>
      </c>
      <c r="K68" s="28">
        <v>1000000</v>
      </c>
      <c r="L68" s="28">
        <v>53008255</v>
      </c>
      <c r="M68" s="28">
        <v>46917910</v>
      </c>
      <c r="N68" s="28">
        <v>47557281</v>
      </c>
    </row>
    <row r="69" spans="1:14">
      <c r="A69" s="23">
        <v>58</v>
      </c>
      <c r="B69" s="23" t="s">
        <v>88</v>
      </c>
      <c r="C69" s="137" t="s">
        <v>363</v>
      </c>
      <c r="D69" s="24" t="s">
        <v>13</v>
      </c>
      <c r="E69" s="24" t="s">
        <v>21</v>
      </c>
      <c r="F69" s="24" t="s">
        <v>17</v>
      </c>
      <c r="G69" s="25" t="s">
        <v>18</v>
      </c>
      <c r="H69" s="24" t="s">
        <v>12</v>
      </c>
      <c r="I69" s="24">
        <v>5</v>
      </c>
      <c r="J69" s="24">
        <v>9</v>
      </c>
      <c r="K69" s="23" t="s">
        <v>141</v>
      </c>
      <c r="L69" s="23" t="s">
        <v>179</v>
      </c>
      <c r="M69" s="23" t="s">
        <v>179</v>
      </c>
      <c r="N69" s="28">
        <v>22675260</v>
      </c>
    </row>
    <row r="70" spans="1:14">
      <c r="A70" s="23">
        <v>59</v>
      </c>
      <c r="B70" s="23" t="s">
        <v>90</v>
      </c>
      <c r="C70" s="137" t="s">
        <v>364</v>
      </c>
      <c r="D70" s="25" t="s">
        <v>89</v>
      </c>
      <c r="E70" s="24" t="s">
        <v>21</v>
      </c>
      <c r="F70" s="24" t="s">
        <v>10</v>
      </c>
      <c r="G70" s="24" t="s">
        <v>11</v>
      </c>
      <c r="H70" s="24" t="s">
        <v>12</v>
      </c>
      <c r="I70" s="24">
        <v>9</v>
      </c>
      <c r="J70" s="24">
        <v>5</v>
      </c>
      <c r="K70" s="28">
        <v>100000000</v>
      </c>
      <c r="L70" s="28">
        <v>94688720</v>
      </c>
      <c r="M70" s="28">
        <v>86323763</v>
      </c>
      <c r="N70" s="28">
        <v>20929788</v>
      </c>
    </row>
    <row r="71" spans="1:14">
      <c r="A71" s="23">
        <v>60</v>
      </c>
      <c r="B71" s="23" t="s">
        <v>91</v>
      </c>
      <c r="C71" s="137" t="s">
        <v>365</v>
      </c>
      <c r="D71" s="24" t="s">
        <v>13</v>
      </c>
      <c r="E71" s="24" t="s">
        <v>54</v>
      </c>
      <c r="F71" s="24" t="s">
        <v>55</v>
      </c>
      <c r="G71" s="24" t="s">
        <v>56</v>
      </c>
      <c r="H71" s="24" t="s">
        <v>12</v>
      </c>
      <c r="I71" s="24">
        <v>4</v>
      </c>
      <c r="J71" s="24">
        <v>8</v>
      </c>
      <c r="K71" s="23" t="s">
        <v>141</v>
      </c>
      <c r="L71" s="23" t="s">
        <v>179</v>
      </c>
      <c r="M71" s="28">
        <v>96750826</v>
      </c>
      <c r="N71" s="28">
        <v>31435769</v>
      </c>
    </row>
    <row r="72" spans="1:14">
      <c r="A72" s="23">
        <v>61</v>
      </c>
      <c r="B72" s="23" t="s">
        <v>92</v>
      </c>
      <c r="C72" s="137" t="s">
        <v>366</v>
      </c>
      <c r="D72" s="24" t="s">
        <v>13</v>
      </c>
      <c r="E72" s="24" t="s">
        <v>25</v>
      </c>
      <c r="F72" s="24" t="s">
        <v>10</v>
      </c>
      <c r="G72" s="24" t="s">
        <v>11</v>
      </c>
      <c r="H72" s="24" t="s">
        <v>12</v>
      </c>
      <c r="I72" s="24">
        <v>5</v>
      </c>
      <c r="J72" s="24">
        <v>10</v>
      </c>
      <c r="K72" s="28">
        <v>10000000</v>
      </c>
      <c r="L72" s="28">
        <v>89686683</v>
      </c>
      <c r="M72" s="28">
        <v>62448793</v>
      </c>
      <c r="N72" s="28">
        <v>26812600</v>
      </c>
    </row>
    <row r="73" spans="1:14">
      <c r="A73" s="23">
        <v>62</v>
      </c>
      <c r="B73" s="23" t="s">
        <v>93</v>
      </c>
      <c r="C73" s="137" t="s">
        <v>367</v>
      </c>
      <c r="D73" s="24" t="s">
        <v>13</v>
      </c>
      <c r="E73" s="24" t="s">
        <v>21</v>
      </c>
      <c r="F73" s="24" t="s">
        <v>10</v>
      </c>
      <c r="G73" s="24" t="s">
        <v>27</v>
      </c>
      <c r="H73" s="24" t="s">
        <v>12</v>
      </c>
      <c r="I73" s="24">
        <v>3</v>
      </c>
      <c r="J73" s="24">
        <v>10</v>
      </c>
      <c r="K73" s="28">
        <v>30000000</v>
      </c>
      <c r="L73" s="28">
        <v>32890743</v>
      </c>
      <c r="M73" s="23" t="s">
        <v>179</v>
      </c>
      <c r="N73" s="28">
        <v>39864620</v>
      </c>
    </row>
    <row r="74" spans="1:14">
      <c r="A74" s="23">
        <v>63</v>
      </c>
      <c r="B74" s="23" t="s">
        <v>94</v>
      </c>
      <c r="C74" s="137" t="s">
        <v>368</v>
      </c>
      <c r="D74" s="24" t="s">
        <v>13</v>
      </c>
      <c r="E74" s="24" t="s">
        <v>25</v>
      </c>
      <c r="F74" s="24" t="s">
        <v>10</v>
      </c>
      <c r="G74" s="24" t="s">
        <v>11</v>
      </c>
      <c r="H74" s="24" t="s">
        <v>12</v>
      </c>
      <c r="I74" s="24">
        <v>3</v>
      </c>
      <c r="J74" s="24">
        <v>10</v>
      </c>
      <c r="K74" s="28">
        <v>10000000</v>
      </c>
      <c r="L74" s="28">
        <v>32370896</v>
      </c>
      <c r="M74" s="28">
        <v>96066942</v>
      </c>
      <c r="N74" s="28">
        <v>3767736</v>
      </c>
    </row>
    <row r="75" spans="1:14">
      <c r="A75" s="23">
        <v>64</v>
      </c>
      <c r="B75" s="23" t="s">
        <v>95</v>
      </c>
      <c r="C75" s="137" t="s">
        <v>369</v>
      </c>
      <c r="D75" s="24" t="s">
        <v>13</v>
      </c>
      <c r="E75" s="24" t="s">
        <v>25</v>
      </c>
      <c r="F75" s="24" t="s">
        <v>17</v>
      </c>
      <c r="G75" s="25" t="s">
        <v>23</v>
      </c>
      <c r="H75" s="24" t="s">
        <v>12</v>
      </c>
      <c r="I75" s="24">
        <v>5</v>
      </c>
      <c r="J75" s="24">
        <v>5</v>
      </c>
      <c r="K75" s="23" t="s">
        <v>141</v>
      </c>
      <c r="L75" s="23" t="s">
        <v>179</v>
      </c>
      <c r="M75" s="28">
        <v>24514428</v>
      </c>
      <c r="N75" s="28">
        <v>27890231</v>
      </c>
    </row>
    <row r="76" spans="1:14">
      <c r="A76" s="23">
        <v>65</v>
      </c>
      <c r="B76" s="23" t="s">
        <v>97</v>
      </c>
      <c r="C76" s="137" t="s">
        <v>370</v>
      </c>
      <c r="D76" s="24" t="s">
        <v>13</v>
      </c>
      <c r="E76" s="24" t="s">
        <v>21</v>
      </c>
      <c r="F76" s="24" t="s">
        <v>10</v>
      </c>
      <c r="G76" s="24" t="s">
        <v>11</v>
      </c>
      <c r="H76" s="24" t="s">
        <v>30</v>
      </c>
      <c r="I76" s="24">
        <v>7</v>
      </c>
      <c r="J76" s="24">
        <v>7</v>
      </c>
      <c r="K76" s="28">
        <v>10000000</v>
      </c>
      <c r="L76" s="28">
        <v>31953589</v>
      </c>
      <c r="M76" s="28">
        <v>40068224</v>
      </c>
      <c r="N76" s="28">
        <v>80951038</v>
      </c>
    </row>
    <row r="77" spans="1:14">
      <c r="A77" s="23">
        <v>66</v>
      </c>
      <c r="B77" s="23" t="s">
        <v>98</v>
      </c>
      <c r="C77" s="137" t="s">
        <v>371</v>
      </c>
      <c r="D77" s="24" t="s">
        <v>13</v>
      </c>
      <c r="E77" s="24" t="s">
        <v>21</v>
      </c>
      <c r="F77" s="24" t="s">
        <v>10</v>
      </c>
      <c r="G77" s="24" t="s">
        <v>11</v>
      </c>
      <c r="H77" s="24" t="s">
        <v>12</v>
      </c>
      <c r="I77" s="24">
        <v>7</v>
      </c>
      <c r="J77" s="24">
        <v>5</v>
      </c>
      <c r="K77" s="28">
        <v>50000000</v>
      </c>
      <c r="L77" s="28">
        <v>78205651</v>
      </c>
      <c r="M77" s="28">
        <v>62381180</v>
      </c>
      <c r="N77" s="28">
        <v>6508585</v>
      </c>
    </row>
    <row r="78" spans="1:14">
      <c r="A78" s="23">
        <v>67</v>
      </c>
      <c r="B78" s="23" t="s">
        <v>99</v>
      </c>
      <c r="C78" s="137" t="s">
        <v>372</v>
      </c>
      <c r="D78" s="24" t="s">
        <v>13</v>
      </c>
      <c r="E78" s="24" t="s">
        <v>15</v>
      </c>
      <c r="F78" s="24" t="s">
        <v>17</v>
      </c>
      <c r="G78" s="25" t="s">
        <v>18</v>
      </c>
      <c r="H78" s="24" t="s">
        <v>12</v>
      </c>
      <c r="I78" s="24">
        <v>5</v>
      </c>
      <c r="J78" s="24">
        <v>4</v>
      </c>
      <c r="K78" s="23" t="s">
        <v>141</v>
      </c>
      <c r="L78" s="23" t="s">
        <v>179</v>
      </c>
      <c r="M78" s="28">
        <v>34584522</v>
      </c>
      <c r="N78" s="23" t="s">
        <v>179</v>
      </c>
    </row>
    <row r="79" spans="1:14">
      <c r="A79" s="23">
        <v>68</v>
      </c>
      <c r="B79" s="23" t="s">
        <v>100</v>
      </c>
      <c r="C79" s="137" t="s">
        <v>373</v>
      </c>
      <c r="D79" s="25" t="s">
        <v>87</v>
      </c>
      <c r="E79" s="24" t="s">
        <v>21</v>
      </c>
      <c r="F79" s="24" t="s">
        <v>55</v>
      </c>
      <c r="G79" s="24" t="s">
        <v>80</v>
      </c>
      <c r="H79" s="24" t="s">
        <v>12</v>
      </c>
      <c r="I79" s="24">
        <v>7</v>
      </c>
      <c r="J79" s="24">
        <v>7</v>
      </c>
      <c r="K79" s="23" t="s">
        <v>141</v>
      </c>
      <c r="L79" s="23" t="s">
        <v>179</v>
      </c>
      <c r="M79" s="28">
        <v>76942676</v>
      </c>
      <c r="N79" s="28">
        <v>74216691</v>
      </c>
    </row>
    <row r="80" spans="1:14">
      <c r="A80" s="23">
        <v>69</v>
      </c>
      <c r="B80" s="23" t="s">
        <v>101</v>
      </c>
      <c r="C80" s="137" t="s">
        <v>374</v>
      </c>
      <c r="D80" s="24" t="s">
        <v>32</v>
      </c>
      <c r="E80" s="24" t="s">
        <v>25</v>
      </c>
      <c r="F80" s="24" t="s">
        <v>10</v>
      </c>
      <c r="G80" s="24" t="s">
        <v>27</v>
      </c>
      <c r="H80" s="24" t="s">
        <v>30</v>
      </c>
      <c r="I80" s="24">
        <v>8</v>
      </c>
      <c r="J80" s="24">
        <v>9</v>
      </c>
      <c r="K80" s="28">
        <v>5000000</v>
      </c>
      <c r="L80" s="28">
        <v>70270294</v>
      </c>
      <c r="M80" s="28">
        <v>19588762</v>
      </c>
      <c r="N80" s="28">
        <v>78634577</v>
      </c>
    </row>
    <row r="81" spans="1:14">
      <c r="A81" s="23">
        <v>70</v>
      </c>
      <c r="B81" s="23" t="s">
        <v>103</v>
      </c>
      <c r="C81" s="137" t="s">
        <v>375</v>
      </c>
      <c r="D81" s="24" t="s">
        <v>13</v>
      </c>
      <c r="E81" s="24" t="s">
        <v>15</v>
      </c>
      <c r="F81" s="24" t="s">
        <v>17</v>
      </c>
      <c r="G81" s="25" t="s">
        <v>18</v>
      </c>
      <c r="H81" s="24" t="s">
        <v>12</v>
      </c>
      <c r="I81" s="24">
        <v>3</v>
      </c>
      <c r="J81" s="24">
        <v>5</v>
      </c>
      <c r="K81" s="23" t="s">
        <v>141</v>
      </c>
      <c r="L81" s="23" t="s">
        <v>179</v>
      </c>
      <c r="M81" s="28">
        <v>85955846</v>
      </c>
      <c r="N81" s="28">
        <v>25891596</v>
      </c>
    </row>
    <row r="82" spans="1:14">
      <c r="A82" s="23">
        <v>71</v>
      </c>
      <c r="B82" s="23" t="s">
        <v>104</v>
      </c>
      <c r="C82" s="137" t="s">
        <v>376</v>
      </c>
      <c r="D82" s="24" t="s">
        <v>13</v>
      </c>
      <c r="E82" s="24" t="s">
        <v>15</v>
      </c>
      <c r="F82" s="24" t="s">
        <v>10</v>
      </c>
      <c r="G82" s="24" t="s">
        <v>27</v>
      </c>
      <c r="H82" s="24" t="s">
        <v>30</v>
      </c>
      <c r="I82" s="24">
        <v>8</v>
      </c>
      <c r="J82" s="24">
        <v>10</v>
      </c>
      <c r="K82" s="28">
        <v>20000000</v>
      </c>
      <c r="L82" s="28">
        <v>62745331</v>
      </c>
      <c r="M82" s="28">
        <v>39843357</v>
      </c>
      <c r="N82" s="28">
        <v>64840967</v>
      </c>
    </row>
    <row r="83" spans="1:14">
      <c r="A83" s="23">
        <v>72</v>
      </c>
      <c r="B83" s="23" t="s">
        <v>105</v>
      </c>
      <c r="C83" s="137" t="s">
        <v>377</v>
      </c>
      <c r="D83" s="24" t="s">
        <v>13</v>
      </c>
      <c r="E83" s="24" t="s">
        <v>21</v>
      </c>
      <c r="F83" s="24" t="s">
        <v>17</v>
      </c>
      <c r="G83" s="25" t="s">
        <v>23</v>
      </c>
      <c r="H83" s="24" t="s">
        <v>12</v>
      </c>
      <c r="I83" s="24">
        <v>5</v>
      </c>
      <c r="J83" s="24">
        <v>7</v>
      </c>
      <c r="K83" s="23" t="s">
        <v>141</v>
      </c>
      <c r="L83" s="23" t="s">
        <v>179</v>
      </c>
      <c r="M83" s="28">
        <v>82583322</v>
      </c>
      <c r="N83" s="28">
        <v>809058</v>
      </c>
    </row>
    <row r="84" spans="1:14">
      <c r="A84" s="23">
        <v>73</v>
      </c>
      <c r="B84" s="23" t="s">
        <v>106</v>
      </c>
      <c r="C84" s="137" t="s">
        <v>378</v>
      </c>
      <c r="D84" s="24" t="s">
        <v>13</v>
      </c>
      <c r="E84" s="24" t="s">
        <v>21</v>
      </c>
      <c r="F84" s="24" t="s">
        <v>10</v>
      </c>
      <c r="G84" s="24" t="s">
        <v>27</v>
      </c>
      <c r="H84" s="24" t="s">
        <v>30</v>
      </c>
      <c r="I84" s="24">
        <v>6</v>
      </c>
      <c r="J84" s="24">
        <v>6</v>
      </c>
      <c r="K84" s="28">
        <v>10000000</v>
      </c>
      <c r="L84" s="28">
        <v>59890317</v>
      </c>
      <c r="M84" s="28">
        <v>42451842</v>
      </c>
      <c r="N84" s="23" t="s">
        <v>179</v>
      </c>
    </row>
    <row r="85" spans="1:14">
      <c r="A85" s="23">
        <v>74</v>
      </c>
      <c r="B85" s="23" t="s">
        <v>107</v>
      </c>
      <c r="C85" s="137" t="s">
        <v>379</v>
      </c>
      <c r="D85" s="24" t="s">
        <v>13</v>
      </c>
      <c r="E85" s="24" t="s">
        <v>15</v>
      </c>
      <c r="F85" s="24" t="s">
        <v>10</v>
      </c>
      <c r="G85" s="24" t="s">
        <v>11</v>
      </c>
      <c r="H85" s="24" t="s">
        <v>12</v>
      </c>
      <c r="I85" s="24">
        <v>3</v>
      </c>
      <c r="J85" s="24">
        <v>6</v>
      </c>
      <c r="K85" s="28">
        <v>10000000</v>
      </c>
      <c r="L85" s="28">
        <v>97449662</v>
      </c>
      <c r="M85" s="28">
        <v>49624160</v>
      </c>
      <c r="N85" s="28">
        <v>17854677</v>
      </c>
    </row>
    <row r="86" spans="1:14">
      <c r="A86" s="23">
        <v>75</v>
      </c>
      <c r="B86" s="23" t="s">
        <v>108</v>
      </c>
      <c r="C86" s="137" t="s">
        <v>380</v>
      </c>
      <c r="D86" s="24" t="s">
        <v>13</v>
      </c>
      <c r="E86" s="24" t="s">
        <v>9</v>
      </c>
      <c r="F86" s="24" t="s">
        <v>17</v>
      </c>
      <c r="G86" s="25" t="s">
        <v>23</v>
      </c>
      <c r="H86" s="24" t="s">
        <v>12</v>
      </c>
      <c r="I86" s="24">
        <v>8</v>
      </c>
      <c r="J86" s="24">
        <v>10</v>
      </c>
      <c r="K86" s="23" t="s">
        <v>141</v>
      </c>
      <c r="L86" s="23" t="s">
        <v>179</v>
      </c>
      <c r="M86" s="28">
        <v>44422091</v>
      </c>
      <c r="N86" s="28">
        <v>8898260</v>
      </c>
    </row>
    <row r="87" spans="1:14">
      <c r="A87" s="23">
        <v>76</v>
      </c>
      <c r="B87" s="23" t="s">
        <v>109</v>
      </c>
      <c r="C87" s="137" t="s">
        <v>381</v>
      </c>
      <c r="D87" s="25" t="s">
        <v>72</v>
      </c>
      <c r="E87" s="24" t="s">
        <v>21</v>
      </c>
      <c r="F87" s="24" t="s">
        <v>17</v>
      </c>
      <c r="G87" s="25" t="s">
        <v>18</v>
      </c>
      <c r="H87" s="24" t="s">
        <v>12</v>
      </c>
      <c r="I87" s="24">
        <v>5</v>
      </c>
      <c r="J87" s="24">
        <v>7</v>
      </c>
      <c r="K87" s="23" t="s">
        <v>141</v>
      </c>
      <c r="L87" s="23" t="s">
        <v>179</v>
      </c>
      <c r="M87" s="23" t="s">
        <v>179</v>
      </c>
      <c r="N87" s="28">
        <v>63436099</v>
      </c>
    </row>
    <row r="88" spans="1:14">
      <c r="A88" s="23">
        <v>77</v>
      </c>
      <c r="B88" s="23" t="s">
        <v>110</v>
      </c>
      <c r="C88" s="137" t="s">
        <v>382</v>
      </c>
      <c r="D88" s="24" t="s">
        <v>13</v>
      </c>
      <c r="E88" s="24" t="s">
        <v>21</v>
      </c>
      <c r="F88" s="24" t="s">
        <v>10</v>
      </c>
      <c r="G88" s="24" t="s">
        <v>11</v>
      </c>
      <c r="H88" s="24" t="s">
        <v>30</v>
      </c>
      <c r="I88" s="24">
        <v>8</v>
      </c>
      <c r="J88" s="24">
        <v>9</v>
      </c>
      <c r="K88" s="28">
        <v>10000000</v>
      </c>
      <c r="L88" s="28">
        <v>99989764</v>
      </c>
      <c r="M88" s="28">
        <v>8030175</v>
      </c>
      <c r="N88" s="28">
        <v>37676206</v>
      </c>
    </row>
    <row r="89" spans="1:14">
      <c r="A89" s="23">
        <v>78</v>
      </c>
      <c r="B89" s="23" t="s">
        <v>111</v>
      </c>
      <c r="C89" s="137" t="s">
        <v>383</v>
      </c>
      <c r="D89" s="24" t="s">
        <v>13</v>
      </c>
      <c r="E89" s="24" t="s">
        <v>21</v>
      </c>
      <c r="F89" s="24" t="s">
        <v>17</v>
      </c>
      <c r="G89" s="25" t="s">
        <v>18</v>
      </c>
      <c r="H89" s="24" t="s">
        <v>30</v>
      </c>
      <c r="I89" s="24">
        <v>4</v>
      </c>
      <c r="J89" s="24">
        <v>5</v>
      </c>
      <c r="K89" s="23" t="s">
        <v>141</v>
      </c>
      <c r="L89" s="23" t="s">
        <v>179</v>
      </c>
      <c r="M89" s="28">
        <v>12862402</v>
      </c>
      <c r="N89" s="28">
        <v>68922404</v>
      </c>
    </row>
    <row r="90" spans="1:14">
      <c r="A90" s="23">
        <v>79</v>
      </c>
      <c r="B90" s="23" t="s">
        <v>112</v>
      </c>
      <c r="C90" s="137" t="s">
        <v>384</v>
      </c>
      <c r="D90" s="24" t="s">
        <v>13</v>
      </c>
      <c r="E90" s="24" t="s">
        <v>25</v>
      </c>
      <c r="F90" s="24" t="s">
        <v>17</v>
      </c>
      <c r="G90" s="25" t="s">
        <v>18</v>
      </c>
      <c r="H90" s="24" t="s">
        <v>30</v>
      </c>
      <c r="I90" s="24">
        <v>9</v>
      </c>
      <c r="J90" s="24">
        <v>9</v>
      </c>
      <c r="K90" s="23" t="s">
        <v>141</v>
      </c>
      <c r="L90" s="23" t="s">
        <v>179</v>
      </c>
      <c r="M90" s="28">
        <v>46914257</v>
      </c>
      <c r="N90" s="28">
        <v>43734508</v>
      </c>
    </row>
    <row r="91" spans="1:14">
      <c r="A91" s="23">
        <v>80</v>
      </c>
      <c r="B91" s="23" t="s">
        <v>113</v>
      </c>
      <c r="C91" s="137" t="s">
        <v>385</v>
      </c>
      <c r="D91" s="56" t="s">
        <v>115</v>
      </c>
      <c r="E91" s="24" t="s">
        <v>54</v>
      </c>
      <c r="F91" s="24" t="s">
        <v>55</v>
      </c>
      <c r="G91" s="24" t="s">
        <v>56</v>
      </c>
      <c r="H91" s="24" t="s">
        <v>12</v>
      </c>
      <c r="I91" s="24">
        <v>6</v>
      </c>
      <c r="J91" s="24">
        <v>10</v>
      </c>
      <c r="K91" s="23" t="s">
        <v>141</v>
      </c>
      <c r="L91" s="23" t="s">
        <v>179</v>
      </c>
      <c r="M91" s="28">
        <v>95212463</v>
      </c>
      <c r="N91" s="23" t="s">
        <v>179</v>
      </c>
    </row>
    <row r="92" spans="1:14">
      <c r="A92" s="23">
        <v>81</v>
      </c>
      <c r="B92" s="23" t="s">
        <v>114</v>
      </c>
      <c r="C92" s="137" t="s">
        <v>386</v>
      </c>
      <c r="D92" s="25" t="s">
        <v>28</v>
      </c>
      <c r="E92" s="24" t="s">
        <v>21</v>
      </c>
      <c r="F92" s="24" t="s">
        <v>10</v>
      </c>
      <c r="G92" s="24" t="s">
        <v>11</v>
      </c>
      <c r="H92" s="24" t="s">
        <v>12</v>
      </c>
      <c r="I92" s="24">
        <v>3</v>
      </c>
      <c r="J92" s="24">
        <v>9</v>
      </c>
      <c r="K92" s="28">
        <v>5000000</v>
      </c>
      <c r="L92" s="28">
        <v>32915397</v>
      </c>
      <c r="M92" s="28">
        <v>74493461</v>
      </c>
      <c r="N92" s="28">
        <v>151779</v>
      </c>
    </row>
    <row r="93" spans="1:14">
      <c r="A93" s="23">
        <v>82</v>
      </c>
      <c r="B93" s="23" t="s">
        <v>116</v>
      </c>
      <c r="C93" s="137" t="s">
        <v>387</v>
      </c>
      <c r="D93" s="24" t="s">
        <v>13</v>
      </c>
      <c r="E93" s="24" t="s">
        <v>25</v>
      </c>
      <c r="F93" s="24" t="s">
        <v>17</v>
      </c>
      <c r="G93" s="25" t="s">
        <v>18</v>
      </c>
      <c r="H93" s="24" t="s">
        <v>12</v>
      </c>
      <c r="I93" s="24">
        <v>3</v>
      </c>
      <c r="J93" s="24">
        <v>7</v>
      </c>
      <c r="K93" s="23" t="s">
        <v>141</v>
      </c>
      <c r="L93" s="23" t="s">
        <v>179</v>
      </c>
      <c r="M93" s="28">
        <v>43223505</v>
      </c>
      <c r="N93" s="23" t="s">
        <v>179</v>
      </c>
    </row>
    <row r="94" spans="1:14">
      <c r="A94" s="23">
        <v>83</v>
      </c>
      <c r="B94" s="23" t="s">
        <v>117</v>
      </c>
      <c r="C94" s="137" t="s">
        <v>388</v>
      </c>
      <c r="D94" s="24" t="s">
        <v>13</v>
      </c>
      <c r="E94" s="24" t="s">
        <v>21</v>
      </c>
      <c r="F94" s="24" t="s">
        <v>17</v>
      </c>
      <c r="G94" s="25" t="s">
        <v>18</v>
      </c>
      <c r="H94" s="24" t="s">
        <v>12</v>
      </c>
      <c r="I94" s="24">
        <v>7</v>
      </c>
      <c r="J94" s="24">
        <v>10</v>
      </c>
      <c r="K94" s="23" t="s">
        <v>141</v>
      </c>
      <c r="L94" s="23" t="s">
        <v>179</v>
      </c>
      <c r="M94" s="28">
        <v>14141858</v>
      </c>
      <c r="N94" s="28">
        <v>87162317</v>
      </c>
    </row>
    <row r="95" spans="1:14">
      <c r="A95" s="23">
        <v>84</v>
      </c>
      <c r="B95" s="23" t="s">
        <v>118</v>
      </c>
      <c r="C95" s="137" t="s">
        <v>389</v>
      </c>
      <c r="D95" s="24" t="s">
        <v>13</v>
      </c>
      <c r="E95" s="24" t="s">
        <v>21</v>
      </c>
      <c r="F95" s="24" t="s">
        <v>17</v>
      </c>
      <c r="G95" s="25" t="s">
        <v>18</v>
      </c>
      <c r="H95" s="24" t="s">
        <v>12</v>
      </c>
      <c r="I95" s="24">
        <v>3</v>
      </c>
      <c r="J95" s="24">
        <v>7</v>
      </c>
      <c r="K95" s="23" t="s">
        <v>141</v>
      </c>
      <c r="L95" s="23" t="s">
        <v>179</v>
      </c>
      <c r="M95" s="28">
        <v>29525162</v>
      </c>
      <c r="N95" s="23" t="s">
        <v>179</v>
      </c>
    </row>
    <row r="96" spans="1:14">
      <c r="A96" s="23">
        <v>85</v>
      </c>
      <c r="B96" s="23" t="s">
        <v>119</v>
      </c>
      <c r="C96" s="137" t="s">
        <v>390</v>
      </c>
      <c r="D96" s="24" t="s">
        <v>13</v>
      </c>
      <c r="E96" s="24" t="s">
        <v>21</v>
      </c>
      <c r="F96" s="24" t="s">
        <v>17</v>
      </c>
      <c r="G96" s="25" t="s">
        <v>23</v>
      </c>
      <c r="H96" s="24" t="s">
        <v>30</v>
      </c>
      <c r="I96" s="24">
        <v>7</v>
      </c>
      <c r="J96" s="24">
        <v>4</v>
      </c>
      <c r="K96" s="23" t="s">
        <v>141</v>
      </c>
      <c r="L96" s="23" t="s">
        <v>179</v>
      </c>
      <c r="M96" s="28">
        <v>29366791</v>
      </c>
      <c r="N96" s="28">
        <v>89805774</v>
      </c>
    </row>
    <row r="97" spans="1:14">
      <c r="A97" s="23">
        <v>86</v>
      </c>
      <c r="B97" s="23" t="s">
        <v>120</v>
      </c>
      <c r="C97" s="137" t="s">
        <v>391</v>
      </c>
      <c r="D97" s="24" t="s">
        <v>13</v>
      </c>
      <c r="E97" s="24" t="s">
        <v>21</v>
      </c>
      <c r="F97" s="24" t="s">
        <v>17</v>
      </c>
      <c r="G97" s="25" t="s">
        <v>18</v>
      </c>
      <c r="H97" s="24" t="s">
        <v>30</v>
      </c>
      <c r="I97" s="24">
        <v>9</v>
      </c>
      <c r="J97" s="24">
        <v>5</v>
      </c>
      <c r="K97" s="23" t="s">
        <v>141</v>
      </c>
      <c r="L97" s="23" t="s">
        <v>179</v>
      </c>
      <c r="M97" s="28">
        <v>73195518</v>
      </c>
      <c r="N97" s="28">
        <v>10695678</v>
      </c>
    </row>
    <row r="98" spans="1:14">
      <c r="A98" s="23">
        <v>87</v>
      </c>
      <c r="B98" s="23" t="s">
        <v>121</v>
      </c>
      <c r="C98" s="137" t="s">
        <v>392</v>
      </c>
      <c r="D98" s="24" t="s">
        <v>13</v>
      </c>
      <c r="E98" s="24" t="s">
        <v>21</v>
      </c>
      <c r="F98" s="24" t="s">
        <v>17</v>
      </c>
      <c r="G98" s="25" t="s">
        <v>18</v>
      </c>
      <c r="H98" s="24" t="s">
        <v>12</v>
      </c>
      <c r="I98" s="24">
        <v>3</v>
      </c>
      <c r="J98" s="24">
        <v>6</v>
      </c>
      <c r="K98" s="23" t="s">
        <v>141</v>
      </c>
      <c r="L98" s="23" t="s">
        <v>179</v>
      </c>
      <c r="M98" s="28">
        <v>1432950</v>
      </c>
      <c r="N98" s="28">
        <v>29672451</v>
      </c>
    </row>
    <row r="99" spans="1:14">
      <c r="A99" s="23">
        <v>88</v>
      </c>
      <c r="B99" s="23" t="s">
        <v>122</v>
      </c>
      <c r="C99" s="137" t="s">
        <v>393</v>
      </c>
      <c r="D99" s="24" t="s">
        <v>13</v>
      </c>
      <c r="E99" s="24" t="s">
        <v>21</v>
      </c>
      <c r="F99" s="24" t="s">
        <v>10</v>
      </c>
      <c r="G99" s="24" t="s">
        <v>11</v>
      </c>
      <c r="H99" s="24" t="s">
        <v>30</v>
      </c>
      <c r="I99" s="24">
        <v>8</v>
      </c>
      <c r="J99" s="24">
        <v>7</v>
      </c>
      <c r="K99" s="28">
        <v>1000000</v>
      </c>
      <c r="L99" s="28">
        <v>77159264</v>
      </c>
      <c r="M99" s="23" t="s">
        <v>179</v>
      </c>
      <c r="N99" s="28">
        <v>97234303</v>
      </c>
    </row>
    <row r="100" spans="1:14">
      <c r="A100" s="23">
        <v>89</v>
      </c>
      <c r="B100" s="23" t="s">
        <v>123</v>
      </c>
      <c r="C100" s="137" t="s">
        <v>394</v>
      </c>
      <c r="D100" s="25" t="s">
        <v>28</v>
      </c>
      <c r="E100" s="24" t="s">
        <v>21</v>
      </c>
      <c r="F100" s="24" t="s">
        <v>10</v>
      </c>
      <c r="G100" s="24" t="s">
        <v>11</v>
      </c>
      <c r="H100" s="24" t="s">
        <v>12</v>
      </c>
      <c r="I100" s="24">
        <v>7</v>
      </c>
      <c r="J100" s="24">
        <v>10</v>
      </c>
      <c r="K100" s="28">
        <v>100000000</v>
      </c>
      <c r="L100" s="28">
        <v>12451199</v>
      </c>
      <c r="M100" s="28">
        <v>74231711</v>
      </c>
      <c r="N100" s="28">
        <v>42951226</v>
      </c>
    </row>
    <row r="101" spans="1:14">
      <c r="A101" s="23">
        <v>90</v>
      </c>
      <c r="B101" s="23" t="s">
        <v>124</v>
      </c>
      <c r="C101" s="137" t="s">
        <v>395</v>
      </c>
      <c r="D101" s="24" t="s">
        <v>13</v>
      </c>
      <c r="E101" s="24" t="s">
        <v>9</v>
      </c>
      <c r="F101" s="24" t="s">
        <v>10</v>
      </c>
      <c r="G101" s="24" t="s">
        <v>11</v>
      </c>
      <c r="H101" s="24" t="s">
        <v>30</v>
      </c>
      <c r="I101" s="24">
        <v>3</v>
      </c>
      <c r="J101" s="24">
        <v>9</v>
      </c>
      <c r="K101" s="28">
        <v>90000000</v>
      </c>
      <c r="L101" s="28">
        <v>13287929</v>
      </c>
      <c r="M101" s="28">
        <v>27090183</v>
      </c>
      <c r="N101" s="28">
        <v>79518711</v>
      </c>
    </row>
    <row r="102" spans="1:14">
      <c r="A102" s="23">
        <v>91</v>
      </c>
      <c r="B102" s="23" t="s">
        <v>125</v>
      </c>
      <c r="C102" s="137" t="s">
        <v>396</v>
      </c>
      <c r="D102" s="25" t="s">
        <v>28</v>
      </c>
      <c r="E102" s="24" t="s">
        <v>54</v>
      </c>
      <c r="F102" s="24" t="s">
        <v>55</v>
      </c>
      <c r="G102" s="24" t="s">
        <v>56</v>
      </c>
      <c r="H102" s="24" t="s">
        <v>12</v>
      </c>
      <c r="I102" s="24">
        <v>6</v>
      </c>
      <c r="J102" s="24">
        <v>5</v>
      </c>
      <c r="K102" s="23" t="s">
        <v>141</v>
      </c>
      <c r="L102" s="23" t="s">
        <v>179</v>
      </c>
      <c r="M102" s="28">
        <v>20898506</v>
      </c>
      <c r="N102" s="28">
        <v>24525645</v>
      </c>
    </row>
    <row r="103" spans="1:14">
      <c r="A103" s="23">
        <v>92</v>
      </c>
      <c r="B103" s="23" t="s">
        <v>126</v>
      </c>
      <c r="C103" s="137" t="s">
        <v>397</v>
      </c>
      <c r="D103" s="24" t="s">
        <v>13</v>
      </c>
      <c r="E103" s="24" t="s">
        <v>21</v>
      </c>
      <c r="F103" s="24" t="s">
        <v>10</v>
      </c>
      <c r="G103" s="24" t="s">
        <v>11</v>
      </c>
      <c r="H103" s="24" t="s">
        <v>12</v>
      </c>
      <c r="I103" s="24">
        <v>8</v>
      </c>
      <c r="J103" s="24">
        <v>7</v>
      </c>
      <c r="K103" s="28">
        <v>5000000</v>
      </c>
      <c r="L103" s="28">
        <v>37959268</v>
      </c>
      <c r="M103" s="28">
        <v>69132389</v>
      </c>
      <c r="N103" s="28">
        <v>99564796</v>
      </c>
    </row>
    <row r="104" spans="1:14">
      <c r="A104" s="23">
        <v>93</v>
      </c>
      <c r="B104" s="23" t="s">
        <v>127</v>
      </c>
      <c r="C104" s="137" t="s">
        <v>398</v>
      </c>
      <c r="D104" s="24" t="s">
        <v>13</v>
      </c>
      <c r="E104" s="24" t="s">
        <v>21</v>
      </c>
      <c r="F104" s="24" t="s">
        <v>17</v>
      </c>
      <c r="G104" s="25" t="s">
        <v>18</v>
      </c>
      <c r="H104" s="24" t="s">
        <v>30</v>
      </c>
      <c r="I104" s="24">
        <v>3</v>
      </c>
      <c r="J104" s="24">
        <v>6</v>
      </c>
      <c r="K104" s="23" t="s">
        <v>141</v>
      </c>
      <c r="L104" s="23" t="s">
        <v>179</v>
      </c>
      <c r="M104" s="28">
        <v>26450622</v>
      </c>
      <c r="N104" s="28">
        <v>4227264</v>
      </c>
    </row>
    <row r="105" spans="1:14">
      <c r="A105" s="23">
        <v>94</v>
      </c>
      <c r="B105" s="23" t="s">
        <v>128</v>
      </c>
      <c r="C105" s="137" t="s">
        <v>399</v>
      </c>
      <c r="D105" s="25" t="s">
        <v>77</v>
      </c>
      <c r="E105" s="24" t="s">
        <v>21</v>
      </c>
      <c r="F105" s="24" t="s">
        <v>17</v>
      </c>
      <c r="G105" s="25" t="s">
        <v>18</v>
      </c>
      <c r="H105" s="24" t="s">
        <v>30</v>
      </c>
      <c r="I105" s="24">
        <v>6</v>
      </c>
      <c r="J105" s="24">
        <v>5</v>
      </c>
      <c r="K105" s="23" t="s">
        <v>141</v>
      </c>
      <c r="L105" s="23" t="s">
        <v>179</v>
      </c>
      <c r="M105" s="23" t="s">
        <v>179</v>
      </c>
      <c r="N105" s="28">
        <v>54376640</v>
      </c>
    </row>
    <row r="106" spans="1:14">
      <c r="A106" s="23">
        <v>95</v>
      </c>
      <c r="B106" s="23" t="s">
        <v>129</v>
      </c>
      <c r="C106" s="137" t="s">
        <v>400</v>
      </c>
      <c r="D106" s="24" t="s">
        <v>13</v>
      </c>
      <c r="E106" s="24" t="s">
        <v>21</v>
      </c>
      <c r="F106" s="24" t="s">
        <v>10</v>
      </c>
      <c r="G106" s="24" t="s">
        <v>27</v>
      </c>
      <c r="H106" s="24" t="s">
        <v>12</v>
      </c>
      <c r="I106" s="24">
        <v>7</v>
      </c>
      <c r="J106" s="24">
        <v>9</v>
      </c>
      <c r="K106" s="28">
        <v>90000000</v>
      </c>
      <c r="L106" s="28">
        <v>29991873</v>
      </c>
      <c r="M106" s="28">
        <v>39252741</v>
      </c>
      <c r="N106" s="28">
        <v>15542722</v>
      </c>
    </row>
    <row r="107" spans="1:14">
      <c r="A107" s="23">
        <v>96</v>
      </c>
      <c r="B107" s="23" t="s">
        <v>131</v>
      </c>
      <c r="C107" s="137" t="s">
        <v>401</v>
      </c>
      <c r="D107" s="24" t="s">
        <v>13</v>
      </c>
      <c r="E107" s="24" t="s">
        <v>21</v>
      </c>
      <c r="F107" s="24" t="s">
        <v>10</v>
      </c>
      <c r="G107" s="24" t="s">
        <v>27</v>
      </c>
      <c r="H107" s="24" t="s">
        <v>12</v>
      </c>
      <c r="I107" s="24">
        <v>6</v>
      </c>
      <c r="J107" s="24">
        <v>10</v>
      </c>
      <c r="K107" s="28">
        <v>10000000</v>
      </c>
      <c r="L107" s="28">
        <v>7303129</v>
      </c>
      <c r="M107" s="28">
        <v>3765621</v>
      </c>
      <c r="N107" s="28">
        <v>18125151</v>
      </c>
    </row>
    <row r="108" spans="1:14">
      <c r="A108" s="23">
        <v>97</v>
      </c>
      <c r="B108" s="23" t="s">
        <v>132</v>
      </c>
      <c r="C108" s="137" t="s">
        <v>402</v>
      </c>
      <c r="D108" s="25" t="s">
        <v>32</v>
      </c>
      <c r="E108" s="24" t="s">
        <v>21</v>
      </c>
      <c r="F108" s="24" t="s">
        <v>10</v>
      </c>
      <c r="G108" s="24" t="s">
        <v>27</v>
      </c>
      <c r="H108" s="24" t="s">
        <v>12</v>
      </c>
      <c r="I108" s="24">
        <v>3</v>
      </c>
      <c r="J108" s="24">
        <v>9</v>
      </c>
      <c r="K108" s="28">
        <v>30000000</v>
      </c>
      <c r="L108" s="28">
        <v>44457754</v>
      </c>
      <c r="M108" s="23" t="s">
        <v>179</v>
      </c>
      <c r="N108" s="28">
        <v>62249765</v>
      </c>
    </row>
    <row r="109" spans="1:14">
      <c r="A109" s="23">
        <v>98</v>
      </c>
      <c r="B109" s="23" t="s">
        <v>133</v>
      </c>
      <c r="C109" s="137" t="s">
        <v>403</v>
      </c>
      <c r="D109" s="24" t="s">
        <v>13</v>
      </c>
      <c r="E109" s="24" t="s">
        <v>21</v>
      </c>
      <c r="F109" s="24" t="s">
        <v>10</v>
      </c>
      <c r="G109" s="24" t="s">
        <v>11</v>
      </c>
      <c r="H109" s="24" t="s">
        <v>12</v>
      </c>
      <c r="I109" s="24">
        <v>4</v>
      </c>
      <c r="J109" s="24">
        <v>10</v>
      </c>
      <c r="K109" s="28">
        <v>10000000</v>
      </c>
      <c r="L109" s="28">
        <v>54467236</v>
      </c>
      <c r="M109" s="23" t="s">
        <v>179</v>
      </c>
      <c r="N109" s="28">
        <v>1234692</v>
      </c>
    </row>
    <row r="110" spans="1:14">
      <c r="A110" s="23">
        <v>99</v>
      </c>
      <c r="B110" s="23" t="s">
        <v>134</v>
      </c>
      <c r="C110" s="137" t="s">
        <v>404</v>
      </c>
      <c r="D110" s="24" t="s">
        <v>13</v>
      </c>
      <c r="E110" s="24" t="s">
        <v>21</v>
      </c>
      <c r="F110" s="24" t="s">
        <v>10</v>
      </c>
      <c r="G110" s="24" t="s">
        <v>27</v>
      </c>
      <c r="H110" s="24" t="s">
        <v>12</v>
      </c>
      <c r="I110" s="24">
        <v>4</v>
      </c>
      <c r="J110" s="24">
        <v>10</v>
      </c>
      <c r="K110" s="28">
        <v>10000000</v>
      </c>
      <c r="L110" s="28">
        <v>17991607</v>
      </c>
      <c r="M110" s="23" t="s">
        <v>179</v>
      </c>
      <c r="N110" s="28">
        <v>174626</v>
      </c>
    </row>
    <row r="111" spans="1:14">
      <c r="A111" s="23">
        <v>100</v>
      </c>
      <c r="B111" s="23" t="s">
        <v>135</v>
      </c>
      <c r="C111" s="137" t="s">
        <v>405</v>
      </c>
      <c r="D111" s="24" t="s">
        <v>13</v>
      </c>
      <c r="E111" s="24" t="s">
        <v>21</v>
      </c>
      <c r="F111" s="24" t="s">
        <v>17</v>
      </c>
      <c r="G111" s="25" t="s">
        <v>23</v>
      </c>
      <c r="H111" s="24" t="s">
        <v>12</v>
      </c>
      <c r="I111" s="24">
        <v>5</v>
      </c>
      <c r="J111" s="24">
        <v>10</v>
      </c>
      <c r="K111" s="23" t="s">
        <v>141</v>
      </c>
      <c r="L111" s="23" t="s">
        <v>179</v>
      </c>
      <c r="M111" s="28">
        <v>24965127</v>
      </c>
      <c r="N111" s="28">
        <v>41129782</v>
      </c>
    </row>
    <row r="112" spans="1:14">
      <c r="A112" s="23">
        <v>101</v>
      </c>
      <c r="B112" s="23" t="s">
        <v>41</v>
      </c>
      <c r="C112" s="137" t="s">
        <v>362</v>
      </c>
      <c r="D112" s="24" t="s">
        <v>13</v>
      </c>
      <c r="E112" s="24" t="s">
        <v>9</v>
      </c>
      <c r="F112" s="24" t="s">
        <v>10</v>
      </c>
      <c r="G112" s="25" t="s">
        <v>27</v>
      </c>
      <c r="H112" s="24" t="s">
        <v>12</v>
      </c>
      <c r="I112" s="24">
        <v>6</v>
      </c>
      <c r="J112" s="24">
        <v>7</v>
      </c>
      <c r="K112" s="28">
        <v>1000000</v>
      </c>
      <c r="L112" s="28">
        <v>87347043</v>
      </c>
      <c r="M112" s="28">
        <v>50796112</v>
      </c>
      <c r="N112" s="28">
        <v>72757830</v>
      </c>
    </row>
    <row r="113" spans="1:14">
      <c r="A113" s="23">
        <v>102</v>
      </c>
      <c r="B113" s="23" t="s">
        <v>42</v>
      </c>
      <c r="C113" s="137" t="s">
        <v>346</v>
      </c>
      <c r="D113" s="24" t="s">
        <v>13</v>
      </c>
      <c r="E113" s="24" t="s">
        <v>25</v>
      </c>
      <c r="F113" s="24" t="s">
        <v>17</v>
      </c>
      <c r="G113" s="25" t="s">
        <v>18</v>
      </c>
      <c r="H113" s="24" t="s">
        <v>12</v>
      </c>
      <c r="I113" s="24">
        <v>9</v>
      </c>
      <c r="J113" s="24">
        <v>7</v>
      </c>
      <c r="K113" s="23" t="s">
        <v>141</v>
      </c>
      <c r="L113" s="23" t="s">
        <v>179</v>
      </c>
      <c r="M113" s="28">
        <v>38721754</v>
      </c>
      <c r="N113" s="28">
        <v>77230635</v>
      </c>
    </row>
    <row r="114" spans="1:14">
      <c r="A114" s="23">
        <v>103</v>
      </c>
      <c r="B114" s="23" t="s">
        <v>43</v>
      </c>
      <c r="C114" s="137" t="s">
        <v>349</v>
      </c>
      <c r="D114" s="24" t="s">
        <v>13</v>
      </c>
      <c r="E114" s="24" t="s">
        <v>21</v>
      </c>
      <c r="F114" s="24" t="s">
        <v>10</v>
      </c>
      <c r="G114" s="25" t="s">
        <v>27</v>
      </c>
      <c r="H114" s="24" t="s">
        <v>12</v>
      </c>
      <c r="I114" s="24">
        <v>5</v>
      </c>
      <c r="J114" s="24">
        <v>7</v>
      </c>
      <c r="K114" s="28">
        <v>10000000</v>
      </c>
      <c r="L114" s="28">
        <v>43538967</v>
      </c>
      <c r="M114" s="28">
        <v>5161300</v>
      </c>
      <c r="N114" s="28">
        <v>85417673</v>
      </c>
    </row>
    <row r="115" spans="1:14">
      <c r="A115" s="23">
        <v>104</v>
      </c>
      <c r="B115" s="23" t="s">
        <v>44</v>
      </c>
      <c r="C115" s="137" t="s">
        <v>344</v>
      </c>
      <c r="D115" s="24" t="s">
        <v>102</v>
      </c>
      <c r="E115" s="24" t="s">
        <v>21</v>
      </c>
      <c r="F115" s="24" t="s">
        <v>10</v>
      </c>
      <c r="G115" s="25" t="s">
        <v>27</v>
      </c>
      <c r="H115" s="24" t="s">
        <v>30</v>
      </c>
      <c r="I115" s="24">
        <v>6</v>
      </c>
      <c r="J115" s="24">
        <v>9</v>
      </c>
      <c r="K115" s="28">
        <v>1000000</v>
      </c>
      <c r="L115" s="28">
        <v>95899452</v>
      </c>
      <c r="M115" s="28">
        <v>2565664</v>
      </c>
      <c r="N115" s="28">
        <v>39602953</v>
      </c>
    </row>
    <row r="116" spans="1:14">
      <c r="A116" s="23">
        <v>105</v>
      </c>
      <c r="B116" s="23" t="s">
        <v>45</v>
      </c>
      <c r="C116" s="137" t="s">
        <v>320</v>
      </c>
      <c r="D116" s="24" t="s">
        <v>13</v>
      </c>
      <c r="E116" s="24" t="s">
        <v>21</v>
      </c>
      <c r="F116" s="24" t="s">
        <v>10</v>
      </c>
      <c r="G116" s="25" t="s">
        <v>27</v>
      </c>
      <c r="H116" s="24" t="s">
        <v>30</v>
      </c>
      <c r="I116" s="24">
        <v>6</v>
      </c>
      <c r="J116" s="24">
        <v>5</v>
      </c>
      <c r="K116" s="28">
        <v>1000000</v>
      </c>
      <c r="L116" s="28">
        <v>81347428</v>
      </c>
      <c r="M116" s="28">
        <v>10860215</v>
      </c>
      <c r="N116" s="28">
        <v>28637290</v>
      </c>
    </row>
    <row r="117" spans="1:14">
      <c r="A117" s="23">
        <v>106</v>
      </c>
      <c r="B117" s="23" t="s">
        <v>46</v>
      </c>
      <c r="C117" s="137" t="s">
        <v>377</v>
      </c>
      <c r="D117" s="24" t="s">
        <v>13</v>
      </c>
      <c r="E117" s="24" t="s">
        <v>25</v>
      </c>
      <c r="F117" s="24" t="s">
        <v>10</v>
      </c>
      <c r="G117" s="25" t="s">
        <v>27</v>
      </c>
      <c r="H117" s="24" t="s">
        <v>30</v>
      </c>
      <c r="I117" s="24">
        <v>8</v>
      </c>
      <c r="J117" s="24">
        <v>10</v>
      </c>
      <c r="K117" s="28">
        <v>30000000</v>
      </c>
      <c r="L117" s="28">
        <v>52442860</v>
      </c>
      <c r="M117" s="28">
        <v>2659881</v>
      </c>
      <c r="N117" s="28">
        <v>80287314</v>
      </c>
    </row>
    <row r="118" spans="1:14">
      <c r="A118" s="23">
        <v>107</v>
      </c>
      <c r="B118" s="23" t="s">
        <v>47</v>
      </c>
      <c r="C118" s="137" t="s">
        <v>374</v>
      </c>
      <c r="D118" s="24" t="s">
        <v>13</v>
      </c>
      <c r="E118" s="24" t="s">
        <v>21</v>
      </c>
      <c r="F118" s="24" t="s">
        <v>10</v>
      </c>
      <c r="G118" s="25" t="s">
        <v>27</v>
      </c>
      <c r="H118" s="24" t="s">
        <v>30</v>
      </c>
      <c r="I118" s="24">
        <v>7</v>
      </c>
      <c r="J118" s="24">
        <v>8</v>
      </c>
      <c r="K118" s="28">
        <v>10000000</v>
      </c>
      <c r="L118" s="28">
        <v>96199053</v>
      </c>
      <c r="M118" s="28">
        <v>31746355</v>
      </c>
      <c r="N118" s="28">
        <v>80063468</v>
      </c>
    </row>
    <row r="119" spans="1:14">
      <c r="A119" s="23">
        <v>108</v>
      </c>
      <c r="B119" s="23" t="s">
        <v>48</v>
      </c>
      <c r="C119" s="137" t="s">
        <v>340</v>
      </c>
      <c r="D119" s="24" t="s">
        <v>13</v>
      </c>
      <c r="E119" s="24" t="s">
        <v>21</v>
      </c>
      <c r="F119" s="24" t="s">
        <v>10</v>
      </c>
      <c r="G119" s="25" t="s">
        <v>27</v>
      </c>
      <c r="H119" s="24" t="s">
        <v>12</v>
      </c>
      <c r="I119" s="24">
        <v>9</v>
      </c>
      <c r="J119" s="24">
        <v>10</v>
      </c>
      <c r="K119" s="28">
        <v>1000000</v>
      </c>
      <c r="L119" s="28">
        <v>71783742</v>
      </c>
      <c r="M119" s="28">
        <v>64667814</v>
      </c>
      <c r="N119" s="28">
        <v>70653180</v>
      </c>
    </row>
    <row r="120" spans="1:14">
      <c r="A120" s="23">
        <v>109</v>
      </c>
      <c r="B120" s="23" t="s">
        <v>49</v>
      </c>
      <c r="C120" s="137" t="s">
        <v>371</v>
      </c>
      <c r="D120" s="24" t="s">
        <v>13</v>
      </c>
      <c r="E120" s="24" t="s">
        <v>25</v>
      </c>
      <c r="F120" s="24" t="s">
        <v>10</v>
      </c>
      <c r="G120" s="25" t="s">
        <v>27</v>
      </c>
      <c r="H120" s="24" t="s">
        <v>12</v>
      </c>
      <c r="I120" s="24">
        <v>3</v>
      </c>
      <c r="J120" s="24">
        <v>5</v>
      </c>
      <c r="K120" s="28">
        <v>90000000</v>
      </c>
      <c r="L120" s="28">
        <v>94913746</v>
      </c>
      <c r="M120" s="28">
        <v>74083223</v>
      </c>
      <c r="N120" s="28">
        <v>31617670</v>
      </c>
    </row>
    <row r="121" spans="1:14">
      <c r="A121" s="23">
        <v>110</v>
      </c>
      <c r="B121" s="23" t="s">
        <v>50</v>
      </c>
      <c r="C121" s="137" t="s">
        <v>359</v>
      </c>
      <c r="D121" s="24" t="s">
        <v>13</v>
      </c>
      <c r="E121" s="24" t="s">
        <v>25</v>
      </c>
      <c r="F121" s="24" t="s">
        <v>17</v>
      </c>
      <c r="G121" s="25" t="s">
        <v>23</v>
      </c>
      <c r="H121" s="24" t="s">
        <v>12</v>
      </c>
      <c r="I121" s="24">
        <v>6</v>
      </c>
      <c r="J121" s="24">
        <v>7</v>
      </c>
      <c r="K121" s="23" t="s">
        <v>141</v>
      </c>
      <c r="L121" s="23" t="s">
        <v>179</v>
      </c>
      <c r="M121" s="28">
        <v>67753952</v>
      </c>
      <c r="N121" s="28">
        <v>77205812</v>
      </c>
    </row>
    <row r="122" spans="1:14">
      <c r="A122" s="23">
        <v>111</v>
      </c>
      <c r="B122" s="23" t="s">
        <v>51</v>
      </c>
      <c r="C122" s="137" t="s">
        <v>397</v>
      </c>
      <c r="D122" s="24" t="s">
        <v>13</v>
      </c>
      <c r="E122" s="24" t="s">
        <v>21</v>
      </c>
      <c r="F122" s="24" t="s">
        <v>10</v>
      </c>
      <c r="G122" s="25" t="s">
        <v>27</v>
      </c>
      <c r="H122" s="24" t="s">
        <v>30</v>
      </c>
      <c r="I122" s="24">
        <v>9</v>
      </c>
      <c r="J122" s="24">
        <v>8</v>
      </c>
      <c r="K122" s="28">
        <v>30000000</v>
      </c>
      <c r="L122" s="28">
        <v>33477783</v>
      </c>
      <c r="M122" s="23" t="s">
        <v>179</v>
      </c>
      <c r="N122" s="28">
        <v>27651635</v>
      </c>
    </row>
    <row r="123" spans="1:14">
      <c r="A123" s="23">
        <v>112</v>
      </c>
      <c r="B123" s="23" t="s">
        <v>52</v>
      </c>
      <c r="C123" s="137" t="s">
        <v>401</v>
      </c>
      <c r="D123" s="24" t="s">
        <v>13</v>
      </c>
      <c r="E123" s="24" t="s">
        <v>9</v>
      </c>
      <c r="F123" s="24" t="s">
        <v>10</v>
      </c>
      <c r="G123" s="25" t="s">
        <v>11</v>
      </c>
      <c r="H123" s="24" t="s">
        <v>30</v>
      </c>
      <c r="I123" s="24">
        <v>8</v>
      </c>
      <c r="J123" s="24">
        <v>9</v>
      </c>
      <c r="K123" s="28">
        <v>50000000</v>
      </c>
      <c r="L123" s="28">
        <v>2702447</v>
      </c>
      <c r="M123" s="23" t="s">
        <v>179</v>
      </c>
      <c r="N123" s="28">
        <v>44671760</v>
      </c>
    </row>
    <row r="124" spans="1:14">
      <c r="A124" s="23">
        <v>113</v>
      </c>
      <c r="B124" s="23" t="s">
        <v>53</v>
      </c>
      <c r="C124" s="137" t="s">
        <v>396</v>
      </c>
      <c r="D124" s="24" t="s">
        <v>32</v>
      </c>
      <c r="E124" s="24" t="s">
        <v>21</v>
      </c>
      <c r="F124" s="24" t="s">
        <v>10</v>
      </c>
      <c r="G124" s="25" t="s">
        <v>11</v>
      </c>
      <c r="H124" s="24" t="s">
        <v>12</v>
      </c>
      <c r="I124" s="24">
        <v>8</v>
      </c>
      <c r="J124" s="24">
        <v>6</v>
      </c>
      <c r="K124" s="28">
        <v>50000000</v>
      </c>
      <c r="L124" s="28">
        <v>70787848</v>
      </c>
      <c r="M124" s="28">
        <v>33368202</v>
      </c>
      <c r="N124" s="28">
        <v>43277527</v>
      </c>
    </row>
    <row r="125" spans="1:14">
      <c r="A125" s="23">
        <v>114</v>
      </c>
      <c r="B125" s="23" t="s">
        <v>57</v>
      </c>
      <c r="C125" s="137" t="s">
        <v>306</v>
      </c>
      <c r="D125" s="24" t="s">
        <v>13</v>
      </c>
      <c r="E125" s="24" t="s">
        <v>21</v>
      </c>
      <c r="F125" s="24" t="s">
        <v>17</v>
      </c>
      <c r="G125" s="25" t="s">
        <v>23</v>
      </c>
      <c r="H125" s="24" t="s">
        <v>30</v>
      </c>
      <c r="I125" s="24">
        <v>6</v>
      </c>
      <c r="J125" s="24">
        <v>9</v>
      </c>
      <c r="K125" s="23" t="s">
        <v>141</v>
      </c>
      <c r="L125" s="23" t="s">
        <v>179</v>
      </c>
      <c r="M125" s="28">
        <v>46563396</v>
      </c>
      <c r="N125" s="28">
        <v>63313535</v>
      </c>
    </row>
    <row r="126" spans="1:14">
      <c r="A126" s="23">
        <v>115</v>
      </c>
      <c r="B126" s="23" t="s">
        <v>58</v>
      </c>
      <c r="C126" s="137" t="s">
        <v>386</v>
      </c>
      <c r="D126" s="24" t="s">
        <v>13</v>
      </c>
      <c r="E126" s="24" t="s">
        <v>21</v>
      </c>
      <c r="F126" s="24" t="s">
        <v>10</v>
      </c>
      <c r="G126" s="25" t="s">
        <v>11</v>
      </c>
      <c r="H126" s="24" t="s">
        <v>12</v>
      </c>
      <c r="I126" s="24">
        <v>3</v>
      </c>
      <c r="J126" s="24">
        <v>8</v>
      </c>
      <c r="K126" s="28">
        <v>20000000</v>
      </c>
      <c r="L126" s="28">
        <v>40064620</v>
      </c>
      <c r="M126" s="28">
        <v>98137438</v>
      </c>
      <c r="N126" s="23" t="s">
        <v>179</v>
      </c>
    </row>
    <row r="127" spans="1:14">
      <c r="A127" s="23">
        <v>116</v>
      </c>
      <c r="B127" s="23" t="s">
        <v>59</v>
      </c>
      <c r="C127" s="137" t="s">
        <v>375</v>
      </c>
      <c r="D127" s="24" t="s">
        <v>13</v>
      </c>
      <c r="E127" s="24" t="s">
        <v>21</v>
      </c>
      <c r="F127" s="24" t="s">
        <v>10</v>
      </c>
      <c r="G127" s="25" t="s">
        <v>27</v>
      </c>
      <c r="H127" s="24" t="s">
        <v>12</v>
      </c>
      <c r="I127" s="24">
        <v>6</v>
      </c>
      <c r="J127" s="24">
        <v>5</v>
      </c>
      <c r="K127" s="28">
        <v>30000000</v>
      </c>
      <c r="L127" s="28">
        <v>45289360</v>
      </c>
      <c r="M127" s="23" t="s">
        <v>179</v>
      </c>
      <c r="N127" s="28">
        <v>46980526</v>
      </c>
    </row>
    <row r="128" spans="1:14">
      <c r="A128" s="23">
        <v>117</v>
      </c>
      <c r="B128" s="23" t="s">
        <v>60</v>
      </c>
      <c r="C128" s="137" t="s">
        <v>309</v>
      </c>
      <c r="D128" s="24" t="s">
        <v>13</v>
      </c>
      <c r="E128" s="24" t="s">
        <v>25</v>
      </c>
      <c r="F128" s="24" t="s">
        <v>10</v>
      </c>
      <c r="G128" s="25" t="s">
        <v>27</v>
      </c>
      <c r="H128" s="24" t="s">
        <v>12</v>
      </c>
      <c r="I128" s="24">
        <v>6</v>
      </c>
      <c r="J128" s="24">
        <v>6</v>
      </c>
      <c r="K128" s="28">
        <v>30000000</v>
      </c>
      <c r="L128" s="28">
        <v>34397393</v>
      </c>
      <c r="M128" s="28">
        <v>72192037</v>
      </c>
      <c r="N128" s="28">
        <v>21247716</v>
      </c>
    </row>
    <row r="129" spans="1:14">
      <c r="A129" s="23">
        <v>118</v>
      </c>
      <c r="B129" s="23" t="s">
        <v>61</v>
      </c>
      <c r="C129" s="137" t="s">
        <v>331</v>
      </c>
      <c r="D129" s="24" t="s">
        <v>13</v>
      </c>
      <c r="E129" s="24" t="s">
        <v>21</v>
      </c>
      <c r="F129" s="24" t="s">
        <v>17</v>
      </c>
      <c r="G129" s="25" t="s">
        <v>18</v>
      </c>
      <c r="H129" s="24" t="s">
        <v>30</v>
      </c>
      <c r="I129" s="24">
        <v>8</v>
      </c>
      <c r="J129" s="24">
        <v>6</v>
      </c>
      <c r="K129" s="23" t="s">
        <v>141</v>
      </c>
      <c r="L129" s="23" t="s">
        <v>179</v>
      </c>
      <c r="M129" s="28">
        <v>69870077</v>
      </c>
      <c r="N129" s="28">
        <v>98441580</v>
      </c>
    </row>
    <row r="130" spans="1:14">
      <c r="A130" s="23">
        <v>119</v>
      </c>
      <c r="B130" s="23" t="s">
        <v>62</v>
      </c>
      <c r="C130" s="137" t="s">
        <v>326</v>
      </c>
      <c r="D130" s="24" t="s">
        <v>13</v>
      </c>
      <c r="E130" s="24" t="s">
        <v>25</v>
      </c>
      <c r="F130" s="24" t="s">
        <v>10</v>
      </c>
      <c r="G130" s="25" t="s">
        <v>27</v>
      </c>
      <c r="H130" s="24" t="s">
        <v>12</v>
      </c>
      <c r="I130" s="24">
        <v>5</v>
      </c>
      <c r="J130" s="24">
        <v>5</v>
      </c>
      <c r="K130" s="28">
        <v>1000000</v>
      </c>
      <c r="L130" s="28">
        <v>34126405</v>
      </c>
      <c r="M130" s="28">
        <v>88265167</v>
      </c>
      <c r="N130" s="28">
        <v>56002928</v>
      </c>
    </row>
    <row r="131" spans="1:14">
      <c r="A131" s="23">
        <v>120</v>
      </c>
      <c r="B131" s="23" t="s">
        <v>63</v>
      </c>
      <c r="C131" s="137" t="s">
        <v>398</v>
      </c>
      <c r="D131" s="24" t="s">
        <v>13</v>
      </c>
      <c r="E131" s="24" t="s">
        <v>21</v>
      </c>
      <c r="F131" s="24" t="s">
        <v>10</v>
      </c>
      <c r="G131" s="25" t="s">
        <v>11</v>
      </c>
      <c r="H131" s="24" t="s">
        <v>12</v>
      </c>
      <c r="I131" s="24">
        <v>9</v>
      </c>
      <c r="J131" s="24">
        <v>9</v>
      </c>
      <c r="K131" s="28">
        <v>1000000</v>
      </c>
      <c r="L131" s="28">
        <v>53008255</v>
      </c>
      <c r="M131" s="28">
        <v>46917910</v>
      </c>
      <c r="N131" s="28">
        <v>47557281</v>
      </c>
    </row>
    <row r="132" spans="1:14">
      <c r="A132" s="23">
        <v>121</v>
      </c>
      <c r="B132" s="23" t="s">
        <v>64</v>
      </c>
      <c r="C132" s="137" t="s">
        <v>321</v>
      </c>
      <c r="D132" s="24" t="s">
        <v>13</v>
      </c>
      <c r="E132" s="24" t="s">
        <v>21</v>
      </c>
      <c r="F132" s="24" t="s">
        <v>17</v>
      </c>
      <c r="G132" s="25" t="s">
        <v>18</v>
      </c>
      <c r="H132" s="24" t="s">
        <v>12</v>
      </c>
      <c r="I132" s="24">
        <v>4</v>
      </c>
      <c r="J132" s="24">
        <v>6</v>
      </c>
      <c r="K132" s="23" t="s">
        <v>141</v>
      </c>
      <c r="L132" s="23" t="s">
        <v>179</v>
      </c>
      <c r="M132" s="23" t="s">
        <v>179</v>
      </c>
      <c r="N132" s="28">
        <v>22675260</v>
      </c>
    </row>
    <row r="133" spans="1:14">
      <c r="A133" s="23">
        <v>122</v>
      </c>
      <c r="B133" s="23" t="s">
        <v>65</v>
      </c>
      <c r="C133" s="137" t="s">
        <v>388</v>
      </c>
      <c r="D133" s="24" t="s">
        <v>13</v>
      </c>
      <c r="E133" s="24" t="s">
        <v>21</v>
      </c>
      <c r="F133" s="24" t="s">
        <v>10</v>
      </c>
      <c r="G133" s="25" t="s">
        <v>11</v>
      </c>
      <c r="H133" s="24" t="s">
        <v>12</v>
      </c>
      <c r="I133" s="24">
        <v>4</v>
      </c>
      <c r="J133" s="24">
        <v>10</v>
      </c>
      <c r="K133" s="28">
        <v>100000000</v>
      </c>
      <c r="L133" s="28">
        <v>94688720</v>
      </c>
      <c r="M133" s="28">
        <v>86323763</v>
      </c>
      <c r="N133" s="28">
        <v>20929788</v>
      </c>
    </row>
    <row r="134" spans="1:14">
      <c r="A134" s="23">
        <v>123</v>
      </c>
      <c r="B134" s="23" t="s">
        <v>66</v>
      </c>
      <c r="C134" s="137" t="s">
        <v>383</v>
      </c>
      <c r="D134" s="24" t="s">
        <v>13</v>
      </c>
      <c r="E134" s="24" t="s">
        <v>54</v>
      </c>
      <c r="F134" s="24" t="s">
        <v>55</v>
      </c>
      <c r="G134" s="25" t="s">
        <v>56</v>
      </c>
      <c r="H134" s="24" t="s">
        <v>12</v>
      </c>
      <c r="I134" s="24">
        <v>9</v>
      </c>
      <c r="J134" s="24">
        <v>9</v>
      </c>
      <c r="K134" s="23" t="s">
        <v>141</v>
      </c>
      <c r="L134" s="23" t="s">
        <v>179</v>
      </c>
      <c r="M134" s="28">
        <v>96750826</v>
      </c>
      <c r="N134" s="28">
        <v>31435769</v>
      </c>
    </row>
    <row r="135" spans="1:14">
      <c r="A135" s="23">
        <v>124</v>
      </c>
      <c r="B135" s="23" t="s">
        <v>67</v>
      </c>
      <c r="C135" s="137" t="s">
        <v>366</v>
      </c>
      <c r="D135" s="24" t="s">
        <v>13</v>
      </c>
      <c r="E135" s="24" t="s">
        <v>25</v>
      </c>
      <c r="F135" s="24" t="s">
        <v>10</v>
      </c>
      <c r="G135" s="25" t="s">
        <v>11</v>
      </c>
      <c r="H135" s="24" t="s">
        <v>12</v>
      </c>
      <c r="I135" s="24">
        <v>6</v>
      </c>
      <c r="J135" s="24">
        <v>5</v>
      </c>
      <c r="K135" s="28">
        <v>10000000</v>
      </c>
      <c r="L135" s="28">
        <v>89686683</v>
      </c>
      <c r="M135" s="28">
        <v>62448793</v>
      </c>
      <c r="N135" s="28">
        <v>26812600</v>
      </c>
    </row>
    <row r="136" spans="1:14">
      <c r="A136" s="23">
        <v>125</v>
      </c>
      <c r="B136" s="23" t="s">
        <v>68</v>
      </c>
      <c r="C136" s="137" t="s">
        <v>324</v>
      </c>
      <c r="D136" s="24" t="s">
        <v>13</v>
      </c>
      <c r="E136" s="24" t="s">
        <v>21</v>
      </c>
      <c r="F136" s="24" t="s">
        <v>10</v>
      </c>
      <c r="G136" s="25" t="s">
        <v>27</v>
      </c>
      <c r="H136" s="24" t="s">
        <v>12</v>
      </c>
      <c r="I136" s="24">
        <v>8</v>
      </c>
      <c r="J136" s="24">
        <v>8</v>
      </c>
      <c r="K136" s="28">
        <v>30000000</v>
      </c>
      <c r="L136" s="28">
        <v>32890743</v>
      </c>
      <c r="M136" s="23" t="s">
        <v>179</v>
      </c>
      <c r="N136" s="28">
        <v>39864620</v>
      </c>
    </row>
    <row r="137" spans="1:14">
      <c r="A137" s="23">
        <v>126</v>
      </c>
      <c r="B137" s="23" t="s">
        <v>69</v>
      </c>
      <c r="C137" s="137" t="s">
        <v>402</v>
      </c>
      <c r="D137" s="24" t="s">
        <v>13</v>
      </c>
      <c r="E137" s="24" t="s">
        <v>25</v>
      </c>
      <c r="F137" s="24" t="s">
        <v>10</v>
      </c>
      <c r="G137" s="25" t="s">
        <v>11</v>
      </c>
      <c r="H137" s="24" t="s">
        <v>12</v>
      </c>
      <c r="I137" s="24">
        <v>6</v>
      </c>
      <c r="J137" s="24">
        <v>10</v>
      </c>
      <c r="K137" s="28">
        <v>10000000</v>
      </c>
      <c r="L137" s="28">
        <v>32370896</v>
      </c>
      <c r="M137" s="28">
        <v>96066942</v>
      </c>
      <c r="N137" s="28">
        <v>3767736</v>
      </c>
    </row>
    <row r="138" spans="1:14">
      <c r="A138" s="23">
        <v>127</v>
      </c>
      <c r="B138" s="23" t="s">
        <v>70</v>
      </c>
      <c r="C138" s="137" t="s">
        <v>393</v>
      </c>
      <c r="D138" s="24" t="s">
        <v>13</v>
      </c>
      <c r="E138" s="24" t="s">
        <v>25</v>
      </c>
      <c r="F138" s="24" t="s">
        <v>17</v>
      </c>
      <c r="G138" s="25" t="s">
        <v>23</v>
      </c>
      <c r="H138" s="24" t="s">
        <v>12</v>
      </c>
      <c r="I138" s="24">
        <v>7</v>
      </c>
      <c r="J138" s="24">
        <v>10</v>
      </c>
      <c r="K138" s="23" t="s">
        <v>141</v>
      </c>
      <c r="L138" s="23" t="s">
        <v>179</v>
      </c>
      <c r="M138" s="28">
        <v>24514428</v>
      </c>
      <c r="N138" s="28">
        <v>27890231</v>
      </c>
    </row>
    <row r="139" spans="1:14">
      <c r="A139" s="23">
        <v>128</v>
      </c>
      <c r="B139" s="23" t="s">
        <v>71</v>
      </c>
      <c r="C139" s="137" t="s">
        <v>381</v>
      </c>
      <c r="D139" s="24" t="s">
        <v>13</v>
      </c>
      <c r="E139" s="24" t="s">
        <v>21</v>
      </c>
      <c r="F139" s="24" t="s">
        <v>10</v>
      </c>
      <c r="G139" s="25" t="s">
        <v>11</v>
      </c>
      <c r="H139" s="24" t="s">
        <v>30</v>
      </c>
      <c r="I139" s="24">
        <v>5</v>
      </c>
      <c r="J139" s="24">
        <v>10</v>
      </c>
      <c r="K139" s="28">
        <v>10000000</v>
      </c>
      <c r="L139" s="28">
        <v>31953589</v>
      </c>
      <c r="M139" s="28">
        <v>40068224</v>
      </c>
      <c r="N139" s="28">
        <v>80951038</v>
      </c>
    </row>
    <row r="140" spans="1:14">
      <c r="A140" s="23">
        <v>129</v>
      </c>
      <c r="B140" s="23" t="s">
        <v>73</v>
      </c>
      <c r="C140" s="137" t="s">
        <v>363</v>
      </c>
      <c r="D140" s="24" t="s">
        <v>32</v>
      </c>
      <c r="E140" s="24" t="s">
        <v>21</v>
      </c>
      <c r="F140" s="24" t="s">
        <v>10</v>
      </c>
      <c r="G140" s="25" t="s">
        <v>11</v>
      </c>
      <c r="H140" s="24" t="s">
        <v>12</v>
      </c>
      <c r="I140" s="24">
        <v>3</v>
      </c>
      <c r="J140" s="24">
        <v>5</v>
      </c>
      <c r="K140" s="28">
        <v>50000000</v>
      </c>
      <c r="L140" s="28">
        <v>78205651</v>
      </c>
      <c r="M140" s="28">
        <v>62381180</v>
      </c>
      <c r="N140" s="28">
        <v>6508585</v>
      </c>
    </row>
    <row r="141" spans="1:14">
      <c r="A141" s="23">
        <v>130</v>
      </c>
      <c r="B141" s="23" t="s">
        <v>74</v>
      </c>
      <c r="C141" s="137" t="s">
        <v>312</v>
      </c>
      <c r="D141" s="24" t="s">
        <v>13</v>
      </c>
      <c r="E141" s="24" t="s">
        <v>15</v>
      </c>
      <c r="F141" s="24" t="s">
        <v>17</v>
      </c>
      <c r="G141" s="25" t="s">
        <v>18</v>
      </c>
      <c r="H141" s="24" t="s">
        <v>12</v>
      </c>
      <c r="I141" s="24">
        <v>7</v>
      </c>
      <c r="J141" s="24">
        <v>7</v>
      </c>
      <c r="K141" s="23" t="s">
        <v>141</v>
      </c>
      <c r="L141" s="23" t="s">
        <v>179</v>
      </c>
      <c r="M141" s="28">
        <v>34584522</v>
      </c>
      <c r="N141" s="23" t="s">
        <v>179</v>
      </c>
    </row>
    <row r="142" spans="1:14">
      <c r="A142" s="23">
        <v>131</v>
      </c>
      <c r="B142" s="23" t="s">
        <v>75</v>
      </c>
      <c r="C142" s="137" t="s">
        <v>404</v>
      </c>
      <c r="D142" s="24" t="s">
        <v>96</v>
      </c>
      <c r="E142" s="24" t="s">
        <v>21</v>
      </c>
      <c r="F142" s="24" t="s">
        <v>55</v>
      </c>
      <c r="G142" s="25" t="s">
        <v>80</v>
      </c>
      <c r="H142" s="24" t="s">
        <v>12</v>
      </c>
      <c r="I142" s="24">
        <v>5</v>
      </c>
      <c r="J142" s="24">
        <v>5</v>
      </c>
      <c r="K142" s="23" t="s">
        <v>141</v>
      </c>
      <c r="L142" s="23" t="s">
        <v>179</v>
      </c>
      <c r="M142" s="28">
        <v>76942676</v>
      </c>
      <c r="N142" s="28">
        <v>74216691</v>
      </c>
    </row>
    <row r="143" spans="1:14">
      <c r="A143" s="23">
        <v>132</v>
      </c>
      <c r="B143" s="23" t="s">
        <v>76</v>
      </c>
      <c r="C143" s="137" t="s">
        <v>399</v>
      </c>
      <c r="D143" s="24" t="s">
        <v>32</v>
      </c>
      <c r="E143" s="24" t="s">
        <v>25</v>
      </c>
      <c r="F143" s="24" t="s">
        <v>10</v>
      </c>
      <c r="G143" s="25" t="s">
        <v>27</v>
      </c>
      <c r="H143" s="24" t="s">
        <v>30</v>
      </c>
      <c r="I143" s="24">
        <v>9</v>
      </c>
      <c r="J143" s="24">
        <v>4</v>
      </c>
      <c r="K143" s="28">
        <v>5000000</v>
      </c>
      <c r="L143" s="28">
        <v>70270294</v>
      </c>
      <c r="M143" s="28">
        <v>19588762</v>
      </c>
      <c r="N143" s="28">
        <v>78634577</v>
      </c>
    </row>
    <row r="144" spans="1:14">
      <c r="A144" s="23">
        <v>133</v>
      </c>
      <c r="B144" s="23" t="s">
        <v>78</v>
      </c>
      <c r="C144" s="137" t="s">
        <v>353</v>
      </c>
      <c r="D144" s="24" t="s">
        <v>72</v>
      </c>
      <c r="E144" s="24" t="s">
        <v>15</v>
      </c>
      <c r="F144" s="24" t="s">
        <v>17</v>
      </c>
      <c r="G144" s="25" t="s">
        <v>18</v>
      </c>
      <c r="H144" s="24" t="s">
        <v>12</v>
      </c>
      <c r="I144" s="24">
        <v>6</v>
      </c>
      <c r="J144" s="24">
        <v>7</v>
      </c>
      <c r="K144" s="23" t="s">
        <v>141</v>
      </c>
      <c r="L144" s="23" t="s">
        <v>179</v>
      </c>
      <c r="M144" s="28">
        <v>85955846</v>
      </c>
      <c r="N144" s="28">
        <v>25891596</v>
      </c>
    </row>
    <row r="145" spans="1:14">
      <c r="A145" s="23">
        <v>134</v>
      </c>
      <c r="B145" s="23" t="s">
        <v>79</v>
      </c>
      <c r="C145" s="137" t="s">
        <v>341</v>
      </c>
      <c r="D145" s="24" t="s">
        <v>13</v>
      </c>
      <c r="E145" s="24" t="s">
        <v>15</v>
      </c>
      <c r="F145" s="24" t="s">
        <v>10</v>
      </c>
      <c r="G145" s="25" t="s">
        <v>27</v>
      </c>
      <c r="H145" s="24" t="s">
        <v>30</v>
      </c>
      <c r="I145" s="24">
        <v>7</v>
      </c>
      <c r="J145" s="24">
        <v>9</v>
      </c>
      <c r="K145" s="28">
        <v>20000000</v>
      </c>
      <c r="L145" s="28">
        <v>62745331</v>
      </c>
      <c r="M145" s="28">
        <v>39843357</v>
      </c>
      <c r="N145" s="28">
        <v>64840967</v>
      </c>
    </row>
    <row r="146" spans="1:14">
      <c r="A146" s="23">
        <v>135</v>
      </c>
      <c r="B146" s="23" t="s">
        <v>81</v>
      </c>
      <c r="C146" s="137" t="s">
        <v>358</v>
      </c>
      <c r="D146" s="24" t="s">
        <v>13</v>
      </c>
      <c r="E146" s="24" t="s">
        <v>21</v>
      </c>
      <c r="F146" s="24" t="s">
        <v>17</v>
      </c>
      <c r="G146" s="25" t="s">
        <v>23</v>
      </c>
      <c r="H146" s="24" t="s">
        <v>12</v>
      </c>
      <c r="I146" s="24">
        <v>5</v>
      </c>
      <c r="J146" s="24">
        <v>5</v>
      </c>
      <c r="K146" s="23" t="s">
        <v>141</v>
      </c>
      <c r="L146" s="23" t="s">
        <v>179</v>
      </c>
      <c r="M146" s="28">
        <v>82583322</v>
      </c>
      <c r="N146" s="28">
        <v>809058</v>
      </c>
    </row>
    <row r="147" spans="1:14">
      <c r="A147" s="23">
        <v>136</v>
      </c>
      <c r="B147" s="23" t="s">
        <v>82</v>
      </c>
      <c r="C147" s="137" t="s">
        <v>354</v>
      </c>
      <c r="D147" s="24" t="s">
        <v>13</v>
      </c>
      <c r="E147" s="24" t="s">
        <v>21</v>
      </c>
      <c r="F147" s="24" t="s">
        <v>10</v>
      </c>
      <c r="G147" s="25" t="s">
        <v>27</v>
      </c>
      <c r="H147" s="24" t="s">
        <v>30</v>
      </c>
      <c r="I147" s="24">
        <v>4</v>
      </c>
      <c r="J147" s="24">
        <v>10</v>
      </c>
      <c r="K147" s="28">
        <v>10000000</v>
      </c>
      <c r="L147" s="28">
        <v>59890317</v>
      </c>
      <c r="M147" s="28">
        <v>42451842</v>
      </c>
      <c r="N147" s="23" t="s">
        <v>179</v>
      </c>
    </row>
    <row r="148" spans="1:14">
      <c r="A148" s="23">
        <v>137</v>
      </c>
      <c r="B148" s="23" t="s">
        <v>83</v>
      </c>
      <c r="C148" s="137" t="s">
        <v>403</v>
      </c>
      <c r="D148" s="24" t="s">
        <v>28</v>
      </c>
      <c r="E148" s="24" t="s">
        <v>15</v>
      </c>
      <c r="F148" s="24" t="s">
        <v>10</v>
      </c>
      <c r="G148" s="25" t="s">
        <v>11</v>
      </c>
      <c r="H148" s="24" t="s">
        <v>12</v>
      </c>
      <c r="I148" s="24">
        <v>7</v>
      </c>
      <c r="J148" s="24">
        <v>7</v>
      </c>
      <c r="K148" s="28">
        <v>10000000</v>
      </c>
      <c r="L148" s="28">
        <v>97449662</v>
      </c>
      <c r="M148" s="28">
        <v>49624160</v>
      </c>
      <c r="N148" s="28">
        <v>17854677</v>
      </c>
    </row>
    <row r="149" spans="1:14">
      <c r="A149" s="23">
        <v>138</v>
      </c>
      <c r="B149" s="23" t="s">
        <v>84</v>
      </c>
      <c r="C149" s="137" t="s">
        <v>367</v>
      </c>
      <c r="D149" s="24" t="s">
        <v>13</v>
      </c>
      <c r="E149" s="24" t="s">
        <v>9</v>
      </c>
      <c r="F149" s="24" t="s">
        <v>17</v>
      </c>
      <c r="G149" s="25" t="s">
        <v>23</v>
      </c>
      <c r="H149" s="24" t="s">
        <v>12</v>
      </c>
      <c r="I149" s="24">
        <v>3</v>
      </c>
      <c r="J149" s="24">
        <v>6</v>
      </c>
      <c r="K149" s="23" t="s">
        <v>141</v>
      </c>
      <c r="L149" s="23" t="s">
        <v>179</v>
      </c>
      <c r="M149" s="28">
        <v>44422091</v>
      </c>
      <c r="N149" s="28">
        <v>8898260</v>
      </c>
    </row>
    <row r="150" spans="1:14">
      <c r="A150" s="23">
        <v>139</v>
      </c>
      <c r="B150" s="23" t="s">
        <v>85</v>
      </c>
      <c r="C150" s="137" t="s">
        <v>334</v>
      </c>
      <c r="D150" s="24" t="s">
        <v>13</v>
      </c>
      <c r="E150" s="24" t="s">
        <v>21</v>
      </c>
      <c r="F150" s="24" t="s">
        <v>17</v>
      </c>
      <c r="G150" s="25" t="s">
        <v>18</v>
      </c>
      <c r="H150" s="24" t="s">
        <v>12</v>
      </c>
      <c r="I150" s="24">
        <v>3</v>
      </c>
      <c r="J150" s="24">
        <v>6</v>
      </c>
      <c r="K150" s="23" t="s">
        <v>141</v>
      </c>
      <c r="L150" s="23" t="s">
        <v>179</v>
      </c>
      <c r="M150" s="23" t="s">
        <v>179</v>
      </c>
      <c r="N150" s="28">
        <v>63436099</v>
      </c>
    </row>
    <row r="151" spans="1:14">
      <c r="A151" s="23">
        <v>140</v>
      </c>
      <c r="B151" s="23" t="s">
        <v>86</v>
      </c>
      <c r="C151" s="137" t="s">
        <v>373</v>
      </c>
      <c r="D151" s="24" t="s">
        <v>89</v>
      </c>
      <c r="E151" s="24" t="s">
        <v>21</v>
      </c>
      <c r="F151" s="24" t="s">
        <v>10</v>
      </c>
      <c r="G151" s="25" t="s">
        <v>11</v>
      </c>
      <c r="H151" s="24" t="s">
        <v>30</v>
      </c>
      <c r="I151" s="24">
        <v>7</v>
      </c>
      <c r="J151" s="24">
        <v>10</v>
      </c>
      <c r="K151" s="28">
        <v>10000000</v>
      </c>
      <c r="L151" s="28">
        <v>99989764</v>
      </c>
      <c r="M151" s="28">
        <v>8030175</v>
      </c>
      <c r="N151" s="28">
        <v>37676206</v>
      </c>
    </row>
    <row r="152" spans="1:14">
      <c r="A152" s="23">
        <v>141</v>
      </c>
      <c r="B152" s="23" t="s">
        <v>88</v>
      </c>
      <c r="C152" s="137" t="s">
        <v>364</v>
      </c>
      <c r="D152" s="24" t="s">
        <v>13</v>
      </c>
      <c r="E152" s="24" t="s">
        <v>21</v>
      </c>
      <c r="F152" s="24" t="s">
        <v>17</v>
      </c>
      <c r="G152" s="25" t="s">
        <v>18</v>
      </c>
      <c r="H152" s="24" t="s">
        <v>30</v>
      </c>
      <c r="I152" s="24">
        <v>5</v>
      </c>
      <c r="J152" s="24">
        <v>7</v>
      </c>
      <c r="K152" s="23" t="s">
        <v>141</v>
      </c>
      <c r="L152" s="23" t="s">
        <v>179</v>
      </c>
      <c r="M152" s="28">
        <v>12862402</v>
      </c>
      <c r="N152" s="28">
        <v>68922404</v>
      </c>
    </row>
    <row r="153" spans="1:14">
      <c r="A153" s="23">
        <v>142</v>
      </c>
      <c r="B153" s="23" t="s">
        <v>90</v>
      </c>
      <c r="C153" s="137" t="s">
        <v>322</v>
      </c>
      <c r="D153" s="24" t="s">
        <v>13</v>
      </c>
      <c r="E153" s="24" t="s">
        <v>25</v>
      </c>
      <c r="F153" s="24" t="s">
        <v>17</v>
      </c>
      <c r="G153" s="25" t="s">
        <v>18</v>
      </c>
      <c r="H153" s="24" t="s">
        <v>30</v>
      </c>
      <c r="I153" s="24">
        <v>9</v>
      </c>
      <c r="J153" s="24">
        <v>9</v>
      </c>
      <c r="K153" s="23" t="s">
        <v>141</v>
      </c>
      <c r="L153" s="23" t="s">
        <v>179</v>
      </c>
      <c r="M153" s="28">
        <v>46914257</v>
      </c>
      <c r="N153" s="28">
        <v>43734508</v>
      </c>
    </row>
    <row r="154" spans="1:14">
      <c r="A154" s="23">
        <v>143</v>
      </c>
      <c r="B154" s="23" t="s">
        <v>91</v>
      </c>
      <c r="C154" s="137" t="s">
        <v>337</v>
      </c>
      <c r="D154" s="24" t="s">
        <v>13</v>
      </c>
      <c r="E154" s="24" t="s">
        <v>54</v>
      </c>
      <c r="F154" s="24" t="s">
        <v>55</v>
      </c>
      <c r="G154" s="25" t="s">
        <v>56</v>
      </c>
      <c r="H154" s="24" t="s">
        <v>12</v>
      </c>
      <c r="I154" s="24">
        <v>4</v>
      </c>
      <c r="J154" s="24">
        <v>5</v>
      </c>
      <c r="K154" s="23" t="s">
        <v>141</v>
      </c>
      <c r="L154" s="23" t="s">
        <v>179</v>
      </c>
      <c r="M154" s="28">
        <v>95212463</v>
      </c>
      <c r="N154" s="23" t="s">
        <v>179</v>
      </c>
    </row>
    <row r="155" spans="1:14">
      <c r="A155" s="23">
        <v>144</v>
      </c>
      <c r="B155" s="23" t="s">
        <v>92</v>
      </c>
      <c r="C155" s="137" t="s">
        <v>405</v>
      </c>
      <c r="D155" s="24" t="s">
        <v>13</v>
      </c>
      <c r="E155" s="24" t="s">
        <v>21</v>
      </c>
      <c r="F155" s="24" t="s">
        <v>10</v>
      </c>
      <c r="G155" s="25" t="s">
        <v>11</v>
      </c>
      <c r="H155" s="24" t="s">
        <v>12</v>
      </c>
      <c r="I155" s="24">
        <v>5</v>
      </c>
      <c r="J155" s="24">
        <v>9</v>
      </c>
      <c r="K155" s="28">
        <v>5000000</v>
      </c>
      <c r="L155" s="28">
        <v>32915397</v>
      </c>
      <c r="M155" s="28">
        <v>74493461</v>
      </c>
      <c r="N155" s="28">
        <v>151779</v>
      </c>
    </row>
    <row r="156" spans="1:14">
      <c r="A156" s="23">
        <v>145</v>
      </c>
      <c r="B156" s="23" t="s">
        <v>93</v>
      </c>
      <c r="C156" s="137" t="s">
        <v>317</v>
      </c>
      <c r="D156" s="24" t="s">
        <v>13</v>
      </c>
      <c r="E156" s="24" t="s">
        <v>25</v>
      </c>
      <c r="F156" s="24" t="s">
        <v>17</v>
      </c>
      <c r="G156" s="25" t="s">
        <v>18</v>
      </c>
      <c r="H156" s="24" t="s">
        <v>12</v>
      </c>
      <c r="I156" s="24">
        <v>3</v>
      </c>
      <c r="J156" s="24">
        <v>10</v>
      </c>
      <c r="K156" s="23" t="s">
        <v>141</v>
      </c>
      <c r="L156" s="23" t="s">
        <v>179</v>
      </c>
      <c r="M156" s="28">
        <v>43223505</v>
      </c>
      <c r="N156" s="23" t="s">
        <v>179</v>
      </c>
    </row>
    <row r="157" spans="1:14">
      <c r="A157" s="23">
        <v>146</v>
      </c>
      <c r="B157" s="23" t="s">
        <v>94</v>
      </c>
      <c r="C157" s="137" t="s">
        <v>376</v>
      </c>
      <c r="D157" s="24" t="s">
        <v>13</v>
      </c>
      <c r="E157" s="24" t="s">
        <v>21</v>
      </c>
      <c r="F157" s="24" t="s">
        <v>17</v>
      </c>
      <c r="G157" s="25" t="s">
        <v>18</v>
      </c>
      <c r="H157" s="24" t="s">
        <v>12</v>
      </c>
      <c r="I157" s="24">
        <v>3</v>
      </c>
      <c r="J157" s="24">
        <v>9</v>
      </c>
      <c r="K157" s="23" t="s">
        <v>141</v>
      </c>
      <c r="L157" s="23" t="s">
        <v>179</v>
      </c>
      <c r="M157" s="28">
        <v>14141858</v>
      </c>
      <c r="N157" s="28">
        <v>87162317</v>
      </c>
    </row>
    <row r="158" spans="1:14">
      <c r="A158" s="23">
        <v>147</v>
      </c>
      <c r="B158" s="23" t="s">
        <v>95</v>
      </c>
      <c r="C158" s="137" t="s">
        <v>355</v>
      </c>
      <c r="D158" s="24" t="s">
        <v>13</v>
      </c>
      <c r="E158" s="24" t="s">
        <v>21</v>
      </c>
      <c r="F158" s="24" t="s">
        <v>17</v>
      </c>
      <c r="G158" s="25" t="s">
        <v>18</v>
      </c>
      <c r="H158" s="24" t="s">
        <v>12</v>
      </c>
      <c r="I158" s="24">
        <v>5</v>
      </c>
      <c r="J158" s="24">
        <v>7</v>
      </c>
      <c r="K158" s="23" t="s">
        <v>141</v>
      </c>
      <c r="L158" s="23" t="s">
        <v>179</v>
      </c>
      <c r="M158" s="28">
        <v>29525162</v>
      </c>
      <c r="N158" s="23" t="s">
        <v>179</v>
      </c>
    </row>
    <row r="159" spans="1:14">
      <c r="A159" s="23">
        <v>148</v>
      </c>
      <c r="B159" s="23" t="s">
        <v>97</v>
      </c>
      <c r="C159" s="137" t="s">
        <v>327</v>
      </c>
      <c r="D159" s="24" t="s">
        <v>13</v>
      </c>
      <c r="E159" s="24" t="s">
        <v>21</v>
      </c>
      <c r="F159" s="24" t="s">
        <v>17</v>
      </c>
      <c r="G159" s="25" t="s">
        <v>23</v>
      </c>
      <c r="H159" s="24" t="s">
        <v>30</v>
      </c>
      <c r="I159" s="24">
        <v>7</v>
      </c>
      <c r="J159" s="24">
        <v>10</v>
      </c>
      <c r="K159" s="23" t="s">
        <v>141</v>
      </c>
      <c r="L159" s="23" t="s">
        <v>179</v>
      </c>
      <c r="M159" s="28">
        <v>29366791</v>
      </c>
      <c r="N159" s="28">
        <v>89805774</v>
      </c>
    </row>
    <row r="160" spans="1:14">
      <c r="A160" s="23">
        <v>149</v>
      </c>
      <c r="B160" s="23" t="s">
        <v>98</v>
      </c>
      <c r="C160" s="137" t="s">
        <v>307</v>
      </c>
      <c r="D160" s="24" t="s">
        <v>87</v>
      </c>
      <c r="E160" s="24" t="s">
        <v>21</v>
      </c>
      <c r="F160" s="24" t="s">
        <v>17</v>
      </c>
      <c r="G160" s="25" t="s">
        <v>18</v>
      </c>
      <c r="H160" s="24" t="s">
        <v>30</v>
      </c>
      <c r="I160" s="24">
        <v>7</v>
      </c>
      <c r="J160" s="24">
        <v>7</v>
      </c>
      <c r="K160" s="23" t="s">
        <v>141</v>
      </c>
      <c r="L160" s="23" t="s">
        <v>179</v>
      </c>
      <c r="M160" s="28">
        <v>73195518</v>
      </c>
      <c r="N160" s="28">
        <v>10695678</v>
      </c>
    </row>
    <row r="161" spans="1:14">
      <c r="A161" s="23">
        <v>150</v>
      </c>
      <c r="B161" s="23" t="s">
        <v>99</v>
      </c>
      <c r="C161" s="137" t="s">
        <v>384</v>
      </c>
      <c r="D161" s="24" t="s">
        <v>32</v>
      </c>
      <c r="E161" s="24" t="s">
        <v>21</v>
      </c>
      <c r="F161" s="24" t="s">
        <v>17</v>
      </c>
      <c r="G161" s="25" t="s">
        <v>18</v>
      </c>
      <c r="H161" s="24" t="s">
        <v>12</v>
      </c>
      <c r="I161" s="24">
        <v>5</v>
      </c>
      <c r="J161" s="24">
        <v>4</v>
      </c>
      <c r="K161" s="23" t="s">
        <v>141</v>
      </c>
      <c r="L161" s="23" t="s">
        <v>179</v>
      </c>
      <c r="M161" s="28">
        <v>1432950</v>
      </c>
      <c r="N161" s="28">
        <v>29672451</v>
      </c>
    </row>
    <row r="162" spans="1:14">
      <c r="A162" s="23">
        <v>151</v>
      </c>
      <c r="B162" s="23" t="s">
        <v>100</v>
      </c>
      <c r="C162" s="137" t="s">
        <v>345</v>
      </c>
      <c r="D162" s="24" t="s">
        <v>13</v>
      </c>
      <c r="E162" s="24" t="s">
        <v>21</v>
      </c>
      <c r="F162" s="24" t="s">
        <v>10</v>
      </c>
      <c r="G162" s="25" t="s">
        <v>11</v>
      </c>
      <c r="H162" s="24" t="s">
        <v>30</v>
      </c>
      <c r="I162" s="24">
        <v>7</v>
      </c>
      <c r="J162" s="24">
        <v>5</v>
      </c>
      <c r="K162" s="28">
        <v>1000000</v>
      </c>
      <c r="L162" s="28">
        <v>77159264</v>
      </c>
      <c r="M162" s="23" t="s">
        <v>179</v>
      </c>
      <c r="N162" s="28">
        <v>97234303</v>
      </c>
    </row>
    <row r="163" spans="1:14">
      <c r="A163" s="23">
        <v>152</v>
      </c>
      <c r="B163" s="23" t="s">
        <v>101</v>
      </c>
      <c r="C163" s="137" t="s">
        <v>328</v>
      </c>
      <c r="D163" s="24" t="s">
        <v>13</v>
      </c>
      <c r="E163" s="24" t="s">
        <v>21</v>
      </c>
      <c r="F163" s="24" t="s">
        <v>10</v>
      </c>
      <c r="G163" s="25" t="s">
        <v>11</v>
      </c>
      <c r="H163" s="24" t="s">
        <v>12</v>
      </c>
      <c r="I163" s="24">
        <v>8</v>
      </c>
      <c r="J163" s="24">
        <v>6</v>
      </c>
      <c r="K163" s="28">
        <v>100000000</v>
      </c>
      <c r="L163" s="28">
        <v>12451199</v>
      </c>
      <c r="M163" s="28">
        <v>74231711</v>
      </c>
      <c r="N163" s="28">
        <v>42951226</v>
      </c>
    </row>
    <row r="164" spans="1:14">
      <c r="A164" s="23">
        <v>153</v>
      </c>
      <c r="B164" s="23" t="s">
        <v>103</v>
      </c>
      <c r="C164" s="137" t="s">
        <v>329</v>
      </c>
      <c r="D164" s="24" t="s">
        <v>13</v>
      </c>
      <c r="E164" s="24" t="s">
        <v>9</v>
      </c>
      <c r="F164" s="24" t="s">
        <v>10</v>
      </c>
      <c r="G164" s="25" t="s">
        <v>11</v>
      </c>
      <c r="H164" s="24" t="s">
        <v>30</v>
      </c>
      <c r="I164" s="24">
        <v>3</v>
      </c>
      <c r="J164" s="24">
        <v>7</v>
      </c>
      <c r="K164" s="28">
        <v>90000000</v>
      </c>
      <c r="L164" s="28">
        <v>13287929</v>
      </c>
      <c r="M164" s="28">
        <v>27090183</v>
      </c>
      <c r="N164" s="28">
        <v>79518711</v>
      </c>
    </row>
    <row r="165" spans="1:14">
      <c r="A165" s="23">
        <v>154</v>
      </c>
      <c r="B165" s="23" t="s">
        <v>104</v>
      </c>
      <c r="C165" s="137" t="s">
        <v>394</v>
      </c>
      <c r="D165" s="24" t="s">
        <v>13</v>
      </c>
      <c r="E165" s="24" t="s">
        <v>54</v>
      </c>
      <c r="F165" s="24" t="s">
        <v>55</v>
      </c>
      <c r="G165" s="25" t="s">
        <v>56</v>
      </c>
      <c r="H165" s="24" t="s">
        <v>12</v>
      </c>
      <c r="I165" s="24">
        <v>8</v>
      </c>
      <c r="J165" s="24">
        <v>10</v>
      </c>
      <c r="K165" s="23" t="s">
        <v>141</v>
      </c>
      <c r="L165" s="23" t="s">
        <v>179</v>
      </c>
      <c r="M165" s="28">
        <v>20898506</v>
      </c>
      <c r="N165" s="28">
        <v>24525645</v>
      </c>
    </row>
    <row r="166" spans="1:14">
      <c r="A166" s="23">
        <v>155</v>
      </c>
      <c r="B166" s="23" t="s">
        <v>105</v>
      </c>
      <c r="C166" s="137" t="s">
        <v>323</v>
      </c>
      <c r="D166" s="24" t="s">
        <v>13</v>
      </c>
      <c r="E166" s="24" t="s">
        <v>21</v>
      </c>
      <c r="F166" s="24" t="s">
        <v>10</v>
      </c>
      <c r="G166" s="25" t="s">
        <v>11</v>
      </c>
      <c r="H166" s="24" t="s">
        <v>12</v>
      </c>
      <c r="I166" s="24">
        <v>5</v>
      </c>
      <c r="J166" s="24">
        <v>9</v>
      </c>
      <c r="K166" s="28">
        <v>5000000</v>
      </c>
      <c r="L166" s="28">
        <v>37959268</v>
      </c>
      <c r="M166" s="28">
        <v>69132389</v>
      </c>
      <c r="N166" s="28">
        <v>99564796</v>
      </c>
    </row>
    <row r="167" spans="1:14">
      <c r="A167" s="23">
        <v>156</v>
      </c>
      <c r="B167" s="23" t="s">
        <v>106</v>
      </c>
      <c r="C167" s="137" t="s">
        <v>350</v>
      </c>
      <c r="D167" s="24" t="s">
        <v>13</v>
      </c>
      <c r="E167" s="24" t="s">
        <v>21</v>
      </c>
      <c r="F167" s="24" t="s">
        <v>17</v>
      </c>
      <c r="G167" s="25" t="s">
        <v>18</v>
      </c>
      <c r="H167" s="24" t="s">
        <v>30</v>
      </c>
      <c r="I167" s="24">
        <v>6</v>
      </c>
      <c r="J167" s="24">
        <v>5</v>
      </c>
      <c r="K167" s="23" t="s">
        <v>141</v>
      </c>
      <c r="L167" s="23" t="s">
        <v>179</v>
      </c>
      <c r="M167" s="28">
        <v>26450622</v>
      </c>
      <c r="N167" s="28">
        <v>4227264</v>
      </c>
    </row>
    <row r="168" spans="1:14">
      <c r="A168" s="23">
        <v>157</v>
      </c>
      <c r="B168" s="23" t="s">
        <v>107</v>
      </c>
      <c r="C168" s="137" t="s">
        <v>314</v>
      </c>
      <c r="D168" s="24" t="s">
        <v>72</v>
      </c>
      <c r="E168" s="24" t="s">
        <v>21</v>
      </c>
      <c r="F168" s="24" t="s">
        <v>17</v>
      </c>
      <c r="G168" s="25" t="s">
        <v>18</v>
      </c>
      <c r="H168" s="24" t="s">
        <v>30</v>
      </c>
      <c r="I168" s="24">
        <v>3</v>
      </c>
      <c r="J168" s="24">
        <v>7</v>
      </c>
      <c r="K168" s="23" t="s">
        <v>141</v>
      </c>
      <c r="L168" s="23" t="s">
        <v>179</v>
      </c>
      <c r="M168" s="23" t="s">
        <v>179</v>
      </c>
      <c r="N168" s="28">
        <v>54376640</v>
      </c>
    </row>
    <row r="169" spans="1:14">
      <c r="A169" s="23">
        <v>158</v>
      </c>
      <c r="B169" s="23" t="s">
        <v>108</v>
      </c>
      <c r="C169" s="137" t="s">
        <v>315</v>
      </c>
      <c r="D169" s="24" t="s">
        <v>13</v>
      </c>
      <c r="E169" s="24" t="s">
        <v>21</v>
      </c>
      <c r="F169" s="24" t="s">
        <v>10</v>
      </c>
      <c r="G169" s="25" t="s">
        <v>27</v>
      </c>
      <c r="H169" s="24" t="s">
        <v>12</v>
      </c>
      <c r="I169" s="24">
        <v>8</v>
      </c>
      <c r="J169" s="24">
        <v>6</v>
      </c>
      <c r="K169" s="28">
        <v>90000000</v>
      </c>
      <c r="L169" s="28">
        <v>29991873</v>
      </c>
      <c r="M169" s="28">
        <v>39252741</v>
      </c>
      <c r="N169" s="28">
        <v>15542722</v>
      </c>
    </row>
    <row r="170" spans="1:14">
      <c r="A170" s="23">
        <v>159</v>
      </c>
      <c r="B170" s="23" t="s">
        <v>109</v>
      </c>
      <c r="C170" s="137" t="s">
        <v>338</v>
      </c>
      <c r="D170" s="24" t="s">
        <v>13</v>
      </c>
      <c r="E170" s="24" t="s">
        <v>21</v>
      </c>
      <c r="F170" s="24" t="s">
        <v>10</v>
      </c>
      <c r="G170" s="25" t="s">
        <v>27</v>
      </c>
      <c r="H170" s="24" t="s">
        <v>12</v>
      </c>
      <c r="I170" s="24">
        <v>5</v>
      </c>
      <c r="J170" s="24">
        <v>5</v>
      </c>
      <c r="K170" s="28">
        <v>10000000</v>
      </c>
      <c r="L170" s="28">
        <v>7303129</v>
      </c>
      <c r="M170" s="28">
        <v>3765621</v>
      </c>
      <c r="N170" s="28">
        <v>18125151</v>
      </c>
    </row>
    <row r="171" spans="1:14">
      <c r="A171" s="23">
        <v>160</v>
      </c>
      <c r="B171" s="23" t="s">
        <v>110</v>
      </c>
      <c r="C171" s="137" t="s">
        <v>335</v>
      </c>
      <c r="D171" s="24" t="s">
        <v>13</v>
      </c>
      <c r="E171" s="24" t="s">
        <v>21</v>
      </c>
      <c r="F171" s="24" t="s">
        <v>10</v>
      </c>
      <c r="G171" s="25" t="s">
        <v>27</v>
      </c>
      <c r="H171" s="24" t="s">
        <v>12</v>
      </c>
      <c r="I171" s="24">
        <v>8</v>
      </c>
      <c r="J171" s="24">
        <v>9</v>
      </c>
      <c r="K171" s="28">
        <v>30000000</v>
      </c>
      <c r="L171" s="28">
        <v>44457754</v>
      </c>
      <c r="M171" s="23" t="s">
        <v>179</v>
      </c>
      <c r="N171" s="28">
        <v>62249765</v>
      </c>
    </row>
    <row r="172" spans="1:14">
      <c r="A172" s="23">
        <v>161</v>
      </c>
      <c r="B172" s="23" t="s">
        <v>111</v>
      </c>
      <c r="C172" s="137" t="s">
        <v>357</v>
      </c>
      <c r="D172" s="24" t="s">
        <v>115</v>
      </c>
      <c r="E172" s="24" t="s">
        <v>21</v>
      </c>
      <c r="F172" s="24" t="s">
        <v>10</v>
      </c>
      <c r="G172" s="25" t="s">
        <v>11</v>
      </c>
      <c r="H172" s="24" t="s">
        <v>12</v>
      </c>
      <c r="I172" s="24">
        <v>4</v>
      </c>
      <c r="J172" s="24">
        <v>10</v>
      </c>
      <c r="K172" s="28">
        <v>10000000</v>
      </c>
      <c r="L172" s="28">
        <v>54467236</v>
      </c>
      <c r="M172" s="23" t="s">
        <v>179</v>
      </c>
      <c r="N172" s="28">
        <v>1234692</v>
      </c>
    </row>
    <row r="173" spans="1:14">
      <c r="A173" s="23">
        <v>162</v>
      </c>
      <c r="B173" s="23" t="s">
        <v>112</v>
      </c>
      <c r="C173" s="137" t="s">
        <v>389</v>
      </c>
      <c r="D173" s="24" t="s">
        <v>28</v>
      </c>
      <c r="E173" s="24" t="s">
        <v>21</v>
      </c>
      <c r="F173" s="24" t="s">
        <v>10</v>
      </c>
      <c r="G173" s="25" t="s">
        <v>27</v>
      </c>
      <c r="H173" s="24" t="s">
        <v>12</v>
      </c>
      <c r="I173" s="24">
        <v>9</v>
      </c>
      <c r="J173" s="24">
        <v>9</v>
      </c>
      <c r="K173" s="28">
        <v>10000000</v>
      </c>
      <c r="L173" s="28">
        <v>17991607</v>
      </c>
      <c r="M173" s="23" t="s">
        <v>179</v>
      </c>
      <c r="N173" s="28">
        <v>174626</v>
      </c>
    </row>
    <row r="174" spans="1:14">
      <c r="A174" s="23">
        <v>163</v>
      </c>
      <c r="B174" s="23" t="s">
        <v>113</v>
      </c>
      <c r="C174" s="137" t="s">
        <v>342</v>
      </c>
      <c r="D174" s="24" t="s">
        <v>13</v>
      </c>
      <c r="E174" s="24" t="s">
        <v>21</v>
      </c>
      <c r="F174" s="24" t="s">
        <v>17</v>
      </c>
      <c r="G174" s="25" t="s">
        <v>23</v>
      </c>
      <c r="H174" s="24" t="s">
        <v>12</v>
      </c>
      <c r="I174" s="24">
        <v>6</v>
      </c>
      <c r="J174" s="24">
        <v>10</v>
      </c>
      <c r="K174" s="23" t="s">
        <v>141</v>
      </c>
      <c r="L174" s="23" t="s">
        <v>179</v>
      </c>
      <c r="M174" s="28">
        <v>24965127</v>
      </c>
      <c r="N174" s="28">
        <v>41129782</v>
      </c>
    </row>
    <row r="175" spans="1:14">
      <c r="A175" s="23">
        <v>164</v>
      </c>
      <c r="B175" s="23" t="s">
        <v>114</v>
      </c>
      <c r="C175" s="137" t="s">
        <v>385</v>
      </c>
      <c r="D175" s="24" t="s">
        <v>13</v>
      </c>
      <c r="E175" s="24" t="s">
        <v>9</v>
      </c>
      <c r="F175" s="24" t="s">
        <v>10</v>
      </c>
      <c r="G175" s="25" t="s">
        <v>27</v>
      </c>
      <c r="H175" s="24" t="s">
        <v>12</v>
      </c>
      <c r="I175" s="24">
        <v>3</v>
      </c>
      <c r="J175" s="24">
        <v>10</v>
      </c>
      <c r="K175" s="28">
        <v>1000000</v>
      </c>
      <c r="L175" s="28">
        <v>87347043</v>
      </c>
      <c r="M175" s="28">
        <v>50796112</v>
      </c>
      <c r="N175" s="28">
        <v>72757830</v>
      </c>
    </row>
    <row r="176" spans="1:14">
      <c r="A176" s="23">
        <v>165</v>
      </c>
      <c r="B176" s="23" t="s">
        <v>116</v>
      </c>
      <c r="C176" s="137" t="s">
        <v>378</v>
      </c>
      <c r="D176" s="24" t="s">
        <v>13</v>
      </c>
      <c r="E176" s="24" t="s">
        <v>25</v>
      </c>
      <c r="F176" s="24" t="s">
        <v>17</v>
      </c>
      <c r="G176" s="25" t="s">
        <v>18</v>
      </c>
      <c r="H176" s="24" t="s">
        <v>12</v>
      </c>
      <c r="I176" s="24">
        <v>3</v>
      </c>
      <c r="J176" s="24">
        <v>10</v>
      </c>
      <c r="K176" s="23" t="s">
        <v>141</v>
      </c>
      <c r="L176" s="23" t="s">
        <v>179</v>
      </c>
      <c r="M176" s="28">
        <v>38721754</v>
      </c>
      <c r="N176" s="28">
        <v>77230635</v>
      </c>
    </row>
    <row r="177" spans="1:14">
      <c r="A177" s="23">
        <v>166</v>
      </c>
      <c r="B177" s="23" t="s">
        <v>117</v>
      </c>
      <c r="C177" s="137" t="s">
        <v>387</v>
      </c>
      <c r="D177" s="24" t="s">
        <v>13</v>
      </c>
      <c r="E177" s="24" t="s">
        <v>21</v>
      </c>
      <c r="F177" s="24" t="s">
        <v>10</v>
      </c>
      <c r="G177" s="25" t="s">
        <v>27</v>
      </c>
      <c r="H177" s="24" t="s">
        <v>12</v>
      </c>
      <c r="I177" s="24">
        <v>7</v>
      </c>
      <c r="J177" s="24">
        <v>7</v>
      </c>
      <c r="K177" s="28">
        <v>10000000</v>
      </c>
      <c r="L177" s="28">
        <v>43538967</v>
      </c>
      <c r="M177" s="28">
        <v>5161300</v>
      </c>
      <c r="N177" s="28">
        <v>85417673</v>
      </c>
    </row>
    <row r="178" spans="1:14">
      <c r="A178" s="23">
        <v>167</v>
      </c>
      <c r="B178" s="23" t="s">
        <v>118</v>
      </c>
      <c r="C178" s="137" t="s">
        <v>308</v>
      </c>
      <c r="D178" s="24" t="s">
        <v>13</v>
      </c>
      <c r="E178" s="24" t="s">
        <v>21</v>
      </c>
      <c r="F178" s="24" t="s">
        <v>10</v>
      </c>
      <c r="G178" s="25" t="s">
        <v>27</v>
      </c>
      <c r="H178" s="24" t="s">
        <v>30</v>
      </c>
      <c r="I178" s="24">
        <v>3</v>
      </c>
      <c r="J178" s="24">
        <v>7</v>
      </c>
      <c r="K178" s="28">
        <v>1000000</v>
      </c>
      <c r="L178" s="28">
        <v>95899452</v>
      </c>
      <c r="M178" s="28">
        <v>2565664</v>
      </c>
      <c r="N178" s="28">
        <v>39602953</v>
      </c>
    </row>
    <row r="179" spans="1:14">
      <c r="A179" s="23">
        <v>168</v>
      </c>
      <c r="B179" s="23" t="s">
        <v>119</v>
      </c>
      <c r="C179" s="137" t="s">
        <v>372</v>
      </c>
      <c r="D179" s="24" t="s">
        <v>13</v>
      </c>
      <c r="E179" s="24" t="s">
        <v>21</v>
      </c>
      <c r="F179" s="24" t="s">
        <v>10</v>
      </c>
      <c r="G179" s="25" t="s">
        <v>27</v>
      </c>
      <c r="H179" s="24" t="s">
        <v>30</v>
      </c>
      <c r="I179" s="24">
        <v>7</v>
      </c>
      <c r="J179" s="24">
        <v>7</v>
      </c>
      <c r="K179" s="28">
        <v>1000000</v>
      </c>
      <c r="L179" s="28">
        <v>81347428</v>
      </c>
      <c r="M179" s="28">
        <v>10860215</v>
      </c>
      <c r="N179" s="28">
        <v>28637290</v>
      </c>
    </row>
    <row r="180" spans="1:14">
      <c r="A180" s="23">
        <v>169</v>
      </c>
      <c r="B180" s="23" t="s">
        <v>120</v>
      </c>
      <c r="C180" s="137" t="s">
        <v>348</v>
      </c>
      <c r="D180" s="24" t="s">
        <v>13</v>
      </c>
      <c r="E180" s="24" t="s">
        <v>25</v>
      </c>
      <c r="F180" s="24" t="s">
        <v>10</v>
      </c>
      <c r="G180" s="25" t="s">
        <v>27</v>
      </c>
      <c r="H180" s="24" t="s">
        <v>30</v>
      </c>
      <c r="I180" s="24">
        <v>9</v>
      </c>
      <c r="J180" s="24">
        <v>9</v>
      </c>
      <c r="K180" s="28">
        <v>30000000</v>
      </c>
      <c r="L180" s="28">
        <v>52442860</v>
      </c>
      <c r="M180" s="28">
        <v>2659881</v>
      </c>
      <c r="N180" s="28">
        <v>80287314</v>
      </c>
    </row>
    <row r="181" spans="1:14">
      <c r="A181" s="23">
        <v>170</v>
      </c>
      <c r="B181" s="23" t="s">
        <v>121</v>
      </c>
      <c r="C181" s="137" t="s">
        <v>352</v>
      </c>
      <c r="D181" s="24" t="s">
        <v>28</v>
      </c>
      <c r="E181" s="24" t="s">
        <v>21</v>
      </c>
      <c r="F181" s="24" t="s">
        <v>10</v>
      </c>
      <c r="G181" s="25" t="s">
        <v>27</v>
      </c>
      <c r="H181" s="24" t="s">
        <v>30</v>
      </c>
      <c r="I181" s="24">
        <v>3</v>
      </c>
      <c r="J181" s="24">
        <v>5</v>
      </c>
      <c r="K181" s="28">
        <v>10000000</v>
      </c>
      <c r="L181" s="28">
        <v>96199053</v>
      </c>
      <c r="M181" s="28">
        <v>31746355</v>
      </c>
      <c r="N181" s="28">
        <v>80063468</v>
      </c>
    </row>
    <row r="182" spans="1:14">
      <c r="A182" s="23">
        <v>171</v>
      </c>
      <c r="B182" s="23" t="s">
        <v>122</v>
      </c>
      <c r="C182" s="137" t="s">
        <v>351</v>
      </c>
      <c r="D182" s="24" t="s">
        <v>13</v>
      </c>
      <c r="E182" s="24" t="s">
        <v>21</v>
      </c>
      <c r="F182" s="24" t="s">
        <v>10</v>
      </c>
      <c r="G182" s="25" t="s">
        <v>27</v>
      </c>
      <c r="H182" s="24" t="s">
        <v>12</v>
      </c>
      <c r="I182" s="24">
        <v>8</v>
      </c>
      <c r="J182" s="24">
        <v>10</v>
      </c>
      <c r="K182" s="28">
        <v>1000000</v>
      </c>
      <c r="L182" s="28">
        <v>71783742</v>
      </c>
      <c r="M182" s="28">
        <v>64667814</v>
      </c>
      <c r="N182" s="28">
        <v>70653180</v>
      </c>
    </row>
    <row r="183" spans="1:14">
      <c r="A183" s="23">
        <v>172</v>
      </c>
      <c r="B183" s="23" t="s">
        <v>123</v>
      </c>
      <c r="C183" s="137" t="s">
        <v>360</v>
      </c>
      <c r="D183" s="24" t="s">
        <v>28</v>
      </c>
      <c r="E183" s="24" t="s">
        <v>25</v>
      </c>
      <c r="F183" s="24" t="s">
        <v>10</v>
      </c>
      <c r="G183" s="25" t="s">
        <v>27</v>
      </c>
      <c r="H183" s="24" t="s">
        <v>12</v>
      </c>
      <c r="I183" s="24">
        <v>7</v>
      </c>
      <c r="J183" s="24">
        <v>8</v>
      </c>
      <c r="K183" s="28">
        <v>90000000</v>
      </c>
      <c r="L183" s="28">
        <v>94913746</v>
      </c>
      <c r="M183" s="28">
        <v>74083223</v>
      </c>
      <c r="N183" s="28">
        <v>31617670</v>
      </c>
    </row>
    <row r="184" spans="1:14">
      <c r="A184" s="23">
        <v>173</v>
      </c>
      <c r="B184" s="23" t="s">
        <v>124</v>
      </c>
      <c r="C184" s="137" t="s">
        <v>332</v>
      </c>
      <c r="D184" s="24" t="s">
        <v>13</v>
      </c>
      <c r="E184" s="24" t="s">
        <v>25</v>
      </c>
      <c r="F184" s="24" t="s">
        <v>17</v>
      </c>
      <c r="G184" s="25" t="s">
        <v>23</v>
      </c>
      <c r="H184" s="24" t="s">
        <v>12</v>
      </c>
      <c r="I184" s="24">
        <v>3</v>
      </c>
      <c r="J184" s="24">
        <v>10</v>
      </c>
      <c r="K184" s="23" t="s">
        <v>141</v>
      </c>
      <c r="L184" s="23" t="s">
        <v>179</v>
      </c>
      <c r="M184" s="28">
        <v>67753952</v>
      </c>
      <c r="N184" s="28">
        <v>77205812</v>
      </c>
    </row>
    <row r="185" spans="1:14">
      <c r="A185" s="23">
        <v>174</v>
      </c>
      <c r="B185" s="23" t="s">
        <v>125</v>
      </c>
      <c r="C185" s="137" t="s">
        <v>311</v>
      </c>
      <c r="D185" s="24" t="s">
        <v>13</v>
      </c>
      <c r="E185" s="24" t="s">
        <v>21</v>
      </c>
      <c r="F185" s="24" t="s">
        <v>10</v>
      </c>
      <c r="G185" s="25" t="s">
        <v>27</v>
      </c>
      <c r="H185" s="24" t="s">
        <v>30</v>
      </c>
      <c r="I185" s="24">
        <v>6</v>
      </c>
      <c r="J185" s="24">
        <v>5</v>
      </c>
      <c r="K185" s="28">
        <v>30000000</v>
      </c>
      <c r="L185" s="28">
        <v>33477783</v>
      </c>
      <c r="M185" s="23" t="s">
        <v>179</v>
      </c>
      <c r="N185" s="28">
        <v>27651635</v>
      </c>
    </row>
    <row r="186" spans="1:14">
      <c r="A186" s="23">
        <v>175</v>
      </c>
      <c r="B186" s="23" t="s">
        <v>126</v>
      </c>
      <c r="C186" s="137" t="s">
        <v>325</v>
      </c>
      <c r="D186" s="24" t="s">
        <v>77</v>
      </c>
      <c r="E186" s="24" t="s">
        <v>9</v>
      </c>
      <c r="F186" s="24" t="s">
        <v>10</v>
      </c>
      <c r="G186" s="25" t="s">
        <v>11</v>
      </c>
      <c r="H186" s="24" t="s">
        <v>30</v>
      </c>
      <c r="I186" s="24">
        <v>8</v>
      </c>
      <c r="J186" s="24">
        <v>7</v>
      </c>
      <c r="K186" s="28">
        <v>50000000</v>
      </c>
      <c r="L186" s="28">
        <v>2702447</v>
      </c>
      <c r="M186" s="23" t="s">
        <v>179</v>
      </c>
      <c r="N186" s="28">
        <v>44671760</v>
      </c>
    </row>
    <row r="187" spans="1:14">
      <c r="A187" s="23">
        <v>176</v>
      </c>
      <c r="B187" s="23" t="s">
        <v>127</v>
      </c>
      <c r="C187" s="137" t="s">
        <v>339</v>
      </c>
      <c r="D187" s="24" t="s">
        <v>13</v>
      </c>
      <c r="E187" s="24" t="s">
        <v>21</v>
      </c>
      <c r="F187" s="24" t="s">
        <v>10</v>
      </c>
      <c r="G187" s="25" t="s">
        <v>11</v>
      </c>
      <c r="H187" s="24" t="s">
        <v>12</v>
      </c>
      <c r="I187" s="24">
        <v>3</v>
      </c>
      <c r="J187" s="24">
        <v>8</v>
      </c>
      <c r="K187" s="28">
        <v>50000000</v>
      </c>
      <c r="L187" s="28">
        <v>70787848</v>
      </c>
      <c r="M187" s="28">
        <v>33368202</v>
      </c>
      <c r="N187" s="28">
        <v>43277527</v>
      </c>
    </row>
    <row r="188" spans="1:14">
      <c r="A188" s="23">
        <v>177</v>
      </c>
      <c r="B188" s="23" t="s">
        <v>128</v>
      </c>
      <c r="C188" s="137" t="s">
        <v>395</v>
      </c>
      <c r="D188" s="24" t="s">
        <v>13</v>
      </c>
      <c r="E188" s="24" t="s">
        <v>21</v>
      </c>
      <c r="F188" s="24" t="s">
        <v>17</v>
      </c>
      <c r="G188" s="25" t="s">
        <v>23</v>
      </c>
      <c r="H188" s="24" t="s">
        <v>30</v>
      </c>
      <c r="I188" s="24">
        <v>6</v>
      </c>
      <c r="J188" s="24">
        <v>9</v>
      </c>
      <c r="K188" s="23" t="s">
        <v>141</v>
      </c>
      <c r="L188" s="23" t="s">
        <v>179</v>
      </c>
      <c r="M188" s="28">
        <v>46563396</v>
      </c>
      <c r="N188" s="28">
        <v>63313535</v>
      </c>
    </row>
    <row r="189" spans="1:14">
      <c r="A189" s="23">
        <v>178</v>
      </c>
      <c r="B189" s="23" t="s">
        <v>129</v>
      </c>
      <c r="C189" s="137" t="s">
        <v>316</v>
      </c>
      <c r="D189" s="24" t="s">
        <v>32</v>
      </c>
      <c r="E189" s="24" t="s">
        <v>21</v>
      </c>
      <c r="F189" s="24" t="s">
        <v>10</v>
      </c>
      <c r="G189" s="25" t="s">
        <v>11</v>
      </c>
      <c r="H189" s="24" t="s">
        <v>12</v>
      </c>
      <c r="I189" s="24">
        <v>7</v>
      </c>
      <c r="J189" s="24">
        <v>6</v>
      </c>
      <c r="K189" s="28">
        <v>20000000</v>
      </c>
      <c r="L189" s="28">
        <v>40064620</v>
      </c>
      <c r="M189" s="28">
        <v>98137438</v>
      </c>
      <c r="N189" s="23" t="s">
        <v>179</v>
      </c>
    </row>
    <row r="190" spans="1:14">
      <c r="A190" s="23">
        <v>179</v>
      </c>
      <c r="B190" s="23" t="s">
        <v>131</v>
      </c>
      <c r="C190" s="137" t="s">
        <v>382</v>
      </c>
      <c r="D190" s="24" t="s">
        <v>13</v>
      </c>
      <c r="E190" s="24" t="s">
        <v>21</v>
      </c>
      <c r="F190" s="24" t="s">
        <v>10</v>
      </c>
      <c r="G190" s="25" t="s">
        <v>27</v>
      </c>
      <c r="H190" s="24" t="s">
        <v>12</v>
      </c>
      <c r="I190" s="24">
        <v>6</v>
      </c>
      <c r="J190" s="24">
        <v>9</v>
      </c>
      <c r="K190" s="28">
        <v>30000000</v>
      </c>
      <c r="L190" s="28">
        <v>45289360</v>
      </c>
      <c r="M190" s="23" t="s">
        <v>179</v>
      </c>
      <c r="N190" s="28">
        <v>46980526</v>
      </c>
    </row>
    <row r="191" spans="1:14">
      <c r="A191" s="23">
        <v>180</v>
      </c>
      <c r="B191" s="23" t="s">
        <v>132</v>
      </c>
      <c r="C191" s="137" t="s">
        <v>336</v>
      </c>
      <c r="D191" s="24" t="s">
        <v>13</v>
      </c>
      <c r="E191" s="24" t="s">
        <v>25</v>
      </c>
      <c r="F191" s="24" t="s">
        <v>10</v>
      </c>
      <c r="G191" s="25" t="s">
        <v>27</v>
      </c>
      <c r="H191" s="24" t="s">
        <v>12</v>
      </c>
      <c r="I191" s="24">
        <v>3</v>
      </c>
      <c r="J191" s="24">
        <v>8</v>
      </c>
      <c r="K191" s="28">
        <v>30000000</v>
      </c>
      <c r="L191" s="28">
        <v>34397393</v>
      </c>
      <c r="M191" s="28">
        <v>72192037</v>
      </c>
      <c r="N191" s="28">
        <v>21247716</v>
      </c>
    </row>
    <row r="192" spans="1:14">
      <c r="A192" s="23">
        <v>181</v>
      </c>
      <c r="B192" s="23" t="s">
        <v>133</v>
      </c>
      <c r="C192" s="137" t="s">
        <v>365</v>
      </c>
      <c r="D192" s="24" t="s">
        <v>13</v>
      </c>
      <c r="E192" s="24" t="s">
        <v>21</v>
      </c>
      <c r="F192" s="24" t="s">
        <v>17</v>
      </c>
      <c r="G192" s="25" t="s">
        <v>18</v>
      </c>
      <c r="H192" s="24" t="s">
        <v>30</v>
      </c>
      <c r="I192" s="24">
        <v>4</v>
      </c>
      <c r="J192" s="24">
        <v>5</v>
      </c>
      <c r="K192" s="23" t="s">
        <v>141</v>
      </c>
      <c r="L192" s="23" t="s">
        <v>179</v>
      </c>
      <c r="M192" s="28">
        <v>69870077</v>
      </c>
      <c r="N192" s="28">
        <v>98441580</v>
      </c>
    </row>
    <row r="193" spans="1:14">
      <c r="A193" s="23">
        <v>182</v>
      </c>
      <c r="B193" s="23" t="s">
        <v>134</v>
      </c>
      <c r="C193" s="137" t="s">
        <v>400</v>
      </c>
      <c r="D193" s="24" t="s">
        <v>13</v>
      </c>
      <c r="E193" s="24" t="s">
        <v>25</v>
      </c>
      <c r="F193" s="24" t="s">
        <v>10</v>
      </c>
      <c r="G193" s="25" t="s">
        <v>27</v>
      </c>
      <c r="H193" s="24" t="s">
        <v>12</v>
      </c>
      <c r="I193" s="24">
        <v>4</v>
      </c>
      <c r="J193" s="24">
        <v>6</v>
      </c>
      <c r="K193" s="28">
        <v>1000000</v>
      </c>
      <c r="L193" s="28">
        <v>34126405</v>
      </c>
      <c r="M193" s="28">
        <v>88265167</v>
      </c>
      <c r="N193" s="28">
        <v>56002928</v>
      </c>
    </row>
    <row r="194" spans="1:14">
      <c r="A194" s="23">
        <v>183</v>
      </c>
      <c r="B194" s="23" t="s">
        <v>135</v>
      </c>
      <c r="C194" s="137" t="s">
        <v>390</v>
      </c>
      <c r="D194" s="24" t="s">
        <v>13</v>
      </c>
      <c r="E194" s="24" t="s">
        <v>21</v>
      </c>
      <c r="F194" s="24" t="s">
        <v>10</v>
      </c>
      <c r="G194" s="25" t="s">
        <v>11</v>
      </c>
      <c r="H194" s="24" t="s">
        <v>12</v>
      </c>
      <c r="I194" s="24">
        <v>5</v>
      </c>
      <c r="J194" s="24">
        <v>6</v>
      </c>
      <c r="K194" s="28">
        <v>1000000</v>
      </c>
      <c r="L194" s="28">
        <v>53008255</v>
      </c>
      <c r="M194" s="28">
        <v>46917910</v>
      </c>
      <c r="N194" s="28">
        <v>47557281</v>
      </c>
    </row>
    <row r="195" spans="1:14">
      <c r="A195" s="23">
        <v>184</v>
      </c>
      <c r="B195" s="23" t="s">
        <v>8</v>
      </c>
      <c r="C195" s="137" t="s">
        <v>310</v>
      </c>
      <c r="D195" s="24" t="s">
        <v>13</v>
      </c>
      <c r="E195" s="24" t="s">
        <v>21</v>
      </c>
      <c r="F195" s="24" t="s">
        <v>17</v>
      </c>
      <c r="G195" s="25" t="s">
        <v>18</v>
      </c>
      <c r="H195" s="24" t="s">
        <v>12</v>
      </c>
      <c r="I195" s="24">
        <v>6</v>
      </c>
      <c r="J195" s="24">
        <v>5</v>
      </c>
      <c r="K195" s="23" t="s">
        <v>141</v>
      </c>
      <c r="L195" s="23" t="s">
        <v>179</v>
      </c>
      <c r="M195" s="23" t="s">
        <v>179</v>
      </c>
      <c r="N195" s="28">
        <v>22675260</v>
      </c>
    </row>
    <row r="196" spans="1:14">
      <c r="A196" s="23">
        <v>185</v>
      </c>
      <c r="B196" s="23" t="s">
        <v>14</v>
      </c>
      <c r="C196" s="137" t="s">
        <v>379</v>
      </c>
      <c r="D196" s="24" t="s">
        <v>102</v>
      </c>
      <c r="E196" s="24" t="s">
        <v>21</v>
      </c>
      <c r="F196" s="24" t="s">
        <v>10</v>
      </c>
      <c r="G196" s="25" t="s">
        <v>11</v>
      </c>
      <c r="H196" s="24" t="s">
        <v>12</v>
      </c>
      <c r="I196" s="24">
        <v>9</v>
      </c>
      <c r="J196" s="24">
        <v>9</v>
      </c>
      <c r="K196" s="28">
        <v>100000000</v>
      </c>
      <c r="L196" s="28">
        <v>94688720</v>
      </c>
      <c r="M196" s="28">
        <v>86323763</v>
      </c>
      <c r="N196" s="28">
        <v>20929788</v>
      </c>
    </row>
    <row r="197" spans="1:14">
      <c r="A197" s="23">
        <v>186</v>
      </c>
      <c r="B197" s="23" t="s">
        <v>16</v>
      </c>
      <c r="C197" s="137" t="s">
        <v>318</v>
      </c>
      <c r="D197" s="24" t="s">
        <v>13</v>
      </c>
      <c r="E197" s="24" t="s">
        <v>54</v>
      </c>
      <c r="F197" s="24" t="s">
        <v>55</v>
      </c>
      <c r="G197" s="25" t="s">
        <v>56</v>
      </c>
      <c r="H197" s="24" t="s">
        <v>12</v>
      </c>
      <c r="I197" s="24">
        <v>5</v>
      </c>
      <c r="J197" s="24">
        <v>6</v>
      </c>
      <c r="K197" s="23" t="s">
        <v>141</v>
      </c>
      <c r="L197" s="23" t="s">
        <v>179</v>
      </c>
      <c r="M197" s="28">
        <v>96750826</v>
      </c>
      <c r="N197" s="28">
        <v>31435769</v>
      </c>
    </row>
    <row r="198" spans="1:14">
      <c r="A198" s="23">
        <v>187</v>
      </c>
      <c r="B198" s="23" t="s">
        <v>19</v>
      </c>
      <c r="C198" s="137" t="s">
        <v>392</v>
      </c>
      <c r="D198" s="24" t="s">
        <v>13</v>
      </c>
      <c r="E198" s="24" t="s">
        <v>25</v>
      </c>
      <c r="F198" s="24" t="s">
        <v>10</v>
      </c>
      <c r="G198" s="25" t="s">
        <v>11</v>
      </c>
      <c r="H198" s="24" t="s">
        <v>12</v>
      </c>
      <c r="I198" s="24">
        <v>6</v>
      </c>
      <c r="J198" s="24">
        <v>10</v>
      </c>
      <c r="K198" s="28">
        <v>10000000</v>
      </c>
      <c r="L198" s="28">
        <v>89686683</v>
      </c>
      <c r="M198" s="28">
        <v>62448793</v>
      </c>
      <c r="N198" s="28">
        <v>26812600</v>
      </c>
    </row>
    <row r="199" spans="1:14">
      <c r="A199" s="23">
        <v>188</v>
      </c>
      <c r="B199" s="23" t="s">
        <v>22</v>
      </c>
      <c r="C199" s="137" t="s">
        <v>380</v>
      </c>
      <c r="D199" s="24" t="s">
        <v>13</v>
      </c>
      <c r="E199" s="24" t="s">
        <v>21</v>
      </c>
      <c r="F199" s="24" t="s">
        <v>10</v>
      </c>
      <c r="G199" s="25" t="s">
        <v>27</v>
      </c>
      <c r="H199" s="24" t="s">
        <v>12</v>
      </c>
      <c r="I199" s="24">
        <v>6</v>
      </c>
      <c r="J199" s="24">
        <v>9</v>
      </c>
      <c r="K199" s="28">
        <v>30000000</v>
      </c>
      <c r="L199" s="28">
        <v>32890743</v>
      </c>
      <c r="M199" s="23" t="s">
        <v>179</v>
      </c>
      <c r="N199" s="28">
        <v>39864620</v>
      </c>
    </row>
    <row r="200" spans="1:14">
      <c r="A200" s="23">
        <v>189</v>
      </c>
      <c r="B200" s="23" t="s">
        <v>24</v>
      </c>
      <c r="C200" s="137" t="s">
        <v>369</v>
      </c>
      <c r="D200" s="24" t="s">
        <v>13</v>
      </c>
      <c r="E200" s="24" t="s">
        <v>25</v>
      </c>
      <c r="F200" s="24" t="s">
        <v>10</v>
      </c>
      <c r="G200" s="25" t="s">
        <v>11</v>
      </c>
      <c r="H200" s="24" t="s">
        <v>12</v>
      </c>
      <c r="I200" s="24">
        <v>8</v>
      </c>
      <c r="J200" s="24">
        <v>5</v>
      </c>
      <c r="K200" s="28">
        <v>10000000</v>
      </c>
      <c r="L200" s="28">
        <v>32370896</v>
      </c>
      <c r="M200" s="28">
        <v>96066942</v>
      </c>
      <c r="N200" s="28">
        <v>3767736</v>
      </c>
    </row>
    <row r="201" spans="1:14">
      <c r="A201" s="23">
        <v>190</v>
      </c>
      <c r="B201" s="23" t="s">
        <v>26</v>
      </c>
      <c r="C201" s="137" t="s">
        <v>361</v>
      </c>
      <c r="D201" s="24" t="s">
        <v>13</v>
      </c>
      <c r="E201" s="24" t="s">
        <v>25</v>
      </c>
      <c r="F201" s="24" t="s">
        <v>17</v>
      </c>
      <c r="G201" s="25" t="s">
        <v>23</v>
      </c>
      <c r="H201" s="24" t="s">
        <v>12</v>
      </c>
      <c r="I201" s="24">
        <v>7</v>
      </c>
      <c r="J201" s="24">
        <v>8</v>
      </c>
      <c r="K201" s="23" t="s">
        <v>141</v>
      </c>
      <c r="L201" s="23" t="s">
        <v>179</v>
      </c>
      <c r="M201" s="28">
        <v>24514428</v>
      </c>
      <c r="N201" s="28">
        <v>27890231</v>
      </c>
    </row>
    <row r="202" spans="1:14">
      <c r="A202" s="23">
        <v>191</v>
      </c>
      <c r="B202" s="23" t="s">
        <v>29</v>
      </c>
      <c r="C202" s="137" t="s">
        <v>313</v>
      </c>
      <c r="D202" s="24" t="s">
        <v>13</v>
      </c>
      <c r="E202" s="24" t="s">
        <v>21</v>
      </c>
      <c r="F202" s="24" t="s">
        <v>10</v>
      </c>
      <c r="G202" s="25" t="s">
        <v>11</v>
      </c>
      <c r="H202" s="24" t="s">
        <v>30</v>
      </c>
      <c r="I202" s="24">
        <v>9</v>
      </c>
      <c r="J202" s="24">
        <v>10</v>
      </c>
      <c r="K202" s="28">
        <v>10000000</v>
      </c>
      <c r="L202" s="28">
        <v>31953589</v>
      </c>
      <c r="M202" s="28">
        <v>40068224</v>
      </c>
      <c r="N202" s="28">
        <v>80951038</v>
      </c>
    </row>
    <row r="203" spans="1:14">
      <c r="A203" s="23">
        <v>192</v>
      </c>
      <c r="B203" s="23" t="s">
        <v>31</v>
      </c>
      <c r="C203" s="137" t="s">
        <v>356</v>
      </c>
      <c r="D203" s="24" t="s">
        <v>13</v>
      </c>
      <c r="E203" s="24" t="s">
        <v>21</v>
      </c>
      <c r="F203" s="24" t="s">
        <v>10</v>
      </c>
      <c r="G203" s="25" t="s">
        <v>11</v>
      </c>
      <c r="H203" s="24" t="s">
        <v>12</v>
      </c>
      <c r="I203" s="24">
        <v>3</v>
      </c>
      <c r="J203" s="24">
        <v>10</v>
      </c>
      <c r="K203" s="28">
        <v>50000000</v>
      </c>
      <c r="L203" s="28">
        <v>78205651</v>
      </c>
      <c r="M203" s="28">
        <v>62381180</v>
      </c>
      <c r="N203" s="28">
        <v>6508585</v>
      </c>
    </row>
    <row r="204" spans="1:14">
      <c r="A204" s="23">
        <v>193</v>
      </c>
      <c r="B204" s="23" t="s">
        <v>33</v>
      </c>
      <c r="C204" s="137" t="s">
        <v>333</v>
      </c>
      <c r="D204" s="24" t="s">
        <v>13</v>
      </c>
      <c r="E204" s="24" t="s">
        <v>15</v>
      </c>
      <c r="F204" s="24" t="s">
        <v>17</v>
      </c>
      <c r="G204" s="25" t="s">
        <v>18</v>
      </c>
      <c r="H204" s="24" t="s">
        <v>12</v>
      </c>
      <c r="I204" s="24">
        <v>6</v>
      </c>
      <c r="J204" s="24">
        <v>10</v>
      </c>
      <c r="K204" s="23" t="s">
        <v>141</v>
      </c>
      <c r="L204" s="23" t="s">
        <v>179</v>
      </c>
      <c r="M204" s="28">
        <v>34584522</v>
      </c>
      <c r="N204" s="23" t="s">
        <v>179</v>
      </c>
    </row>
    <row r="205" spans="1:14">
      <c r="A205" s="23">
        <v>194</v>
      </c>
      <c r="B205" s="23" t="s">
        <v>34</v>
      </c>
      <c r="C205" s="137" t="s">
        <v>319</v>
      </c>
      <c r="D205" s="24" t="s">
        <v>32</v>
      </c>
      <c r="E205" s="24" t="s">
        <v>21</v>
      </c>
      <c r="F205" s="24" t="s">
        <v>55</v>
      </c>
      <c r="G205" s="25" t="s">
        <v>80</v>
      </c>
      <c r="H205" s="24" t="s">
        <v>12</v>
      </c>
      <c r="I205" s="24">
        <v>9</v>
      </c>
      <c r="J205" s="24">
        <v>5</v>
      </c>
      <c r="K205" s="23" t="s">
        <v>141</v>
      </c>
      <c r="L205" s="23" t="s">
        <v>179</v>
      </c>
      <c r="M205" s="28">
        <v>76942676</v>
      </c>
      <c r="N205" s="28">
        <v>74216691</v>
      </c>
    </row>
    <row r="206" spans="1:14">
      <c r="A206" s="23">
        <v>195</v>
      </c>
      <c r="B206" s="23" t="s">
        <v>35</v>
      </c>
      <c r="C206" s="137" t="s">
        <v>330</v>
      </c>
      <c r="D206" s="24" t="s">
        <v>13</v>
      </c>
      <c r="E206" s="24" t="s">
        <v>25</v>
      </c>
      <c r="F206" s="24" t="s">
        <v>10</v>
      </c>
      <c r="G206" s="25" t="s">
        <v>27</v>
      </c>
      <c r="H206" s="24" t="s">
        <v>30</v>
      </c>
      <c r="I206" s="24">
        <v>8</v>
      </c>
      <c r="J206" s="24">
        <v>7</v>
      </c>
      <c r="K206" s="28">
        <v>5000000</v>
      </c>
      <c r="L206" s="28">
        <v>70270294</v>
      </c>
      <c r="M206" s="28">
        <v>19588762</v>
      </c>
      <c r="N206" s="28">
        <v>78634577</v>
      </c>
    </row>
    <row r="207" spans="1:14">
      <c r="A207" s="23">
        <v>196</v>
      </c>
      <c r="B207" s="23" t="s">
        <v>36</v>
      </c>
      <c r="C207" s="137" t="s">
        <v>343</v>
      </c>
      <c r="D207" s="24" t="s">
        <v>13</v>
      </c>
      <c r="E207" s="24" t="s">
        <v>15</v>
      </c>
      <c r="F207" s="24" t="s">
        <v>17</v>
      </c>
      <c r="G207" s="25" t="s">
        <v>18</v>
      </c>
      <c r="H207" s="24" t="s">
        <v>12</v>
      </c>
      <c r="I207" s="24">
        <v>8</v>
      </c>
      <c r="J207" s="24">
        <v>5</v>
      </c>
      <c r="K207" s="23" t="s">
        <v>141</v>
      </c>
      <c r="L207" s="23" t="s">
        <v>179</v>
      </c>
      <c r="M207" s="28">
        <v>85955846</v>
      </c>
      <c r="N207" s="28">
        <v>25891596</v>
      </c>
    </row>
    <row r="208" spans="1:14">
      <c r="A208" s="23">
        <v>197</v>
      </c>
      <c r="B208" s="23" t="s">
        <v>37</v>
      </c>
      <c r="C208" s="137" t="s">
        <v>370</v>
      </c>
      <c r="D208" s="24" t="s">
        <v>13</v>
      </c>
      <c r="E208" s="24" t="s">
        <v>15</v>
      </c>
      <c r="F208" s="24" t="s">
        <v>10</v>
      </c>
      <c r="G208" s="25" t="s">
        <v>27</v>
      </c>
      <c r="H208" s="24" t="s">
        <v>30</v>
      </c>
      <c r="I208" s="24">
        <v>6</v>
      </c>
      <c r="J208" s="24">
        <v>4</v>
      </c>
      <c r="K208" s="28">
        <v>20000000</v>
      </c>
      <c r="L208" s="28">
        <v>62745331</v>
      </c>
      <c r="M208" s="28">
        <v>39843357</v>
      </c>
      <c r="N208" s="28">
        <v>64840967</v>
      </c>
    </row>
    <row r="209" spans="1:14">
      <c r="A209" s="23">
        <v>198</v>
      </c>
      <c r="B209" s="23" t="s">
        <v>38</v>
      </c>
      <c r="C209" s="137" t="s">
        <v>368</v>
      </c>
      <c r="D209" s="24" t="s">
        <v>13</v>
      </c>
      <c r="E209" s="24" t="s">
        <v>21</v>
      </c>
      <c r="F209" s="24" t="s">
        <v>17</v>
      </c>
      <c r="G209" s="25" t="s">
        <v>23</v>
      </c>
      <c r="H209" s="24" t="s">
        <v>12</v>
      </c>
      <c r="I209" s="24">
        <v>3</v>
      </c>
      <c r="J209" s="24">
        <v>7</v>
      </c>
      <c r="K209" s="23" t="s">
        <v>141</v>
      </c>
      <c r="L209" s="23" t="s">
        <v>179</v>
      </c>
      <c r="M209" s="28">
        <v>82583322</v>
      </c>
      <c r="N209" s="28">
        <v>809058</v>
      </c>
    </row>
    <row r="210" spans="1:14">
      <c r="A210" s="23">
        <v>199</v>
      </c>
      <c r="B210" s="23" t="s">
        <v>39</v>
      </c>
      <c r="C210" s="137" t="s">
        <v>347</v>
      </c>
      <c r="D210" s="24" t="s">
        <v>13</v>
      </c>
      <c r="E210" s="24" t="s">
        <v>21</v>
      </c>
      <c r="F210" s="24" t="s">
        <v>10</v>
      </c>
      <c r="G210" s="25" t="s">
        <v>27</v>
      </c>
      <c r="H210" s="24" t="s">
        <v>30</v>
      </c>
      <c r="I210" s="24">
        <v>6</v>
      </c>
      <c r="J210" s="24">
        <v>9</v>
      </c>
      <c r="K210" s="28">
        <v>10000000</v>
      </c>
      <c r="L210" s="28">
        <v>59890317</v>
      </c>
      <c r="M210" s="28">
        <v>42451842</v>
      </c>
      <c r="N210" s="23" t="s">
        <v>179</v>
      </c>
    </row>
    <row r="211" spans="1:14">
      <c r="A211" s="23">
        <v>200</v>
      </c>
      <c r="B211" s="23" t="s">
        <v>40</v>
      </c>
      <c r="C211" s="137" t="s">
        <v>391</v>
      </c>
      <c r="D211" s="24" t="s">
        <v>13</v>
      </c>
      <c r="E211" s="24" t="s">
        <v>15</v>
      </c>
      <c r="F211" s="24" t="s">
        <v>10</v>
      </c>
      <c r="G211" s="25" t="s">
        <v>11</v>
      </c>
      <c r="H211" s="24" t="s">
        <v>12</v>
      </c>
      <c r="I211" s="24">
        <v>6</v>
      </c>
      <c r="J211" s="24">
        <v>5</v>
      </c>
      <c r="K211" s="28">
        <v>10000000</v>
      </c>
      <c r="L211" s="28">
        <v>97449662</v>
      </c>
      <c r="M211" s="28">
        <v>49624160</v>
      </c>
      <c r="N211" s="28">
        <v>17854677</v>
      </c>
    </row>
    <row r="212" spans="1:14">
      <c r="A212" s="23">
        <v>201</v>
      </c>
      <c r="B212" s="23" t="s">
        <v>41</v>
      </c>
      <c r="C212" s="137" t="s">
        <v>362</v>
      </c>
      <c r="D212" s="24" t="s">
        <v>13</v>
      </c>
      <c r="E212" s="24" t="s">
        <v>9</v>
      </c>
      <c r="F212" s="24" t="s">
        <v>17</v>
      </c>
      <c r="G212" s="25" t="s">
        <v>23</v>
      </c>
      <c r="H212" s="24" t="s">
        <v>12</v>
      </c>
      <c r="I212" s="24">
        <v>8</v>
      </c>
      <c r="J212" s="24">
        <v>10</v>
      </c>
      <c r="K212" s="23" t="s">
        <v>141</v>
      </c>
      <c r="L212" s="23" t="s">
        <v>179</v>
      </c>
      <c r="M212" s="28">
        <v>44422091</v>
      </c>
      <c r="N212" s="28">
        <v>8898260</v>
      </c>
    </row>
    <row r="213" spans="1:14">
      <c r="A213" s="23">
        <v>202</v>
      </c>
      <c r="B213" s="23" t="s">
        <v>42</v>
      </c>
      <c r="C213" s="137" t="s">
        <v>346</v>
      </c>
      <c r="D213" s="24" t="s">
        <v>13</v>
      </c>
      <c r="E213" s="24" t="s">
        <v>21</v>
      </c>
      <c r="F213" s="24" t="s">
        <v>17</v>
      </c>
      <c r="G213" s="25" t="s">
        <v>18</v>
      </c>
      <c r="H213" s="24" t="s">
        <v>12</v>
      </c>
      <c r="I213" s="24">
        <v>5</v>
      </c>
      <c r="J213" s="24">
        <v>7</v>
      </c>
      <c r="K213" s="23" t="s">
        <v>141</v>
      </c>
      <c r="L213" s="23" t="s">
        <v>179</v>
      </c>
      <c r="M213" s="23" t="s">
        <v>179</v>
      </c>
      <c r="N213" s="28">
        <v>63436099</v>
      </c>
    </row>
    <row r="214" spans="1:14">
      <c r="A214" s="23">
        <v>203</v>
      </c>
      <c r="B214" s="23" t="s">
        <v>43</v>
      </c>
      <c r="C214" s="137" t="s">
        <v>349</v>
      </c>
      <c r="D214" s="24" t="s">
        <v>13</v>
      </c>
      <c r="E214" s="24" t="s">
        <v>21</v>
      </c>
      <c r="F214" s="24" t="s">
        <v>10</v>
      </c>
      <c r="G214" s="25" t="s">
        <v>11</v>
      </c>
      <c r="H214" s="24" t="s">
        <v>30</v>
      </c>
      <c r="I214" s="24">
        <v>9</v>
      </c>
      <c r="J214" s="24">
        <v>6</v>
      </c>
      <c r="K214" s="28">
        <v>10000000</v>
      </c>
      <c r="L214" s="28">
        <v>99989764</v>
      </c>
      <c r="M214" s="28">
        <v>8030175</v>
      </c>
      <c r="N214" s="28">
        <v>37676206</v>
      </c>
    </row>
    <row r="215" spans="1:14">
      <c r="A215" s="23">
        <v>204</v>
      </c>
      <c r="B215" s="23" t="s">
        <v>44</v>
      </c>
      <c r="C215" s="137" t="s">
        <v>344</v>
      </c>
      <c r="D215" s="24" t="s">
        <v>13</v>
      </c>
      <c r="E215" s="24" t="s">
        <v>21</v>
      </c>
      <c r="F215" s="24" t="s">
        <v>17</v>
      </c>
      <c r="G215" s="25" t="s">
        <v>18</v>
      </c>
      <c r="H215" s="24" t="s">
        <v>30</v>
      </c>
      <c r="I215" s="24">
        <v>4</v>
      </c>
      <c r="J215" s="24">
        <v>6</v>
      </c>
      <c r="K215" s="23" t="s">
        <v>141</v>
      </c>
      <c r="L215" s="23" t="s">
        <v>179</v>
      </c>
      <c r="M215" s="28">
        <v>12862402</v>
      </c>
      <c r="N215" s="28">
        <v>68922404</v>
      </c>
    </row>
    <row r="216" spans="1:14">
      <c r="A216" s="23">
        <v>205</v>
      </c>
      <c r="B216" s="23" t="s">
        <v>45</v>
      </c>
      <c r="C216" s="137" t="s">
        <v>320</v>
      </c>
      <c r="D216" s="24" t="s">
        <v>13</v>
      </c>
      <c r="E216" s="24" t="s">
        <v>25</v>
      </c>
      <c r="F216" s="24" t="s">
        <v>17</v>
      </c>
      <c r="G216" s="25" t="s">
        <v>18</v>
      </c>
      <c r="H216" s="24" t="s">
        <v>30</v>
      </c>
      <c r="I216" s="24">
        <v>4</v>
      </c>
      <c r="J216" s="24">
        <v>10</v>
      </c>
      <c r="K216" s="23" t="s">
        <v>141</v>
      </c>
      <c r="L216" s="23" t="s">
        <v>179</v>
      </c>
      <c r="M216" s="28">
        <v>46914257</v>
      </c>
      <c r="N216" s="28">
        <v>43734508</v>
      </c>
    </row>
    <row r="217" spans="1:14">
      <c r="A217" s="23">
        <v>206</v>
      </c>
      <c r="B217" s="23" t="s">
        <v>46</v>
      </c>
      <c r="C217" s="137" t="s">
        <v>377</v>
      </c>
      <c r="D217" s="24" t="s">
        <v>13</v>
      </c>
      <c r="E217" s="24" t="s">
        <v>54</v>
      </c>
      <c r="F217" s="24" t="s">
        <v>55</v>
      </c>
      <c r="G217" s="25" t="s">
        <v>56</v>
      </c>
      <c r="H217" s="24" t="s">
        <v>12</v>
      </c>
      <c r="I217" s="24">
        <v>9</v>
      </c>
      <c r="J217" s="24">
        <v>7</v>
      </c>
      <c r="K217" s="23" t="s">
        <v>141</v>
      </c>
      <c r="L217" s="23" t="s">
        <v>179</v>
      </c>
      <c r="M217" s="28">
        <v>95212463</v>
      </c>
      <c r="N217" s="23" t="s">
        <v>179</v>
      </c>
    </row>
    <row r="218" spans="1:14">
      <c r="A218" s="23">
        <v>207</v>
      </c>
      <c r="B218" s="23" t="s">
        <v>47</v>
      </c>
      <c r="C218" s="137" t="s">
        <v>374</v>
      </c>
      <c r="D218" s="24" t="s">
        <v>13</v>
      </c>
      <c r="E218" s="24" t="s">
        <v>21</v>
      </c>
      <c r="F218" s="24" t="s">
        <v>10</v>
      </c>
      <c r="G218" s="25" t="s">
        <v>11</v>
      </c>
      <c r="H218" s="24" t="s">
        <v>12</v>
      </c>
      <c r="I218" s="24">
        <v>6</v>
      </c>
      <c r="J218" s="24">
        <v>9</v>
      </c>
      <c r="K218" s="28">
        <v>5000000</v>
      </c>
      <c r="L218" s="28">
        <v>32915397</v>
      </c>
      <c r="M218" s="28">
        <v>74493461</v>
      </c>
      <c r="N218" s="28">
        <v>151779</v>
      </c>
    </row>
    <row r="219" spans="1:14">
      <c r="A219" s="23">
        <v>208</v>
      </c>
      <c r="B219" s="23" t="s">
        <v>48</v>
      </c>
      <c r="C219" s="137" t="s">
        <v>340</v>
      </c>
      <c r="D219" s="24" t="s">
        <v>13</v>
      </c>
      <c r="E219" s="24" t="s">
        <v>25</v>
      </c>
      <c r="F219" s="24" t="s">
        <v>17</v>
      </c>
      <c r="G219" s="25" t="s">
        <v>18</v>
      </c>
      <c r="H219" s="24" t="s">
        <v>12</v>
      </c>
      <c r="I219" s="24">
        <v>8</v>
      </c>
      <c r="J219" s="24">
        <v>5</v>
      </c>
      <c r="K219" s="23" t="s">
        <v>141</v>
      </c>
      <c r="L219" s="23" t="s">
        <v>179</v>
      </c>
      <c r="M219" s="28">
        <v>43223505</v>
      </c>
      <c r="N219" s="23" t="s">
        <v>179</v>
      </c>
    </row>
    <row r="220" spans="1:14">
      <c r="A220" s="23">
        <v>209</v>
      </c>
      <c r="B220" s="23" t="s">
        <v>49</v>
      </c>
      <c r="C220" s="137" t="s">
        <v>371</v>
      </c>
      <c r="D220" s="24" t="s">
        <v>13</v>
      </c>
      <c r="E220" s="24" t="s">
        <v>21</v>
      </c>
      <c r="F220" s="24" t="s">
        <v>17</v>
      </c>
      <c r="G220" s="25" t="s">
        <v>18</v>
      </c>
      <c r="H220" s="24" t="s">
        <v>12</v>
      </c>
      <c r="I220" s="24">
        <v>6</v>
      </c>
      <c r="J220" s="24">
        <v>9</v>
      </c>
      <c r="K220" s="23" t="s">
        <v>141</v>
      </c>
      <c r="L220" s="23" t="s">
        <v>179</v>
      </c>
      <c r="M220" s="28">
        <v>14141858</v>
      </c>
      <c r="N220" s="28">
        <v>87162317</v>
      </c>
    </row>
    <row r="221" spans="1:14">
      <c r="A221" s="23">
        <v>210</v>
      </c>
      <c r="B221" s="23" t="s">
        <v>50</v>
      </c>
      <c r="C221" s="137" t="s">
        <v>359</v>
      </c>
      <c r="D221" s="24" t="s">
        <v>32</v>
      </c>
      <c r="E221" s="24" t="s">
        <v>21</v>
      </c>
      <c r="F221" s="24" t="s">
        <v>17</v>
      </c>
      <c r="G221" s="25" t="s">
        <v>18</v>
      </c>
      <c r="H221" s="24" t="s">
        <v>12</v>
      </c>
      <c r="I221" s="24">
        <v>7</v>
      </c>
      <c r="J221" s="24">
        <v>10</v>
      </c>
      <c r="K221" s="23" t="s">
        <v>141</v>
      </c>
      <c r="L221" s="23" t="s">
        <v>179</v>
      </c>
      <c r="M221" s="28">
        <v>29525162</v>
      </c>
      <c r="N221" s="23" t="s">
        <v>179</v>
      </c>
    </row>
    <row r="222" spans="1:14">
      <c r="A222" s="23">
        <v>211</v>
      </c>
      <c r="B222" s="23" t="s">
        <v>51</v>
      </c>
      <c r="C222" s="137" t="s">
        <v>397</v>
      </c>
      <c r="D222" s="24" t="s">
        <v>13</v>
      </c>
      <c r="E222" s="24" t="s">
        <v>21</v>
      </c>
      <c r="F222" s="24" t="s">
        <v>17</v>
      </c>
      <c r="G222" s="25" t="s">
        <v>23</v>
      </c>
      <c r="H222" s="24" t="s">
        <v>30</v>
      </c>
      <c r="I222" s="24">
        <v>5</v>
      </c>
      <c r="J222" s="24">
        <v>9</v>
      </c>
      <c r="K222" s="23" t="s">
        <v>141</v>
      </c>
      <c r="L222" s="23" t="s">
        <v>179</v>
      </c>
      <c r="M222" s="28">
        <v>29366791</v>
      </c>
      <c r="N222" s="28">
        <v>89805774</v>
      </c>
    </row>
    <row r="223" spans="1:14">
      <c r="A223" s="23">
        <v>212</v>
      </c>
      <c r="B223" s="23" t="s">
        <v>52</v>
      </c>
      <c r="C223" s="137" t="s">
        <v>401</v>
      </c>
      <c r="D223" s="24" t="s">
        <v>96</v>
      </c>
      <c r="E223" s="24" t="s">
        <v>21</v>
      </c>
      <c r="F223" s="24" t="s">
        <v>17</v>
      </c>
      <c r="G223" s="25" t="s">
        <v>18</v>
      </c>
      <c r="H223" s="24" t="s">
        <v>30</v>
      </c>
      <c r="I223" s="24">
        <v>3</v>
      </c>
      <c r="J223" s="24">
        <v>7</v>
      </c>
      <c r="K223" s="23" t="s">
        <v>141</v>
      </c>
      <c r="L223" s="23" t="s">
        <v>179</v>
      </c>
      <c r="M223" s="28">
        <v>73195518</v>
      </c>
      <c r="N223" s="28">
        <v>10695678</v>
      </c>
    </row>
    <row r="224" spans="1:14">
      <c r="A224" s="23">
        <v>213</v>
      </c>
      <c r="B224" s="23" t="s">
        <v>53</v>
      </c>
      <c r="C224" s="137" t="s">
        <v>396</v>
      </c>
      <c r="D224" s="24" t="s">
        <v>32</v>
      </c>
      <c r="E224" s="24" t="s">
        <v>21</v>
      </c>
      <c r="F224" s="24" t="s">
        <v>17</v>
      </c>
      <c r="G224" s="25" t="s">
        <v>18</v>
      </c>
      <c r="H224" s="24" t="s">
        <v>12</v>
      </c>
      <c r="I224" s="24">
        <v>7</v>
      </c>
      <c r="J224" s="24">
        <v>10</v>
      </c>
      <c r="K224" s="23" t="s">
        <v>141</v>
      </c>
      <c r="L224" s="23" t="s">
        <v>179</v>
      </c>
      <c r="M224" s="28">
        <v>1432950</v>
      </c>
      <c r="N224" s="28">
        <v>29672451</v>
      </c>
    </row>
    <row r="225" spans="1:14">
      <c r="A225" s="23">
        <v>214</v>
      </c>
      <c r="B225" s="23" t="s">
        <v>57</v>
      </c>
      <c r="C225" s="137" t="s">
        <v>306</v>
      </c>
      <c r="D225" s="24" t="s">
        <v>72</v>
      </c>
      <c r="E225" s="24" t="s">
        <v>21</v>
      </c>
      <c r="F225" s="24" t="s">
        <v>10</v>
      </c>
      <c r="G225" s="25" t="s">
        <v>11</v>
      </c>
      <c r="H225" s="24" t="s">
        <v>30</v>
      </c>
      <c r="I225" s="24">
        <v>5</v>
      </c>
      <c r="J225" s="24">
        <v>7</v>
      </c>
      <c r="K225" s="28">
        <v>1000000</v>
      </c>
      <c r="L225" s="28">
        <v>77159264</v>
      </c>
      <c r="M225" s="23" t="s">
        <v>179</v>
      </c>
      <c r="N225" s="28">
        <v>97234303</v>
      </c>
    </row>
    <row r="226" spans="1:14">
      <c r="A226" s="23">
        <v>215</v>
      </c>
      <c r="B226" s="23" t="s">
        <v>58</v>
      </c>
      <c r="C226" s="137" t="s">
        <v>386</v>
      </c>
      <c r="D226" s="24" t="s">
        <v>13</v>
      </c>
      <c r="E226" s="24" t="s">
        <v>21</v>
      </c>
      <c r="F226" s="24" t="s">
        <v>10</v>
      </c>
      <c r="G226" s="25" t="s">
        <v>11</v>
      </c>
      <c r="H226" s="24" t="s">
        <v>12</v>
      </c>
      <c r="I226" s="24">
        <v>9</v>
      </c>
      <c r="J226" s="24">
        <v>4</v>
      </c>
      <c r="K226" s="28">
        <v>100000000</v>
      </c>
      <c r="L226" s="28">
        <v>12451199</v>
      </c>
      <c r="M226" s="28">
        <v>74231711</v>
      </c>
      <c r="N226" s="28">
        <v>42951226</v>
      </c>
    </row>
    <row r="227" spans="1:14">
      <c r="A227" s="23">
        <v>216</v>
      </c>
      <c r="B227" s="23" t="s">
        <v>59</v>
      </c>
      <c r="C227" s="137" t="s">
        <v>375</v>
      </c>
      <c r="D227" s="24" t="s">
        <v>13</v>
      </c>
      <c r="E227" s="24" t="s">
        <v>9</v>
      </c>
      <c r="F227" s="24" t="s">
        <v>10</v>
      </c>
      <c r="G227" s="25" t="s">
        <v>11</v>
      </c>
      <c r="H227" s="24" t="s">
        <v>30</v>
      </c>
      <c r="I227" s="24">
        <v>6</v>
      </c>
      <c r="J227" s="24">
        <v>5</v>
      </c>
      <c r="K227" s="28">
        <v>90000000</v>
      </c>
      <c r="L227" s="28">
        <v>13287929</v>
      </c>
      <c r="M227" s="28">
        <v>27090183</v>
      </c>
      <c r="N227" s="28">
        <v>79518711</v>
      </c>
    </row>
    <row r="228" spans="1:14">
      <c r="A228" s="23">
        <v>217</v>
      </c>
      <c r="B228" s="23" t="s">
        <v>60</v>
      </c>
      <c r="C228" s="137" t="s">
        <v>309</v>
      </c>
      <c r="D228" s="24" t="s">
        <v>13</v>
      </c>
      <c r="E228" s="24" t="s">
        <v>54</v>
      </c>
      <c r="F228" s="24" t="s">
        <v>55</v>
      </c>
      <c r="G228" s="25" t="s">
        <v>56</v>
      </c>
      <c r="H228" s="24" t="s">
        <v>12</v>
      </c>
      <c r="I228" s="24">
        <v>7</v>
      </c>
      <c r="J228" s="24">
        <v>6</v>
      </c>
      <c r="K228" s="23" t="s">
        <v>141</v>
      </c>
      <c r="L228" s="23" t="s">
        <v>179</v>
      </c>
      <c r="M228" s="28">
        <v>20898506</v>
      </c>
      <c r="N228" s="28">
        <v>24525645</v>
      </c>
    </row>
    <row r="229" spans="1:14">
      <c r="A229" s="23">
        <v>218</v>
      </c>
      <c r="B229" s="23" t="s">
        <v>61</v>
      </c>
      <c r="C229" s="137" t="s">
        <v>331</v>
      </c>
      <c r="D229" s="24" t="s">
        <v>28</v>
      </c>
      <c r="E229" s="24" t="s">
        <v>21</v>
      </c>
      <c r="F229" s="24" t="s">
        <v>10</v>
      </c>
      <c r="G229" s="25" t="s">
        <v>11</v>
      </c>
      <c r="H229" s="24" t="s">
        <v>12</v>
      </c>
      <c r="I229" s="24">
        <v>5</v>
      </c>
      <c r="J229" s="24">
        <v>7</v>
      </c>
      <c r="K229" s="28">
        <v>5000000</v>
      </c>
      <c r="L229" s="28">
        <v>37959268</v>
      </c>
      <c r="M229" s="28">
        <v>69132389</v>
      </c>
      <c r="N229" s="28">
        <v>99564796</v>
      </c>
    </row>
    <row r="230" spans="1:14">
      <c r="A230" s="23">
        <v>219</v>
      </c>
      <c r="B230" s="23" t="s">
        <v>62</v>
      </c>
      <c r="C230" s="137" t="s">
        <v>326</v>
      </c>
      <c r="D230" s="24" t="s">
        <v>13</v>
      </c>
      <c r="E230" s="24" t="s">
        <v>21</v>
      </c>
      <c r="F230" s="24" t="s">
        <v>17</v>
      </c>
      <c r="G230" s="25" t="s">
        <v>18</v>
      </c>
      <c r="H230" s="24" t="s">
        <v>30</v>
      </c>
      <c r="I230" s="24">
        <v>4</v>
      </c>
      <c r="J230" s="24">
        <v>10</v>
      </c>
      <c r="K230" s="23" t="s">
        <v>141</v>
      </c>
      <c r="L230" s="23" t="s">
        <v>179</v>
      </c>
      <c r="M230" s="28">
        <v>26450622</v>
      </c>
      <c r="N230" s="28">
        <v>4227264</v>
      </c>
    </row>
    <row r="231" spans="1:14">
      <c r="A231" s="23">
        <v>220</v>
      </c>
      <c r="B231" s="23" t="s">
        <v>63</v>
      </c>
      <c r="C231" s="137" t="s">
        <v>398</v>
      </c>
      <c r="D231" s="24" t="s">
        <v>13</v>
      </c>
      <c r="E231" s="24" t="s">
        <v>21</v>
      </c>
      <c r="F231" s="24" t="s">
        <v>17</v>
      </c>
      <c r="G231" s="25" t="s">
        <v>18</v>
      </c>
      <c r="H231" s="24" t="s">
        <v>30</v>
      </c>
      <c r="I231" s="24">
        <v>7</v>
      </c>
      <c r="J231" s="24">
        <v>9</v>
      </c>
      <c r="K231" s="23" t="s">
        <v>141</v>
      </c>
      <c r="L231" s="23" t="s">
        <v>179</v>
      </c>
      <c r="M231" s="23" t="s">
        <v>179</v>
      </c>
      <c r="N231" s="28">
        <v>54376640</v>
      </c>
    </row>
    <row r="232" spans="1:14">
      <c r="A232" s="23">
        <v>221</v>
      </c>
      <c r="B232" s="23" t="s">
        <v>64</v>
      </c>
      <c r="C232" s="137" t="s">
        <v>321</v>
      </c>
      <c r="D232" s="24" t="s">
        <v>89</v>
      </c>
      <c r="E232" s="24" t="s">
        <v>21</v>
      </c>
      <c r="F232" s="24" t="s">
        <v>10</v>
      </c>
      <c r="G232" s="25" t="s">
        <v>27</v>
      </c>
      <c r="H232" s="24" t="s">
        <v>12</v>
      </c>
      <c r="I232" s="24">
        <v>3</v>
      </c>
      <c r="J232" s="24">
        <v>5</v>
      </c>
      <c r="K232" s="28">
        <v>90000000</v>
      </c>
      <c r="L232" s="28">
        <v>29991873</v>
      </c>
      <c r="M232" s="28">
        <v>39252741</v>
      </c>
      <c r="N232" s="28">
        <v>15542722</v>
      </c>
    </row>
    <row r="233" spans="1:14">
      <c r="A233" s="23">
        <v>222</v>
      </c>
      <c r="B233" s="23" t="s">
        <v>65</v>
      </c>
      <c r="C233" s="137" t="s">
        <v>388</v>
      </c>
      <c r="D233" s="24" t="s">
        <v>13</v>
      </c>
      <c r="E233" s="24" t="s">
        <v>21</v>
      </c>
      <c r="F233" s="24" t="s">
        <v>10</v>
      </c>
      <c r="G233" s="25" t="s">
        <v>27</v>
      </c>
      <c r="H233" s="24" t="s">
        <v>12</v>
      </c>
      <c r="I233" s="24">
        <v>3</v>
      </c>
      <c r="J233" s="24">
        <v>7</v>
      </c>
      <c r="K233" s="28">
        <v>10000000</v>
      </c>
      <c r="L233" s="28">
        <v>7303129</v>
      </c>
      <c r="M233" s="28">
        <v>3765621</v>
      </c>
      <c r="N233" s="28">
        <v>18125151</v>
      </c>
    </row>
    <row r="234" spans="1:14">
      <c r="A234" s="23">
        <v>223</v>
      </c>
      <c r="B234" s="23" t="s">
        <v>66</v>
      </c>
      <c r="C234" s="137" t="s">
        <v>383</v>
      </c>
      <c r="D234" s="24" t="s">
        <v>13</v>
      </c>
      <c r="E234" s="24" t="s">
        <v>21</v>
      </c>
      <c r="F234" s="24" t="s">
        <v>10</v>
      </c>
      <c r="G234" s="25" t="s">
        <v>27</v>
      </c>
      <c r="H234" s="24" t="s">
        <v>12</v>
      </c>
      <c r="I234" s="24">
        <v>7</v>
      </c>
      <c r="J234" s="24">
        <v>6</v>
      </c>
      <c r="K234" s="28">
        <v>30000000</v>
      </c>
      <c r="L234" s="28">
        <v>44457754</v>
      </c>
      <c r="M234" s="23" t="s">
        <v>179</v>
      </c>
      <c r="N234" s="28">
        <v>62249765</v>
      </c>
    </row>
    <row r="235" spans="1:14">
      <c r="A235" s="23">
        <v>224</v>
      </c>
      <c r="B235" s="23" t="s">
        <v>67</v>
      </c>
      <c r="C235" s="137" t="s">
        <v>366</v>
      </c>
      <c r="D235" s="24" t="s">
        <v>13</v>
      </c>
      <c r="E235" s="24" t="s">
        <v>21</v>
      </c>
      <c r="F235" s="24" t="s">
        <v>10</v>
      </c>
      <c r="G235" s="25" t="s">
        <v>11</v>
      </c>
      <c r="H235" s="24" t="s">
        <v>12</v>
      </c>
      <c r="I235" s="24">
        <v>5</v>
      </c>
      <c r="J235" s="24">
        <v>5</v>
      </c>
      <c r="K235" s="28">
        <v>10000000</v>
      </c>
      <c r="L235" s="28">
        <v>54467236</v>
      </c>
      <c r="M235" s="23" t="s">
        <v>179</v>
      </c>
      <c r="N235" s="28">
        <v>1234692</v>
      </c>
    </row>
    <row r="236" spans="1:14">
      <c r="A236" s="23">
        <v>225</v>
      </c>
      <c r="B236" s="23" t="s">
        <v>68</v>
      </c>
      <c r="C236" s="137" t="s">
        <v>324</v>
      </c>
      <c r="D236" s="24" t="s">
        <v>13</v>
      </c>
      <c r="E236" s="24" t="s">
        <v>21</v>
      </c>
      <c r="F236" s="24" t="s">
        <v>10</v>
      </c>
      <c r="G236" s="25" t="s">
        <v>27</v>
      </c>
      <c r="H236" s="24" t="s">
        <v>12</v>
      </c>
      <c r="I236" s="24">
        <v>9</v>
      </c>
      <c r="J236" s="24">
        <v>9</v>
      </c>
      <c r="K236" s="28">
        <v>10000000</v>
      </c>
      <c r="L236" s="28">
        <v>17991607</v>
      </c>
      <c r="M236" s="23" t="s">
        <v>179</v>
      </c>
      <c r="N236" s="28">
        <v>174626</v>
      </c>
    </row>
    <row r="237" spans="1:14">
      <c r="A237" s="23">
        <v>226</v>
      </c>
      <c r="B237" s="23" t="s">
        <v>69</v>
      </c>
      <c r="C237" s="137" t="s">
        <v>402</v>
      </c>
      <c r="D237" s="24" t="s">
        <v>13</v>
      </c>
      <c r="E237" s="24" t="s">
        <v>21</v>
      </c>
      <c r="F237" s="24" t="s">
        <v>17</v>
      </c>
      <c r="G237" s="25" t="s">
        <v>23</v>
      </c>
      <c r="H237" s="24" t="s">
        <v>12</v>
      </c>
      <c r="I237" s="24">
        <v>4</v>
      </c>
      <c r="J237" s="24">
        <v>10</v>
      </c>
      <c r="K237" s="23" t="s">
        <v>141</v>
      </c>
      <c r="L237" s="23" t="s">
        <v>179</v>
      </c>
      <c r="M237" s="28">
        <v>24965127</v>
      </c>
      <c r="N237" s="28">
        <v>41129782</v>
      </c>
    </row>
    <row r="238" spans="1:14">
      <c r="A238" s="23">
        <v>227</v>
      </c>
      <c r="B238" s="23" t="s">
        <v>70</v>
      </c>
      <c r="C238" s="137" t="s">
        <v>393</v>
      </c>
      <c r="D238" s="24" t="s">
        <v>13</v>
      </c>
      <c r="E238" s="24" t="s">
        <v>9</v>
      </c>
      <c r="F238" s="24" t="s">
        <v>10</v>
      </c>
      <c r="G238" s="25" t="s">
        <v>27</v>
      </c>
      <c r="H238" s="24" t="s">
        <v>12</v>
      </c>
      <c r="I238" s="24">
        <v>5</v>
      </c>
      <c r="J238" s="24">
        <v>9</v>
      </c>
      <c r="K238" s="28">
        <v>1000000</v>
      </c>
      <c r="L238" s="28">
        <v>87347043</v>
      </c>
      <c r="M238" s="28">
        <v>50796112</v>
      </c>
      <c r="N238" s="28">
        <v>72757830</v>
      </c>
    </row>
    <row r="239" spans="1:14">
      <c r="A239" s="23">
        <v>228</v>
      </c>
      <c r="B239" s="23" t="s">
        <v>71</v>
      </c>
      <c r="C239" s="137" t="s">
        <v>381</v>
      </c>
      <c r="D239" s="24" t="s">
        <v>13</v>
      </c>
      <c r="E239" s="24" t="s">
        <v>25</v>
      </c>
      <c r="F239" s="24" t="s">
        <v>17</v>
      </c>
      <c r="G239" s="25" t="s">
        <v>18</v>
      </c>
      <c r="H239" s="24" t="s">
        <v>12</v>
      </c>
      <c r="I239" s="24">
        <v>3</v>
      </c>
      <c r="J239" s="24">
        <v>10</v>
      </c>
      <c r="K239" s="23" t="s">
        <v>141</v>
      </c>
      <c r="L239" s="23" t="s">
        <v>179</v>
      </c>
      <c r="M239" s="28">
        <v>38721754</v>
      </c>
      <c r="N239" s="28">
        <v>77230635</v>
      </c>
    </row>
    <row r="240" spans="1:14">
      <c r="A240" s="23">
        <v>229</v>
      </c>
      <c r="B240" s="23" t="s">
        <v>73</v>
      </c>
      <c r="C240" s="137" t="s">
        <v>363</v>
      </c>
      <c r="D240" s="24" t="s">
        <v>13</v>
      </c>
      <c r="E240" s="24" t="s">
        <v>21</v>
      </c>
      <c r="F240" s="24" t="s">
        <v>10</v>
      </c>
      <c r="G240" s="25" t="s">
        <v>27</v>
      </c>
      <c r="H240" s="24" t="s">
        <v>12</v>
      </c>
      <c r="I240" s="24">
        <v>3</v>
      </c>
      <c r="J240" s="24">
        <v>10</v>
      </c>
      <c r="K240" s="28">
        <v>10000000</v>
      </c>
      <c r="L240" s="28">
        <v>43538967</v>
      </c>
      <c r="M240" s="28">
        <v>5161300</v>
      </c>
      <c r="N240" s="28">
        <v>85417673</v>
      </c>
    </row>
    <row r="241" spans="1:14">
      <c r="A241" s="23">
        <v>230</v>
      </c>
      <c r="B241" s="23" t="s">
        <v>74</v>
      </c>
      <c r="C241" s="137" t="s">
        <v>312</v>
      </c>
      <c r="D241" s="24" t="s">
        <v>87</v>
      </c>
      <c r="E241" s="24" t="s">
        <v>21</v>
      </c>
      <c r="F241" s="24" t="s">
        <v>10</v>
      </c>
      <c r="G241" s="25" t="s">
        <v>27</v>
      </c>
      <c r="H241" s="24" t="s">
        <v>30</v>
      </c>
      <c r="I241" s="24">
        <v>5</v>
      </c>
      <c r="J241" s="24">
        <v>10</v>
      </c>
      <c r="K241" s="28">
        <v>1000000</v>
      </c>
      <c r="L241" s="28">
        <v>95899452</v>
      </c>
      <c r="M241" s="28">
        <v>2565664</v>
      </c>
      <c r="N241" s="28">
        <v>39602953</v>
      </c>
    </row>
    <row r="242" spans="1:14">
      <c r="A242" s="23">
        <v>231</v>
      </c>
      <c r="B242" s="23" t="s">
        <v>75</v>
      </c>
      <c r="C242" s="137" t="s">
        <v>404</v>
      </c>
      <c r="D242" s="24" t="s">
        <v>32</v>
      </c>
      <c r="E242" s="24" t="s">
        <v>21</v>
      </c>
      <c r="F242" s="24" t="s">
        <v>10</v>
      </c>
      <c r="G242" s="25" t="s">
        <v>27</v>
      </c>
      <c r="H242" s="24" t="s">
        <v>30</v>
      </c>
      <c r="I242" s="24">
        <v>7</v>
      </c>
      <c r="J242" s="24">
        <v>7</v>
      </c>
      <c r="K242" s="28">
        <v>1000000</v>
      </c>
      <c r="L242" s="28">
        <v>81347428</v>
      </c>
      <c r="M242" s="28">
        <v>10860215</v>
      </c>
      <c r="N242" s="28">
        <v>28637290</v>
      </c>
    </row>
    <row r="243" spans="1:14">
      <c r="A243" s="23">
        <v>232</v>
      </c>
      <c r="B243" s="23" t="s">
        <v>76</v>
      </c>
      <c r="C243" s="137" t="s">
        <v>399</v>
      </c>
      <c r="D243" s="24" t="s">
        <v>13</v>
      </c>
      <c r="E243" s="24" t="s">
        <v>25</v>
      </c>
      <c r="F243" s="24" t="s">
        <v>10</v>
      </c>
      <c r="G243" s="25" t="s">
        <v>27</v>
      </c>
      <c r="H243" s="24" t="s">
        <v>30</v>
      </c>
      <c r="I243" s="24">
        <v>7</v>
      </c>
      <c r="J243" s="24">
        <v>7</v>
      </c>
      <c r="K243" s="28">
        <v>30000000</v>
      </c>
      <c r="L243" s="28">
        <v>52442860</v>
      </c>
      <c r="M243" s="28">
        <v>2659881</v>
      </c>
      <c r="N243" s="28">
        <v>80287314</v>
      </c>
    </row>
    <row r="244" spans="1:14">
      <c r="A244" s="23">
        <v>233</v>
      </c>
      <c r="B244" s="23" t="s">
        <v>78</v>
      </c>
      <c r="C244" s="137" t="s">
        <v>353</v>
      </c>
      <c r="D244" s="24" t="s">
        <v>13</v>
      </c>
      <c r="E244" s="24" t="s">
        <v>21</v>
      </c>
      <c r="F244" s="24" t="s">
        <v>10</v>
      </c>
      <c r="G244" s="25" t="s">
        <v>27</v>
      </c>
      <c r="H244" s="24" t="s">
        <v>30</v>
      </c>
      <c r="I244" s="24">
        <v>5</v>
      </c>
      <c r="J244" s="24">
        <v>7</v>
      </c>
      <c r="K244" s="28">
        <v>10000000</v>
      </c>
      <c r="L244" s="28">
        <v>96199053</v>
      </c>
      <c r="M244" s="28">
        <v>31746355</v>
      </c>
      <c r="N244" s="28">
        <v>80063468</v>
      </c>
    </row>
    <row r="245" spans="1:14">
      <c r="A245" s="23">
        <v>234</v>
      </c>
      <c r="B245" s="23" t="s">
        <v>79</v>
      </c>
      <c r="C245" s="137" t="s">
        <v>341</v>
      </c>
      <c r="D245" s="24" t="s">
        <v>13</v>
      </c>
      <c r="E245" s="24" t="s">
        <v>21</v>
      </c>
      <c r="F245" s="24" t="s">
        <v>10</v>
      </c>
      <c r="G245" s="25" t="s">
        <v>27</v>
      </c>
      <c r="H245" s="24" t="s">
        <v>12</v>
      </c>
      <c r="I245" s="24">
        <v>7</v>
      </c>
      <c r="J245" s="24">
        <v>9</v>
      </c>
      <c r="K245" s="28">
        <v>1000000</v>
      </c>
      <c r="L245" s="28">
        <v>71783742</v>
      </c>
      <c r="M245" s="28">
        <v>64667814</v>
      </c>
      <c r="N245" s="28">
        <v>70653180</v>
      </c>
    </row>
    <row r="246" spans="1:14">
      <c r="A246" s="23">
        <v>235</v>
      </c>
      <c r="B246" s="23" t="s">
        <v>81</v>
      </c>
      <c r="C246" s="137" t="s">
        <v>358</v>
      </c>
      <c r="D246" s="24" t="s">
        <v>13</v>
      </c>
      <c r="E246" s="24" t="s">
        <v>25</v>
      </c>
      <c r="F246" s="24" t="s">
        <v>10</v>
      </c>
      <c r="G246" s="25" t="s">
        <v>27</v>
      </c>
      <c r="H246" s="24" t="s">
        <v>12</v>
      </c>
      <c r="I246" s="24">
        <v>8</v>
      </c>
      <c r="J246" s="24">
        <v>5</v>
      </c>
      <c r="K246" s="28">
        <v>90000000</v>
      </c>
      <c r="L246" s="28">
        <v>94913746</v>
      </c>
      <c r="M246" s="28">
        <v>74083223</v>
      </c>
      <c r="N246" s="28">
        <v>31617670</v>
      </c>
    </row>
    <row r="247" spans="1:14">
      <c r="A247" s="23">
        <v>236</v>
      </c>
      <c r="B247" s="23" t="s">
        <v>82</v>
      </c>
      <c r="C247" s="137" t="s">
        <v>354</v>
      </c>
      <c r="D247" s="24" t="s">
        <v>13</v>
      </c>
      <c r="E247" s="24" t="s">
        <v>25</v>
      </c>
      <c r="F247" s="24" t="s">
        <v>17</v>
      </c>
      <c r="G247" s="25" t="s">
        <v>23</v>
      </c>
      <c r="H247" s="24" t="s">
        <v>12</v>
      </c>
      <c r="I247" s="24">
        <v>3</v>
      </c>
      <c r="J247" s="24">
        <v>10</v>
      </c>
      <c r="K247" s="23" t="s">
        <v>141</v>
      </c>
      <c r="L247" s="23" t="s">
        <v>179</v>
      </c>
      <c r="M247" s="28">
        <v>67753952</v>
      </c>
      <c r="N247" s="28">
        <v>77205812</v>
      </c>
    </row>
    <row r="248" spans="1:14">
      <c r="A248" s="23">
        <v>237</v>
      </c>
      <c r="B248" s="23" t="s">
        <v>83</v>
      </c>
      <c r="C248" s="137" t="s">
        <v>403</v>
      </c>
      <c r="D248" s="24" t="s">
        <v>13</v>
      </c>
      <c r="E248" s="24" t="s">
        <v>21</v>
      </c>
      <c r="F248" s="24" t="s">
        <v>10</v>
      </c>
      <c r="G248" s="25" t="s">
        <v>27</v>
      </c>
      <c r="H248" s="24" t="s">
        <v>30</v>
      </c>
      <c r="I248" s="24">
        <v>8</v>
      </c>
      <c r="J248" s="24">
        <v>8</v>
      </c>
      <c r="K248" s="28">
        <v>30000000</v>
      </c>
      <c r="L248" s="28">
        <v>33477783</v>
      </c>
      <c r="M248" s="23" t="s">
        <v>179</v>
      </c>
      <c r="N248" s="28">
        <v>27651635</v>
      </c>
    </row>
    <row r="249" spans="1:14">
      <c r="A249" s="23">
        <v>238</v>
      </c>
      <c r="B249" s="23" t="s">
        <v>84</v>
      </c>
      <c r="C249" s="137" t="s">
        <v>367</v>
      </c>
      <c r="D249" s="24" t="s">
        <v>72</v>
      </c>
      <c r="E249" s="24" t="s">
        <v>9</v>
      </c>
      <c r="F249" s="24" t="s">
        <v>10</v>
      </c>
      <c r="G249" s="25" t="s">
        <v>11</v>
      </c>
      <c r="H249" s="24" t="s">
        <v>30</v>
      </c>
      <c r="I249" s="24">
        <v>5</v>
      </c>
      <c r="J249" s="24">
        <v>10</v>
      </c>
      <c r="K249" s="28">
        <v>50000000</v>
      </c>
      <c r="L249" s="28">
        <v>2702447</v>
      </c>
      <c r="M249" s="23" t="s">
        <v>179</v>
      </c>
      <c r="N249" s="28">
        <v>44671760</v>
      </c>
    </row>
    <row r="250" spans="1:14">
      <c r="A250" s="23">
        <v>239</v>
      </c>
      <c r="B250" s="23" t="s">
        <v>85</v>
      </c>
      <c r="C250" s="137" t="s">
        <v>334</v>
      </c>
      <c r="D250" s="24" t="s">
        <v>13</v>
      </c>
      <c r="E250" s="24" t="s">
        <v>21</v>
      </c>
      <c r="F250" s="24" t="s">
        <v>10</v>
      </c>
      <c r="G250" s="25" t="s">
        <v>11</v>
      </c>
      <c r="H250" s="24" t="s">
        <v>12</v>
      </c>
      <c r="I250" s="24">
        <v>6</v>
      </c>
      <c r="J250" s="24">
        <v>5</v>
      </c>
      <c r="K250" s="28">
        <v>50000000</v>
      </c>
      <c r="L250" s="28">
        <v>70787848</v>
      </c>
      <c r="M250" s="28">
        <v>33368202</v>
      </c>
      <c r="N250" s="28">
        <v>43277527</v>
      </c>
    </row>
    <row r="251" spans="1:14">
      <c r="A251" s="23">
        <v>240</v>
      </c>
      <c r="B251" s="23" t="s">
        <v>86</v>
      </c>
      <c r="C251" s="137" t="s">
        <v>373</v>
      </c>
      <c r="D251" s="24" t="s">
        <v>13</v>
      </c>
      <c r="E251" s="24" t="s">
        <v>21</v>
      </c>
      <c r="F251" s="24" t="s">
        <v>17</v>
      </c>
      <c r="G251" s="25" t="s">
        <v>23</v>
      </c>
      <c r="H251" s="24" t="s">
        <v>30</v>
      </c>
      <c r="I251" s="24">
        <v>3</v>
      </c>
      <c r="J251" s="24">
        <v>7</v>
      </c>
      <c r="K251" s="23" t="s">
        <v>141</v>
      </c>
      <c r="L251" s="23" t="s">
        <v>179</v>
      </c>
      <c r="M251" s="28">
        <v>46563396</v>
      </c>
      <c r="N251" s="28">
        <v>63313535</v>
      </c>
    </row>
    <row r="252" spans="1:14">
      <c r="A252" s="23">
        <v>241</v>
      </c>
      <c r="B252" s="23" t="s">
        <v>88</v>
      </c>
      <c r="C252" s="137" t="s">
        <v>364</v>
      </c>
      <c r="D252" s="24" t="s">
        <v>13</v>
      </c>
      <c r="E252" s="24" t="s">
        <v>21</v>
      </c>
      <c r="F252" s="24" t="s">
        <v>10</v>
      </c>
      <c r="G252" s="25" t="s">
        <v>11</v>
      </c>
      <c r="H252" s="24" t="s">
        <v>12</v>
      </c>
      <c r="I252" s="24">
        <v>8</v>
      </c>
      <c r="J252" s="24">
        <v>8</v>
      </c>
      <c r="K252" s="28">
        <v>20000000</v>
      </c>
      <c r="L252" s="28">
        <v>40064620</v>
      </c>
      <c r="M252" s="28">
        <v>98137438</v>
      </c>
      <c r="N252" s="23" t="s">
        <v>179</v>
      </c>
    </row>
    <row r="253" spans="1:14">
      <c r="A253" s="23">
        <v>242</v>
      </c>
      <c r="B253" s="23" t="s">
        <v>90</v>
      </c>
      <c r="C253" s="137" t="s">
        <v>322</v>
      </c>
      <c r="D253" s="24" t="s">
        <v>115</v>
      </c>
      <c r="E253" s="24" t="s">
        <v>21</v>
      </c>
      <c r="F253" s="24" t="s">
        <v>10</v>
      </c>
      <c r="G253" s="25" t="s">
        <v>27</v>
      </c>
      <c r="H253" s="24" t="s">
        <v>12</v>
      </c>
      <c r="I253" s="24">
        <v>5</v>
      </c>
      <c r="J253" s="24">
        <v>9</v>
      </c>
      <c r="K253" s="28">
        <v>30000000</v>
      </c>
      <c r="L253" s="28">
        <v>45289360</v>
      </c>
      <c r="M253" s="23" t="s">
        <v>179</v>
      </c>
      <c r="N253" s="28">
        <v>46980526</v>
      </c>
    </row>
    <row r="254" spans="1:14">
      <c r="A254" s="23">
        <v>243</v>
      </c>
      <c r="B254" s="23" t="s">
        <v>91</v>
      </c>
      <c r="C254" s="137" t="s">
        <v>337</v>
      </c>
      <c r="D254" s="24" t="s">
        <v>28</v>
      </c>
      <c r="E254" s="24" t="s">
        <v>25</v>
      </c>
      <c r="F254" s="24" t="s">
        <v>10</v>
      </c>
      <c r="G254" s="25" t="s">
        <v>27</v>
      </c>
      <c r="H254" s="24" t="s">
        <v>12</v>
      </c>
      <c r="I254" s="24">
        <v>8</v>
      </c>
      <c r="J254" s="24">
        <v>6</v>
      </c>
      <c r="K254" s="28">
        <v>30000000</v>
      </c>
      <c r="L254" s="28">
        <v>34397393</v>
      </c>
      <c r="M254" s="28">
        <v>72192037</v>
      </c>
      <c r="N254" s="28">
        <v>21247716</v>
      </c>
    </row>
    <row r="255" spans="1:14">
      <c r="A255" s="23">
        <v>244</v>
      </c>
      <c r="B255" s="23" t="s">
        <v>92</v>
      </c>
      <c r="C255" s="137" t="s">
        <v>405</v>
      </c>
      <c r="D255" s="24" t="s">
        <v>13</v>
      </c>
      <c r="E255" s="24" t="s">
        <v>21</v>
      </c>
      <c r="F255" s="24" t="s">
        <v>17</v>
      </c>
      <c r="G255" s="25" t="s">
        <v>18</v>
      </c>
      <c r="H255" s="24" t="s">
        <v>30</v>
      </c>
      <c r="I255" s="24">
        <v>4</v>
      </c>
      <c r="J255" s="24">
        <v>9</v>
      </c>
      <c r="K255" s="23" t="s">
        <v>141</v>
      </c>
      <c r="L255" s="23" t="s">
        <v>179</v>
      </c>
      <c r="M255" s="28">
        <v>69870077</v>
      </c>
      <c r="N255" s="28">
        <v>98441580</v>
      </c>
    </row>
    <row r="256" spans="1:14">
      <c r="A256" s="23">
        <v>245</v>
      </c>
      <c r="B256" s="23" t="s">
        <v>93</v>
      </c>
      <c r="C256" s="137" t="s">
        <v>317</v>
      </c>
      <c r="D256" s="24" t="s">
        <v>13</v>
      </c>
      <c r="E256" s="24" t="s">
        <v>25</v>
      </c>
      <c r="F256" s="24" t="s">
        <v>10</v>
      </c>
      <c r="G256" s="25" t="s">
        <v>27</v>
      </c>
      <c r="H256" s="24" t="s">
        <v>12</v>
      </c>
      <c r="I256" s="24">
        <v>9</v>
      </c>
      <c r="J256" s="24">
        <v>8</v>
      </c>
      <c r="K256" s="28">
        <v>1000000</v>
      </c>
      <c r="L256" s="28">
        <v>34126405</v>
      </c>
      <c r="M256" s="28">
        <v>88265167</v>
      </c>
      <c r="N256" s="28">
        <v>56002928</v>
      </c>
    </row>
    <row r="257" spans="1:14">
      <c r="A257" s="23">
        <v>246</v>
      </c>
      <c r="B257" s="23" t="s">
        <v>94</v>
      </c>
      <c r="C257" s="137" t="s">
        <v>376</v>
      </c>
      <c r="D257" s="24" t="s">
        <v>13</v>
      </c>
      <c r="E257" s="24" t="s">
        <v>21</v>
      </c>
      <c r="F257" s="24" t="s">
        <v>10</v>
      </c>
      <c r="G257" s="25" t="s">
        <v>11</v>
      </c>
      <c r="H257" s="24" t="s">
        <v>12</v>
      </c>
      <c r="I257" s="24">
        <v>6</v>
      </c>
      <c r="J257" s="24">
        <v>5</v>
      </c>
      <c r="K257" s="28">
        <v>1000000</v>
      </c>
      <c r="L257" s="28">
        <v>53008255</v>
      </c>
      <c r="M257" s="28">
        <v>46917910</v>
      </c>
      <c r="N257" s="28">
        <v>47557281</v>
      </c>
    </row>
    <row r="258" spans="1:14">
      <c r="A258" s="23">
        <v>247</v>
      </c>
      <c r="B258" s="23" t="s">
        <v>95</v>
      </c>
      <c r="C258" s="137" t="s">
        <v>355</v>
      </c>
      <c r="D258" s="24" t="s">
        <v>13</v>
      </c>
      <c r="E258" s="24" t="s">
        <v>21</v>
      </c>
      <c r="F258" s="24" t="s">
        <v>17</v>
      </c>
      <c r="G258" s="25" t="s">
        <v>18</v>
      </c>
      <c r="H258" s="24" t="s">
        <v>12</v>
      </c>
      <c r="I258" s="24">
        <v>3</v>
      </c>
      <c r="J258" s="24">
        <v>6</v>
      </c>
      <c r="K258" s="23" t="s">
        <v>141</v>
      </c>
      <c r="L258" s="23" t="s">
        <v>179</v>
      </c>
      <c r="M258" s="23" t="s">
        <v>179</v>
      </c>
      <c r="N258" s="28">
        <v>22675260</v>
      </c>
    </row>
    <row r="259" spans="1:14">
      <c r="A259" s="23">
        <v>248</v>
      </c>
      <c r="B259" s="23" t="s">
        <v>97</v>
      </c>
      <c r="C259" s="137" t="s">
        <v>327</v>
      </c>
      <c r="D259" s="24" t="s">
        <v>13</v>
      </c>
      <c r="E259" s="24" t="s">
        <v>21</v>
      </c>
      <c r="F259" s="24" t="s">
        <v>10</v>
      </c>
      <c r="G259" s="25" t="s">
        <v>11</v>
      </c>
      <c r="H259" s="24" t="s">
        <v>12</v>
      </c>
      <c r="I259" s="24">
        <v>3</v>
      </c>
      <c r="J259" s="24">
        <v>6</v>
      </c>
      <c r="K259" s="28">
        <v>100000000</v>
      </c>
      <c r="L259" s="28">
        <v>94688720</v>
      </c>
      <c r="M259" s="28">
        <v>86323763</v>
      </c>
      <c r="N259" s="28">
        <v>20929788</v>
      </c>
    </row>
    <row r="260" spans="1:14">
      <c r="A260" s="23">
        <v>249</v>
      </c>
      <c r="B260" s="23" t="s">
        <v>98</v>
      </c>
      <c r="C260" s="137" t="s">
        <v>307</v>
      </c>
      <c r="D260" s="24" t="s">
        <v>13</v>
      </c>
      <c r="E260" s="24" t="s">
        <v>54</v>
      </c>
      <c r="F260" s="24" t="s">
        <v>55</v>
      </c>
      <c r="G260" s="25" t="s">
        <v>56</v>
      </c>
      <c r="H260" s="24" t="s">
        <v>12</v>
      </c>
      <c r="I260" s="24">
        <v>7</v>
      </c>
      <c r="J260" s="24">
        <v>5</v>
      </c>
      <c r="K260" s="23" t="s">
        <v>141</v>
      </c>
      <c r="L260" s="23" t="s">
        <v>179</v>
      </c>
      <c r="M260" s="28">
        <v>96750826</v>
      </c>
      <c r="N260" s="28">
        <v>31435769</v>
      </c>
    </row>
    <row r="261" spans="1:14">
      <c r="A261" s="23">
        <v>250</v>
      </c>
      <c r="B261" s="23" t="s">
        <v>99</v>
      </c>
      <c r="C261" s="137" t="s">
        <v>384</v>
      </c>
      <c r="D261" s="24" t="s">
        <v>13</v>
      </c>
      <c r="E261" s="24" t="s">
        <v>25</v>
      </c>
      <c r="F261" s="24" t="s">
        <v>10</v>
      </c>
      <c r="G261" s="25" t="s">
        <v>11</v>
      </c>
      <c r="H261" s="24" t="s">
        <v>12</v>
      </c>
      <c r="I261" s="24">
        <v>3</v>
      </c>
      <c r="J261" s="24">
        <v>9</v>
      </c>
      <c r="K261" s="28">
        <v>10000000</v>
      </c>
      <c r="L261" s="28">
        <v>89686683</v>
      </c>
      <c r="M261" s="28">
        <v>62448793</v>
      </c>
      <c r="N261" s="28">
        <v>26812600</v>
      </c>
    </row>
    <row r="262" spans="1:14">
      <c r="A262" s="23">
        <v>251</v>
      </c>
      <c r="B262" s="23" t="s">
        <v>101</v>
      </c>
      <c r="C262" s="137" t="s">
        <v>328</v>
      </c>
      <c r="D262" s="24" t="s">
        <v>28</v>
      </c>
      <c r="E262" s="24" t="s">
        <v>21</v>
      </c>
      <c r="F262" s="24" t="s">
        <v>10</v>
      </c>
      <c r="G262" s="25" t="s">
        <v>27</v>
      </c>
      <c r="H262" s="24" t="s">
        <v>12</v>
      </c>
      <c r="I262" s="24">
        <v>7</v>
      </c>
      <c r="J262" s="24">
        <v>6</v>
      </c>
      <c r="K262" s="28">
        <v>30000000</v>
      </c>
      <c r="L262" s="28">
        <v>32890743</v>
      </c>
      <c r="M262" s="23" t="s">
        <v>179</v>
      </c>
      <c r="N262" s="28">
        <v>39864620</v>
      </c>
    </row>
    <row r="263" spans="1:14">
      <c r="A263" s="23">
        <v>252</v>
      </c>
      <c r="B263" s="23" t="s">
        <v>103</v>
      </c>
      <c r="C263" s="137" t="s">
        <v>329</v>
      </c>
      <c r="D263" s="24" t="s">
        <v>13</v>
      </c>
      <c r="E263" s="24" t="s">
        <v>25</v>
      </c>
      <c r="F263" s="24" t="s">
        <v>10</v>
      </c>
      <c r="G263" s="25" t="s">
        <v>11</v>
      </c>
      <c r="H263" s="24" t="s">
        <v>12</v>
      </c>
      <c r="I263" s="24">
        <v>9</v>
      </c>
      <c r="J263" s="24">
        <v>10</v>
      </c>
      <c r="K263" s="28">
        <v>10000000</v>
      </c>
      <c r="L263" s="28">
        <v>32370896</v>
      </c>
      <c r="M263" s="28">
        <v>96066942</v>
      </c>
      <c r="N263" s="28">
        <v>3767736</v>
      </c>
    </row>
    <row r="264" spans="1:14">
      <c r="A264" s="23">
        <v>253</v>
      </c>
      <c r="B264" s="23" t="s">
        <v>104</v>
      </c>
      <c r="C264" s="137" t="s">
        <v>394</v>
      </c>
      <c r="D264" s="24" t="s">
        <v>28</v>
      </c>
      <c r="E264" s="24" t="s">
        <v>25</v>
      </c>
      <c r="F264" s="24" t="s">
        <v>17</v>
      </c>
      <c r="G264" s="25" t="s">
        <v>23</v>
      </c>
      <c r="H264" s="24" t="s">
        <v>12</v>
      </c>
      <c r="I264" s="24">
        <v>3</v>
      </c>
      <c r="J264" s="24">
        <v>9</v>
      </c>
      <c r="K264" s="23" t="s">
        <v>141</v>
      </c>
      <c r="L264" s="23" t="s">
        <v>179</v>
      </c>
      <c r="M264" s="28">
        <v>24514428</v>
      </c>
      <c r="N264" s="28">
        <v>27890231</v>
      </c>
    </row>
    <row r="265" spans="1:14">
      <c r="A265" s="23">
        <v>254</v>
      </c>
      <c r="B265" s="23" t="s">
        <v>105</v>
      </c>
      <c r="C265" s="137" t="s">
        <v>323</v>
      </c>
      <c r="D265" s="24" t="s">
        <v>13</v>
      </c>
      <c r="E265" s="24" t="s">
        <v>21</v>
      </c>
      <c r="F265" s="24" t="s">
        <v>10</v>
      </c>
      <c r="G265" s="25" t="s">
        <v>11</v>
      </c>
      <c r="H265" s="24" t="s">
        <v>30</v>
      </c>
      <c r="I265" s="24">
        <v>8</v>
      </c>
      <c r="J265" s="24">
        <v>5</v>
      </c>
      <c r="K265" s="28">
        <v>10000000</v>
      </c>
      <c r="L265" s="28">
        <v>31953589</v>
      </c>
      <c r="M265" s="28">
        <v>40068224</v>
      </c>
      <c r="N265" s="28">
        <v>80951038</v>
      </c>
    </row>
    <row r="266" spans="1:14">
      <c r="A266" s="23">
        <v>255</v>
      </c>
      <c r="B266" s="23" t="s">
        <v>106</v>
      </c>
      <c r="C266" s="137" t="s">
        <v>350</v>
      </c>
      <c r="D266" s="24" t="s">
        <v>13</v>
      </c>
      <c r="E266" s="24" t="s">
        <v>21</v>
      </c>
      <c r="F266" s="24" t="s">
        <v>10</v>
      </c>
      <c r="G266" s="25" t="s">
        <v>11</v>
      </c>
      <c r="H266" s="24" t="s">
        <v>12</v>
      </c>
      <c r="I266" s="24">
        <v>7</v>
      </c>
      <c r="J266" s="24">
        <v>8</v>
      </c>
      <c r="K266" s="28">
        <v>50000000</v>
      </c>
      <c r="L266" s="28">
        <v>78205651</v>
      </c>
      <c r="M266" s="28">
        <v>62381180</v>
      </c>
      <c r="N266" s="28">
        <v>6508585</v>
      </c>
    </row>
    <row r="267" spans="1:14">
      <c r="A267" s="23">
        <v>256</v>
      </c>
      <c r="B267" s="23" t="s">
        <v>107</v>
      </c>
      <c r="C267" s="137" t="s">
        <v>314</v>
      </c>
      <c r="D267" s="24" t="s">
        <v>77</v>
      </c>
      <c r="E267" s="24" t="s">
        <v>15</v>
      </c>
      <c r="F267" s="24" t="s">
        <v>17</v>
      </c>
      <c r="G267" s="25" t="s">
        <v>18</v>
      </c>
      <c r="H267" s="24" t="s">
        <v>12</v>
      </c>
      <c r="I267" s="24">
        <v>3</v>
      </c>
      <c r="J267" s="24">
        <v>10</v>
      </c>
      <c r="K267" s="23" t="s">
        <v>141</v>
      </c>
      <c r="L267" s="23" t="s">
        <v>179</v>
      </c>
      <c r="M267" s="28">
        <v>34584522</v>
      </c>
      <c r="N267" s="23" t="s">
        <v>179</v>
      </c>
    </row>
    <row r="268" spans="1:14">
      <c r="A268" s="23">
        <v>257</v>
      </c>
      <c r="B268" s="23" t="s">
        <v>108</v>
      </c>
      <c r="C268" s="137" t="s">
        <v>315</v>
      </c>
      <c r="D268" s="24" t="s">
        <v>13</v>
      </c>
      <c r="E268" s="24" t="s">
        <v>21</v>
      </c>
      <c r="F268" s="24" t="s">
        <v>55</v>
      </c>
      <c r="G268" s="25" t="s">
        <v>80</v>
      </c>
      <c r="H268" s="24" t="s">
        <v>12</v>
      </c>
      <c r="I268" s="24">
        <v>6</v>
      </c>
      <c r="J268" s="24">
        <v>10</v>
      </c>
      <c r="K268" s="23" t="s">
        <v>141</v>
      </c>
      <c r="L268" s="23" t="s">
        <v>179</v>
      </c>
      <c r="M268" s="28">
        <v>76942676</v>
      </c>
      <c r="N268" s="28">
        <v>74216691</v>
      </c>
    </row>
    <row r="269" spans="1:14">
      <c r="A269" s="23">
        <v>258</v>
      </c>
      <c r="B269" s="23" t="s">
        <v>109</v>
      </c>
      <c r="C269" s="137" t="s">
        <v>338</v>
      </c>
      <c r="D269" s="24" t="s">
        <v>13</v>
      </c>
      <c r="E269" s="24" t="s">
        <v>25</v>
      </c>
      <c r="F269" s="24" t="s">
        <v>10</v>
      </c>
      <c r="G269" s="25" t="s">
        <v>27</v>
      </c>
      <c r="H269" s="24" t="s">
        <v>30</v>
      </c>
      <c r="I269" s="24">
        <v>8</v>
      </c>
      <c r="J269" s="24">
        <v>10</v>
      </c>
      <c r="K269" s="28">
        <v>5000000</v>
      </c>
      <c r="L269" s="28">
        <v>70270294</v>
      </c>
      <c r="M269" s="28">
        <v>19588762</v>
      </c>
      <c r="N269" s="28">
        <v>78634577</v>
      </c>
    </row>
    <row r="270" spans="1:14">
      <c r="A270" s="23">
        <v>259</v>
      </c>
      <c r="B270" s="23" t="s">
        <v>110</v>
      </c>
      <c r="C270" s="137" t="s">
        <v>335</v>
      </c>
      <c r="D270" s="24" t="s">
        <v>32</v>
      </c>
      <c r="E270" s="24" t="s">
        <v>15</v>
      </c>
      <c r="F270" s="24" t="s">
        <v>17</v>
      </c>
      <c r="G270" s="25" t="s">
        <v>18</v>
      </c>
      <c r="H270" s="24" t="s">
        <v>12</v>
      </c>
      <c r="I270" s="24">
        <v>3</v>
      </c>
      <c r="J270" s="24">
        <v>5</v>
      </c>
      <c r="K270" s="23" t="s">
        <v>141</v>
      </c>
      <c r="L270" s="23" t="s">
        <v>179</v>
      </c>
      <c r="M270" s="28">
        <v>85955846</v>
      </c>
      <c r="N270" s="28">
        <v>25891596</v>
      </c>
    </row>
    <row r="271" spans="1:14">
      <c r="A271" s="23">
        <v>260</v>
      </c>
      <c r="B271" s="23" t="s">
        <v>111</v>
      </c>
      <c r="C271" s="137" t="s">
        <v>357</v>
      </c>
      <c r="D271" s="24" t="s">
        <v>13</v>
      </c>
      <c r="E271" s="24" t="s">
        <v>15</v>
      </c>
      <c r="F271" s="24" t="s">
        <v>10</v>
      </c>
      <c r="G271" s="25" t="s">
        <v>27</v>
      </c>
      <c r="H271" s="24" t="s">
        <v>30</v>
      </c>
      <c r="I271" s="24">
        <v>6</v>
      </c>
      <c r="J271" s="24">
        <v>7</v>
      </c>
      <c r="K271" s="28">
        <v>20000000</v>
      </c>
      <c r="L271" s="28">
        <v>62745331</v>
      </c>
      <c r="M271" s="28">
        <v>39843357</v>
      </c>
      <c r="N271" s="28">
        <v>64840967</v>
      </c>
    </row>
    <row r="272" spans="1:14">
      <c r="A272" s="23">
        <v>261</v>
      </c>
      <c r="B272" s="23" t="s">
        <v>112</v>
      </c>
      <c r="C272" s="137" t="s">
        <v>389</v>
      </c>
      <c r="D272" s="24" t="s">
        <v>13</v>
      </c>
      <c r="E272" s="24" t="s">
        <v>21</v>
      </c>
      <c r="F272" s="24" t="s">
        <v>17</v>
      </c>
      <c r="G272" s="25" t="s">
        <v>23</v>
      </c>
      <c r="H272" s="24" t="s">
        <v>12</v>
      </c>
      <c r="I272" s="24">
        <v>7</v>
      </c>
      <c r="J272" s="24">
        <v>5</v>
      </c>
      <c r="K272" s="23" t="s">
        <v>141</v>
      </c>
      <c r="L272" s="23" t="s">
        <v>179</v>
      </c>
      <c r="M272" s="28">
        <v>82583322</v>
      </c>
      <c r="N272" s="28">
        <v>809058</v>
      </c>
    </row>
    <row r="273" spans="1:14">
      <c r="A273" s="23">
        <v>262</v>
      </c>
      <c r="B273" s="23" t="s">
        <v>113</v>
      </c>
      <c r="C273" s="137" t="s">
        <v>342</v>
      </c>
      <c r="D273" s="24" t="s">
        <v>13</v>
      </c>
      <c r="E273" s="24" t="s">
        <v>21</v>
      </c>
      <c r="F273" s="24" t="s">
        <v>10</v>
      </c>
      <c r="G273" s="25" t="s">
        <v>27</v>
      </c>
      <c r="H273" s="24" t="s">
        <v>30</v>
      </c>
      <c r="I273" s="24">
        <v>6</v>
      </c>
      <c r="J273" s="24">
        <v>4</v>
      </c>
      <c r="K273" s="28">
        <v>10000000</v>
      </c>
      <c r="L273" s="28">
        <v>59890317</v>
      </c>
      <c r="M273" s="28">
        <v>42451842</v>
      </c>
      <c r="N273" s="23" t="s">
        <v>179</v>
      </c>
    </row>
    <row r="274" spans="1:14">
      <c r="A274" s="23">
        <v>263</v>
      </c>
      <c r="B274" s="23" t="s">
        <v>114</v>
      </c>
      <c r="C274" s="137" t="s">
        <v>385</v>
      </c>
      <c r="D274" s="24" t="s">
        <v>13</v>
      </c>
      <c r="E274" s="24" t="s">
        <v>15</v>
      </c>
      <c r="F274" s="24" t="s">
        <v>10</v>
      </c>
      <c r="G274" s="25" t="s">
        <v>11</v>
      </c>
      <c r="H274" s="24" t="s">
        <v>12</v>
      </c>
      <c r="I274" s="24">
        <v>3</v>
      </c>
      <c r="J274" s="24">
        <v>7</v>
      </c>
      <c r="K274" s="28">
        <v>10000000</v>
      </c>
      <c r="L274" s="28">
        <v>97449662</v>
      </c>
      <c r="M274" s="28">
        <v>49624160</v>
      </c>
      <c r="N274" s="28">
        <v>17854677</v>
      </c>
    </row>
    <row r="275" spans="1:14">
      <c r="A275" s="23">
        <v>264</v>
      </c>
      <c r="B275" s="23" t="s">
        <v>116</v>
      </c>
      <c r="C275" s="137" t="s">
        <v>378</v>
      </c>
      <c r="D275" s="24" t="s">
        <v>13</v>
      </c>
      <c r="E275" s="24" t="s">
        <v>9</v>
      </c>
      <c r="F275" s="24" t="s">
        <v>17</v>
      </c>
      <c r="G275" s="25" t="s">
        <v>23</v>
      </c>
      <c r="H275" s="24" t="s">
        <v>12</v>
      </c>
      <c r="I275" s="24">
        <v>4</v>
      </c>
      <c r="J275" s="24">
        <v>9</v>
      </c>
      <c r="K275" s="23" t="s">
        <v>141</v>
      </c>
      <c r="L275" s="23" t="s">
        <v>179</v>
      </c>
      <c r="M275" s="28">
        <v>44422091</v>
      </c>
      <c r="N275" s="28">
        <v>8898260</v>
      </c>
    </row>
    <row r="276" spans="1:14">
      <c r="A276" s="23">
        <v>265</v>
      </c>
      <c r="B276" s="23" t="s">
        <v>117</v>
      </c>
      <c r="C276" s="137" t="s">
        <v>387</v>
      </c>
      <c r="D276" s="24" t="s">
        <v>13</v>
      </c>
      <c r="E276" s="24" t="s">
        <v>21</v>
      </c>
      <c r="F276" s="24" t="s">
        <v>17</v>
      </c>
      <c r="G276" s="25" t="s">
        <v>18</v>
      </c>
      <c r="H276" s="24" t="s">
        <v>12</v>
      </c>
      <c r="I276" s="24">
        <v>4</v>
      </c>
      <c r="J276" s="24">
        <v>5</v>
      </c>
      <c r="K276" s="23" t="s">
        <v>141</v>
      </c>
      <c r="L276" s="23" t="s">
        <v>179</v>
      </c>
      <c r="M276" s="23" t="s">
        <v>179</v>
      </c>
      <c r="N276" s="28">
        <v>63436099</v>
      </c>
    </row>
    <row r="277" spans="1:14">
      <c r="A277" s="23">
        <v>266</v>
      </c>
      <c r="B277" s="23" t="s">
        <v>118</v>
      </c>
      <c r="C277" s="137" t="s">
        <v>308</v>
      </c>
      <c r="D277" s="24" t="s">
        <v>102</v>
      </c>
      <c r="E277" s="24" t="s">
        <v>21</v>
      </c>
      <c r="F277" s="24" t="s">
        <v>10</v>
      </c>
      <c r="G277" s="25" t="s">
        <v>11</v>
      </c>
      <c r="H277" s="24" t="s">
        <v>30</v>
      </c>
      <c r="I277" s="24">
        <v>5</v>
      </c>
      <c r="J277" s="24">
        <v>10</v>
      </c>
      <c r="K277" s="28">
        <v>10000000</v>
      </c>
      <c r="L277" s="28">
        <v>99989764</v>
      </c>
      <c r="M277" s="28">
        <v>8030175</v>
      </c>
      <c r="N277" s="28">
        <v>37676206</v>
      </c>
    </row>
    <row r="278" spans="1:14">
      <c r="A278" s="23">
        <v>267</v>
      </c>
      <c r="B278" s="23" t="s">
        <v>119</v>
      </c>
      <c r="C278" s="137" t="s">
        <v>372</v>
      </c>
      <c r="D278" s="24" t="s">
        <v>13</v>
      </c>
      <c r="E278" s="24" t="s">
        <v>21</v>
      </c>
      <c r="F278" s="24" t="s">
        <v>17</v>
      </c>
      <c r="G278" s="25" t="s">
        <v>18</v>
      </c>
      <c r="H278" s="24" t="s">
        <v>30</v>
      </c>
      <c r="I278" s="24">
        <v>6</v>
      </c>
      <c r="J278" s="24">
        <v>7</v>
      </c>
      <c r="K278" s="23" t="s">
        <v>141</v>
      </c>
      <c r="L278" s="23" t="s">
        <v>179</v>
      </c>
      <c r="M278" s="28">
        <v>12862402</v>
      </c>
      <c r="N278" s="28">
        <v>68922404</v>
      </c>
    </row>
    <row r="279" spans="1:14">
      <c r="A279" s="23">
        <v>268</v>
      </c>
      <c r="B279" s="23" t="s">
        <v>120</v>
      </c>
      <c r="C279" s="137" t="s">
        <v>348</v>
      </c>
      <c r="D279" s="24" t="s">
        <v>13</v>
      </c>
      <c r="E279" s="24" t="s">
        <v>25</v>
      </c>
      <c r="F279" s="24" t="s">
        <v>17</v>
      </c>
      <c r="G279" s="25" t="s">
        <v>18</v>
      </c>
      <c r="H279" s="24" t="s">
        <v>30</v>
      </c>
      <c r="I279" s="24">
        <v>9</v>
      </c>
      <c r="J279" s="24">
        <v>6</v>
      </c>
      <c r="K279" s="23" t="s">
        <v>141</v>
      </c>
      <c r="L279" s="23" t="s">
        <v>179</v>
      </c>
      <c r="M279" s="28">
        <v>46914257</v>
      </c>
      <c r="N279" s="28">
        <v>43734508</v>
      </c>
    </row>
    <row r="280" spans="1:14">
      <c r="A280" s="23">
        <v>269</v>
      </c>
      <c r="B280" s="23" t="s">
        <v>121</v>
      </c>
      <c r="C280" s="137" t="s">
        <v>352</v>
      </c>
      <c r="D280" s="24" t="s">
        <v>13</v>
      </c>
      <c r="E280" s="24" t="s">
        <v>54</v>
      </c>
      <c r="F280" s="24" t="s">
        <v>55</v>
      </c>
      <c r="G280" s="25" t="s">
        <v>56</v>
      </c>
      <c r="H280" s="24" t="s">
        <v>12</v>
      </c>
      <c r="I280" s="24">
        <v>5</v>
      </c>
      <c r="J280" s="24">
        <v>6</v>
      </c>
      <c r="K280" s="23" t="s">
        <v>141</v>
      </c>
      <c r="L280" s="23" t="s">
        <v>179</v>
      </c>
      <c r="M280" s="28">
        <v>95212463</v>
      </c>
      <c r="N280" s="23" t="s">
        <v>179</v>
      </c>
    </row>
    <row r="281" spans="1:14">
      <c r="A281" s="23">
        <v>270</v>
      </c>
      <c r="B281" s="23" t="s">
        <v>122</v>
      </c>
      <c r="C281" s="137" t="s">
        <v>351</v>
      </c>
      <c r="D281" s="24" t="s">
        <v>13</v>
      </c>
      <c r="E281" s="24" t="s">
        <v>21</v>
      </c>
      <c r="F281" s="24" t="s">
        <v>10</v>
      </c>
      <c r="G281" s="25" t="s">
        <v>11</v>
      </c>
      <c r="H281" s="24" t="s">
        <v>12</v>
      </c>
      <c r="I281" s="24">
        <v>6</v>
      </c>
      <c r="J281" s="24">
        <v>10</v>
      </c>
      <c r="K281" s="28">
        <v>5000000</v>
      </c>
      <c r="L281" s="28">
        <v>32915397</v>
      </c>
      <c r="M281" s="28">
        <v>74493461</v>
      </c>
      <c r="N281" s="28">
        <v>151779</v>
      </c>
    </row>
    <row r="282" spans="1:14">
      <c r="A282" s="23">
        <v>271</v>
      </c>
      <c r="B282" s="23" t="s">
        <v>123</v>
      </c>
      <c r="C282" s="137" t="s">
        <v>360</v>
      </c>
      <c r="D282" s="24" t="s">
        <v>13</v>
      </c>
      <c r="E282" s="24" t="s">
        <v>25</v>
      </c>
      <c r="F282" s="24" t="s">
        <v>17</v>
      </c>
      <c r="G282" s="25" t="s">
        <v>18</v>
      </c>
      <c r="H282" s="24" t="s">
        <v>12</v>
      </c>
      <c r="I282" s="24">
        <v>6</v>
      </c>
      <c r="J282" s="24">
        <v>7</v>
      </c>
      <c r="K282" s="23" t="s">
        <v>141</v>
      </c>
      <c r="L282" s="23" t="s">
        <v>179</v>
      </c>
      <c r="M282" s="28">
        <v>43223505</v>
      </c>
      <c r="N282" s="23" t="s">
        <v>179</v>
      </c>
    </row>
    <row r="283" spans="1:14">
      <c r="A283" s="23">
        <v>272</v>
      </c>
      <c r="B283" s="23" t="s">
        <v>124</v>
      </c>
      <c r="C283" s="137" t="s">
        <v>332</v>
      </c>
      <c r="D283" s="24" t="s">
        <v>13</v>
      </c>
      <c r="E283" s="24" t="s">
        <v>21</v>
      </c>
      <c r="F283" s="24" t="s">
        <v>17</v>
      </c>
      <c r="G283" s="25" t="s">
        <v>18</v>
      </c>
      <c r="H283" s="24" t="s">
        <v>12</v>
      </c>
      <c r="I283" s="24">
        <v>8</v>
      </c>
      <c r="J283" s="24">
        <v>9</v>
      </c>
      <c r="K283" s="23" t="s">
        <v>141</v>
      </c>
      <c r="L283" s="23" t="s">
        <v>179</v>
      </c>
      <c r="M283" s="28">
        <v>14141858</v>
      </c>
      <c r="N283" s="28">
        <v>87162317</v>
      </c>
    </row>
    <row r="284" spans="1:14">
      <c r="A284" s="23">
        <v>273</v>
      </c>
      <c r="B284" s="23" t="s">
        <v>125</v>
      </c>
      <c r="C284" s="137" t="s">
        <v>311</v>
      </c>
      <c r="D284" s="24" t="s">
        <v>13</v>
      </c>
      <c r="E284" s="24" t="s">
        <v>21</v>
      </c>
      <c r="F284" s="24" t="s">
        <v>17</v>
      </c>
      <c r="G284" s="25" t="s">
        <v>18</v>
      </c>
      <c r="H284" s="24" t="s">
        <v>12</v>
      </c>
      <c r="I284" s="24">
        <v>7</v>
      </c>
      <c r="J284" s="24">
        <v>5</v>
      </c>
      <c r="K284" s="23" t="s">
        <v>141</v>
      </c>
      <c r="L284" s="23" t="s">
        <v>179</v>
      </c>
      <c r="M284" s="28">
        <v>29525162</v>
      </c>
      <c r="N284" s="23" t="s">
        <v>179</v>
      </c>
    </row>
    <row r="285" spans="1:14">
      <c r="A285" s="23">
        <v>274</v>
      </c>
      <c r="B285" s="23" t="s">
        <v>126</v>
      </c>
      <c r="C285" s="137" t="s">
        <v>325</v>
      </c>
      <c r="D285" s="24" t="s">
        <v>13</v>
      </c>
      <c r="E285" s="24" t="s">
        <v>21</v>
      </c>
      <c r="F285" s="24" t="s">
        <v>17</v>
      </c>
      <c r="G285" s="25" t="s">
        <v>23</v>
      </c>
      <c r="H285" s="24" t="s">
        <v>30</v>
      </c>
      <c r="I285" s="24">
        <v>9</v>
      </c>
      <c r="J285" s="24">
        <v>9</v>
      </c>
      <c r="K285" s="23" t="s">
        <v>141</v>
      </c>
      <c r="L285" s="23" t="s">
        <v>179</v>
      </c>
      <c r="M285" s="28">
        <v>29366791</v>
      </c>
      <c r="N285" s="28">
        <v>89805774</v>
      </c>
    </row>
    <row r="286" spans="1:14">
      <c r="A286" s="23">
        <v>275</v>
      </c>
      <c r="B286" s="23" t="s">
        <v>127</v>
      </c>
      <c r="C286" s="137" t="s">
        <v>339</v>
      </c>
      <c r="D286" s="24" t="s">
        <v>32</v>
      </c>
      <c r="E286" s="24" t="s">
        <v>21</v>
      </c>
      <c r="F286" s="24" t="s">
        <v>17</v>
      </c>
      <c r="G286" s="25" t="s">
        <v>18</v>
      </c>
      <c r="H286" s="24" t="s">
        <v>30</v>
      </c>
      <c r="I286" s="24">
        <v>3</v>
      </c>
      <c r="J286" s="24">
        <v>10</v>
      </c>
      <c r="K286" s="23" t="s">
        <v>141</v>
      </c>
      <c r="L286" s="23" t="s">
        <v>179</v>
      </c>
      <c r="M286" s="28">
        <v>73195518</v>
      </c>
      <c r="N286" s="28">
        <v>10695678</v>
      </c>
    </row>
    <row r="287" spans="1:14">
      <c r="A287" s="23">
        <v>276</v>
      </c>
      <c r="B287" s="23" t="s">
        <v>128</v>
      </c>
      <c r="C287" s="137" t="s">
        <v>395</v>
      </c>
      <c r="D287" s="24" t="s">
        <v>13</v>
      </c>
      <c r="E287" s="24" t="s">
        <v>21</v>
      </c>
      <c r="F287" s="24" t="s">
        <v>17</v>
      </c>
      <c r="G287" s="25" t="s">
        <v>18</v>
      </c>
      <c r="H287" s="24" t="s">
        <v>12</v>
      </c>
      <c r="I287" s="24">
        <v>6</v>
      </c>
      <c r="J287" s="24">
        <v>9</v>
      </c>
      <c r="K287" s="23" t="s">
        <v>141</v>
      </c>
      <c r="L287" s="23" t="s">
        <v>179</v>
      </c>
      <c r="M287" s="28">
        <v>1432950</v>
      </c>
      <c r="N287" s="28">
        <v>29672451</v>
      </c>
    </row>
    <row r="288" spans="1:14">
      <c r="A288" s="23">
        <v>277</v>
      </c>
      <c r="B288" s="23" t="s">
        <v>129</v>
      </c>
      <c r="C288" s="137" t="s">
        <v>316</v>
      </c>
      <c r="D288" s="24" t="s">
        <v>13</v>
      </c>
      <c r="E288" s="24" t="s">
        <v>21</v>
      </c>
      <c r="F288" s="24" t="s">
        <v>10</v>
      </c>
      <c r="G288" s="25" t="s">
        <v>11</v>
      </c>
      <c r="H288" s="24" t="s">
        <v>30</v>
      </c>
      <c r="I288" s="24">
        <v>9</v>
      </c>
      <c r="J288" s="24">
        <v>7</v>
      </c>
      <c r="K288" s="28">
        <v>1000000</v>
      </c>
      <c r="L288" s="28">
        <v>77159264</v>
      </c>
      <c r="M288" s="23" t="s">
        <v>179</v>
      </c>
      <c r="N288" s="28">
        <v>97234303</v>
      </c>
    </row>
    <row r="289" spans="1:14">
      <c r="A289" s="23">
        <v>278</v>
      </c>
      <c r="B289" s="23" t="s">
        <v>131</v>
      </c>
      <c r="C289" s="137" t="s">
        <v>382</v>
      </c>
      <c r="D289" s="24" t="s">
        <v>13</v>
      </c>
      <c r="E289" s="24" t="s">
        <v>21</v>
      </c>
      <c r="F289" s="24" t="s">
        <v>10</v>
      </c>
      <c r="G289" s="25" t="s">
        <v>11</v>
      </c>
      <c r="H289" s="24" t="s">
        <v>12</v>
      </c>
      <c r="I289" s="24">
        <v>8</v>
      </c>
      <c r="J289" s="24">
        <v>10</v>
      </c>
      <c r="K289" s="28">
        <v>100000000</v>
      </c>
      <c r="L289" s="28">
        <v>12451199</v>
      </c>
      <c r="M289" s="28">
        <v>74231711</v>
      </c>
      <c r="N289" s="28">
        <v>42951226</v>
      </c>
    </row>
    <row r="290" spans="1:14">
      <c r="A290" s="23">
        <v>279</v>
      </c>
      <c r="B290" s="23" t="s">
        <v>132</v>
      </c>
      <c r="C290" s="137" t="s">
        <v>336</v>
      </c>
      <c r="D290" s="24" t="s">
        <v>13</v>
      </c>
      <c r="E290" s="24" t="s">
        <v>9</v>
      </c>
      <c r="F290" s="24" t="s">
        <v>10</v>
      </c>
      <c r="G290" s="25" t="s">
        <v>11</v>
      </c>
      <c r="H290" s="24" t="s">
        <v>30</v>
      </c>
      <c r="I290" s="24">
        <v>8</v>
      </c>
      <c r="J290" s="24">
        <v>7</v>
      </c>
      <c r="K290" s="28">
        <v>90000000</v>
      </c>
      <c r="L290" s="28">
        <v>13287929</v>
      </c>
      <c r="M290" s="28">
        <v>27090183</v>
      </c>
      <c r="N290" s="28">
        <v>79518711</v>
      </c>
    </row>
    <row r="291" spans="1:14">
      <c r="A291" s="23">
        <v>280</v>
      </c>
      <c r="B291" s="23" t="s">
        <v>133</v>
      </c>
      <c r="C291" s="137" t="s">
        <v>365</v>
      </c>
      <c r="D291" s="24" t="s">
        <v>13</v>
      </c>
      <c r="E291" s="24" t="s">
        <v>54</v>
      </c>
      <c r="F291" s="24" t="s">
        <v>55</v>
      </c>
      <c r="G291" s="25" t="s">
        <v>56</v>
      </c>
      <c r="H291" s="24" t="s">
        <v>12</v>
      </c>
      <c r="I291" s="24">
        <v>6</v>
      </c>
      <c r="J291" s="24">
        <v>4</v>
      </c>
      <c r="K291" s="23" t="s">
        <v>141</v>
      </c>
      <c r="L291" s="23" t="s">
        <v>179</v>
      </c>
      <c r="M291" s="28">
        <v>20898506</v>
      </c>
      <c r="N291" s="28">
        <v>24525645</v>
      </c>
    </row>
    <row r="292" spans="1:14">
      <c r="A292" s="23">
        <v>281</v>
      </c>
      <c r="B292" s="23" t="s">
        <v>134</v>
      </c>
      <c r="C292" s="137" t="s">
        <v>400</v>
      </c>
      <c r="D292" s="24" t="s">
        <v>13</v>
      </c>
      <c r="E292" s="24" t="s">
        <v>21</v>
      </c>
      <c r="F292" s="24" t="s">
        <v>10</v>
      </c>
      <c r="G292" s="25" t="s">
        <v>11</v>
      </c>
      <c r="H292" s="24" t="s">
        <v>12</v>
      </c>
      <c r="I292" s="24">
        <v>3</v>
      </c>
      <c r="J292" s="24">
        <v>5</v>
      </c>
      <c r="K292" s="28">
        <v>5000000</v>
      </c>
      <c r="L292" s="28">
        <v>37959268</v>
      </c>
      <c r="M292" s="28">
        <v>69132389</v>
      </c>
      <c r="N292" s="28">
        <v>99564796</v>
      </c>
    </row>
    <row r="293" spans="1:14">
      <c r="A293" s="23">
        <v>282</v>
      </c>
      <c r="B293" s="23" t="s">
        <v>135</v>
      </c>
      <c r="C293" s="137" t="s">
        <v>390</v>
      </c>
      <c r="D293" s="24" t="s">
        <v>13</v>
      </c>
      <c r="E293" s="24" t="s">
        <v>21</v>
      </c>
      <c r="F293" s="24" t="s">
        <v>17</v>
      </c>
      <c r="G293" s="25" t="s">
        <v>18</v>
      </c>
      <c r="H293" s="24" t="s">
        <v>30</v>
      </c>
      <c r="I293" s="24">
        <v>6</v>
      </c>
      <c r="J293" s="24">
        <v>6</v>
      </c>
      <c r="K293" s="23" t="s">
        <v>141</v>
      </c>
      <c r="L293" s="23" t="s">
        <v>179</v>
      </c>
      <c r="M293" s="28">
        <v>26450622</v>
      </c>
      <c r="N293" s="28">
        <v>4227264</v>
      </c>
    </row>
    <row r="294" spans="1:14">
      <c r="A294" s="23">
        <v>283</v>
      </c>
      <c r="B294" s="23" t="s">
        <v>41</v>
      </c>
      <c r="C294" s="137" t="s">
        <v>362</v>
      </c>
      <c r="D294" s="24" t="s">
        <v>13</v>
      </c>
      <c r="E294" s="24" t="s">
        <v>21</v>
      </c>
      <c r="F294" s="24" t="s">
        <v>17</v>
      </c>
      <c r="G294" s="25" t="s">
        <v>18</v>
      </c>
      <c r="H294" s="24" t="s">
        <v>30</v>
      </c>
      <c r="I294" s="24">
        <v>6</v>
      </c>
      <c r="J294" s="24">
        <v>7</v>
      </c>
      <c r="K294" s="23" t="s">
        <v>141</v>
      </c>
      <c r="L294" s="23" t="s">
        <v>179</v>
      </c>
      <c r="M294" s="23" t="s">
        <v>179</v>
      </c>
      <c r="N294" s="28">
        <v>54376640</v>
      </c>
    </row>
    <row r="295" spans="1:14">
      <c r="A295" s="23">
        <v>284</v>
      </c>
      <c r="B295" s="23" t="s">
        <v>42</v>
      </c>
      <c r="C295" s="137" t="s">
        <v>346</v>
      </c>
      <c r="D295" s="24" t="s">
        <v>13</v>
      </c>
      <c r="E295" s="24" t="s">
        <v>21</v>
      </c>
      <c r="F295" s="24" t="s">
        <v>10</v>
      </c>
      <c r="G295" s="25" t="s">
        <v>27</v>
      </c>
      <c r="H295" s="24" t="s">
        <v>12</v>
      </c>
      <c r="I295" s="24">
        <v>8</v>
      </c>
      <c r="J295" s="24">
        <v>10</v>
      </c>
      <c r="K295" s="28">
        <v>90000000</v>
      </c>
      <c r="L295" s="28">
        <v>29991873</v>
      </c>
      <c r="M295" s="28">
        <v>39252741</v>
      </c>
      <c r="N295" s="28">
        <v>15542722</v>
      </c>
    </row>
    <row r="296" spans="1:14">
      <c r="A296" s="23">
        <v>285</v>
      </c>
      <c r="B296" s="23" t="s">
        <v>43</v>
      </c>
      <c r="C296" s="137" t="s">
        <v>349</v>
      </c>
      <c r="D296" s="24" t="s">
        <v>13</v>
      </c>
      <c r="E296" s="24" t="s">
        <v>21</v>
      </c>
      <c r="F296" s="24" t="s">
        <v>10</v>
      </c>
      <c r="G296" s="25" t="s">
        <v>27</v>
      </c>
      <c r="H296" s="24" t="s">
        <v>12</v>
      </c>
      <c r="I296" s="24">
        <v>5</v>
      </c>
      <c r="J296" s="24">
        <v>9</v>
      </c>
      <c r="K296" s="28">
        <v>10000000</v>
      </c>
      <c r="L296" s="28">
        <v>7303129</v>
      </c>
      <c r="M296" s="28">
        <v>3765621</v>
      </c>
      <c r="N296" s="28">
        <v>18125151</v>
      </c>
    </row>
    <row r="297" spans="1:14">
      <c r="A297" s="23">
        <v>286</v>
      </c>
      <c r="B297" s="23" t="s">
        <v>44</v>
      </c>
      <c r="C297" s="137" t="s">
        <v>344</v>
      </c>
      <c r="D297" s="24" t="s">
        <v>13</v>
      </c>
      <c r="E297" s="24" t="s">
        <v>21</v>
      </c>
      <c r="F297" s="24" t="s">
        <v>10</v>
      </c>
      <c r="G297" s="25" t="s">
        <v>27</v>
      </c>
      <c r="H297" s="24" t="s">
        <v>12</v>
      </c>
      <c r="I297" s="24">
        <v>9</v>
      </c>
      <c r="J297" s="24">
        <v>5</v>
      </c>
      <c r="K297" s="28">
        <v>30000000</v>
      </c>
      <c r="L297" s="28">
        <v>44457754</v>
      </c>
      <c r="M297" s="23" t="s">
        <v>179</v>
      </c>
      <c r="N297" s="28">
        <v>62249765</v>
      </c>
    </row>
    <row r="298" spans="1:14">
      <c r="A298" s="23">
        <v>287</v>
      </c>
      <c r="B298" s="23" t="s">
        <v>45</v>
      </c>
      <c r="C298" s="137" t="s">
        <v>320</v>
      </c>
      <c r="D298" s="24" t="s">
        <v>13</v>
      </c>
      <c r="E298" s="24" t="s">
        <v>21</v>
      </c>
      <c r="F298" s="24" t="s">
        <v>10</v>
      </c>
      <c r="G298" s="25" t="s">
        <v>11</v>
      </c>
      <c r="H298" s="24" t="s">
        <v>12</v>
      </c>
      <c r="I298" s="24">
        <v>4</v>
      </c>
      <c r="J298" s="24">
        <v>7</v>
      </c>
      <c r="K298" s="28">
        <v>10000000</v>
      </c>
      <c r="L298" s="28">
        <v>54467236</v>
      </c>
      <c r="M298" s="23" t="s">
        <v>179</v>
      </c>
      <c r="N298" s="28">
        <v>1234692</v>
      </c>
    </row>
    <row r="299" spans="1:14">
      <c r="A299" s="23">
        <v>288</v>
      </c>
      <c r="B299" s="23" t="s">
        <v>46</v>
      </c>
      <c r="C299" s="137" t="s">
        <v>377</v>
      </c>
      <c r="D299" s="24" t="s">
        <v>13</v>
      </c>
      <c r="E299" s="24" t="s">
        <v>21</v>
      </c>
      <c r="F299" s="24" t="s">
        <v>10</v>
      </c>
      <c r="G299" s="25" t="s">
        <v>27</v>
      </c>
      <c r="H299" s="24" t="s">
        <v>12</v>
      </c>
      <c r="I299" s="24">
        <v>4</v>
      </c>
      <c r="J299" s="24">
        <v>6</v>
      </c>
      <c r="K299" s="28">
        <v>10000000</v>
      </c>
      <c r="L299" s="28">
        <v>17991607</v>
      </c>
      <c r="M299" s="23" t="s">
        <v>179</v>
      </c>
      <c r="N299" s="28">
        <v>174626</v>
      </c>
    </row>
    <row r="300" spans="1:14">
      <c r="A300" s="23">
        <v>289</v>
      </c>
      <c r="B300" s="23" t="s">
        <v>47</v>
      </c>
      <c r="C300" s="137" t="s">
        <v>374</v>
      </c>
      <c r="D300" s="24" t="s">
        <v>13</v>
      </c>
      <c r="E300" s="24" t="s">
        <v>21</v>
      </c>
      <c r="F300" s="24" t="s">
        <v>17</v>
      </c>
      <c r="G300" s="25" t="s">
        <v>23</v>
      </c>
      <c r="H300" s="24" t="s">
        <v>12</v>
      </c>
      <c r="I300" s="24">
        <v>9</v>
      </c>
      <c r="J300" s="24">
        <v>5</v>
      </c>
      <c r="K300" s="23" t="s">
        <v>141</v>
      </c>
      <c r="L300" s="23" t="s">
        <v>179</v>
      </c>
      <c r="M300" s="28">
        <v>24965127</v>
      </c>
      <c r="N300" s="28">
        <v>41129782</v>
      </c>
    </row>
    <row r="301" spans="1:14">
      <c r="A301" s="23">
        <v>290</v>
      </c>
      <c r="B301" s="23" t="s">
        <v>48</v>
      </c>
      <c r="C301" s="137" t="s">
        <v>340</v>
      </c>
      <c r="D301" s="24" t="s">
        <v>13</v>
      </c>
      <c r="E301" s="24" t="s">
        <v>9</v>
      </c>
      <c r="F301" s="24" t="s">
        <v>10</v>
      </c>
      <c r="G301" s="25" t="s">
        <v>27</v>
      </c>
      <c r="H301" s="24" t="s">
        <v>12</v>
      </c>
      <c r="I301" s="24">
        <v>6</v>
      </c>
      <c r="J301" s="24">
        <v>9</v>
      </c>
      <c r="K301" s="28">
        <v>1000000</v>
      </c>
      <c r="L301" s="28">
        <v>87347043</v>
      </c>
      <c r="M301" s="28">
        <v>50796112</v>
      </c>
      <c r="N301" s="28">
        <v>72757830</v>
      </c>
    </row>
    <row r="302" spans="1:14">
      <c r="A302" s="23">
        <v>291</v>
      </c>
      <c r="B302" s="23" t="s">
        <v>49</v>
      </c>
      <c r="C302" s="137" t="s">
        <v>371</v>
      </c>
      <c r="D302" s="24" t="s">
        <v>32</v>
      </c>
      <c r="E302" s="24" t="s">
        <v>25</v>
      </c>
      <c r="F302" s="24" t="s">
        <v>17</v>
      </c>
      <c r="G302" s="25" t="s">
        <v>18</v>
      </c>
      <c r="H302" s="24" t="s">
        <v>12</v>
      </c>
      <c r="I302" s="24">
        <v>8</v>
      </c>
      <c r="J302" s="24">
        <v>10</v>
      </c>
      <c r="K302" s="23" t="s">
        <v>141</v>
      </c>
      <c r="L302" s="23" t="s">
        <v>179</v>
      </c>
      <c r="M302" s="28">
        <v>38721754</v>
      </c>
      <c r="N302" s="28">
        <v>77230635</v>
      </c>
    </row>
    <row r="303" spans="1:14">
      <c r="A303" s="23">
        <v>292</v>
      </c>
      <c r="B303" s="23" t="s">
        <v>50</v>
      </c>
      <c r="C303" s="137" t="s">
        <v>359</v>
      </c>
      <c r="D303" s="24" t="s">
        <v>13</v>
      </c>
      <c r="E303" s="24" t="s">
        <v>21</v>
      </c>
      <c r="F303" s="24" t="s">
        <v>10</v>
      </c>
      <c r="G303" s="25" t="s">
        <v>27</v>
      </c>
      <c r="H303" s="24" t="s">
        <v>12</v>
      </c>
      <c r="I303" s="24">
        <v>6</v>
      </c>
      <c r="J303" s="24">
        <v>9</v>
      </c>
      <c r="K303" s="28">
        <v>10000000</v>
      </c>
      <c r="L303" s="28">
        <v>43538967</v>
      </c>
      <c r="M303" s="28">
        <v>5161300</v>
      </c>
      <c r="N303" s="28">
        <v>85417673</v>
      </c>
    </row>
    <row r="304" spans="1:14">
      <c r="A304" s="23">
        <v>293</v>
      </c>
      <c r="B304" s="23" t="s">
        <v>51</v>
      </c>
      <c r="C304" s="137" t="s">
        <v>397</v>
      </c>
      <c r="D304" s="24" t="s">
        <v>96</v>
      </c>
      <c r="E304" s="24" t="s">
        <v>21</v>
      </c>
      <c r="F304" s="24" t="s">
        <v>10</v>
      </c>
      <c r="G304" s="25" t="s">
        <v>27</v>
      </c>
      <c r="H304" s="24" t="s">
        <v>30</v>
      </c>
      <c r="I304" s="24">
        <v>7</v>
      </c>
      <c r="J304" s="24">
        <v>10</v>
      </c>
      <c r="K304" s="28">
        <v>1000000</v>
      </c>
      <c r="L304" s="28">
        <v>95899452</v>
      </c>
      <c r="M304" s="28">
        <v>2565664</v>
      </c>
      <c r="N304" s="28">
        <v>39602953</v>
      </c>
    </row>
    <row r="305" spans="1:14">
      <c r="A305" s="23">
        <v>294</v>
      </c>
      <c r="B305" s="23" t="s">
        <v>52</v>
      </c>
      <c r="C305" s="137" t="s">
        <v>401</v>
      </c>
      <c r="D305" s="24" t="s">
        <v>32</v>
      </c>
      <c r="E305" s="24" t="s">
        <v>21</v>
      </c>
      <c r="F305" s="24" t="s">
        <v>10</v>
      </c>
      <c r="G305" s="25" t="s">
        <v>27</v>
      </c>
      <c r="H305" s="24" t="s">
        <v>30</v>
      </c>
      <c r="I305" s="24">
        <v>5</v>
      </c>
      <c r="J305" s="24">
        <v>10</v>
      </c>
      <c r="K305" s="28">
        <v>1000000</v>
      </c>
      <c r="L305" s="28">
        <v>81347428</v>
      </c>
      <c r="M305" s="28">
        <v>10860215</v>
      </c>
      <c r="N305" s="28">
        <v>28637290</v>
      </c>
    </row>
    <row r="306" spans="1:14">
      <c r="A306" s="23">
        <v>295</v>
      </c>
      <c r="B306" s="23" t="s">
        <v>53</v>
      </c>
      <c r="C306" s="137" t="s">
        <v>396</v>
      </c>
      <c r="D306" s="24" t="s">
        <v>72</v>
      </c>
      <c r="E306" s="24" t="s">
        <v>25</v>
      </c>
      <c r="F306" s="24" t="s">
        <v>10</v>
      </c>
      <c r="G306" s="25" t="s">
        <v>27</v>
      </c>
      <c r="H306" s="24" t="s">
        <v>30</v>
      </c>
      <c r="I306" s="24">
        <v>3</v>
      </c>
      <c r="J306" s="24">
        <v>10</v>
      </c>
      <c r="K306" s="28">
        <v>30000000</v>
      </c>
      <c r="L306" s="28">
        <v>52442860</v>
      </c>
      <c r="M306" s="28">
        <v>2659881</v>
      </c>
      <c r="N306" s="28">
        <v>80287314</v>
      </c>
    </row>
    <row r="307" spans="1:14">
      <c r="A307" s="23">
        <v>296</v>
      </c>
      <c r="B307" s="23" t="s">
        <v>57</v>
      </c>
      <c r="C307" s="137" t="s">
        <v>306</v>
      </c>
      <c r="D307" s="24" t="s">
        <v>13</v>
      </c>
      <c r="E307" s="24" t="s">
        <v>21</v>
      </c>
      <c r="F307" s="24" t="s">
        <v>10</v>
      </c>
      <c r="G307" s="25" t="s">
        <v>27</v>
      </c>
      <c r="H307" s="24" t="s">
        <v>30</v>
      </c>
      <c r="I307" s="24">
        <v>7</v>
      </c>
      <c r="J307" s="24">
        <v>7</v>
      </c>
      <c r="K307" s="28">
        <v>10000000</v>
      </c>
      <c r="L307" s="28">
        <v>96199053</v>
      </c>
      <c r="M307" s="28">
        <v>31746355</v>
      </c>
      <c r="N307" s="28">
        <v>80063468</v>
      </c>
    </row>
    <row r="308" spans="1:14">
      <c r="A308" s="23">
        <v>297</v>
      </c>
      <c r="B308" s="23" t="s">
        <v>58</v>
      </c>
      <c r="C308" s="137" t="s">
        <v>386</v>
      </c>
      <c r="D308" s="24" t="s">
        <v>13</v>
      </c>
      <c r="E308" s="24" t="s">
        <v>21</v>
      </c>
      <c r="F308" s="24" t="s">
        <v>10</v>
      </c>
      <c r="G308" s="25" t="s">
        <v>27</v>
      </c>
      <c r="H308" s="24" t="s">
        <v>12</v>
      </c>
      <c r="I308" s="24">
        <v>5</v>
      </c>
      <c r="J308" s="24">
        <v>7</v>
      </c>
      <c r="K308" s="28">
        <v>1000000</v>
      </c>
      <c r="L308" s="28">
        <v>71783742</v>
      </c>
      <c r="M308" s="28">
        <v>64667814</v>
      </c>
      <c r="N308" s="28">
        <v>70653180</v>
      </c>
    </row>
    <row r="309" spans="1:14">
      <c r="A309" s="23">
        <v>298</v>
      </c>
      <c r="B309" s="23" t="s">
        <v>59</v>
      </c>
      <c r="C309" s="137" t="s">
        <v>375</v>
      </c>
      <c r="D309" s="24" t="s">
        <v>13</v>
      </c>
      <c r="E309" s="24" t="s">
        <v>25</v>
      </c>
      <c r="F309" s="24" t="s">
        <v>10</v>
      </c>
      <c r="G309" s="25" t="s">
        <v>27</v>
      </c>
      <c r="H309" s="24" t="s">
        <v>12</v>
      </c>
      <c r="I309" s="24">
        <v>9</v>
      </c>
      <c r="J309" s="24">
        <v>7</v>
      </c>
      <c r="K309" s="28">
        <v>90000000</v>
      </c>
      <c r="L309" s="28">
        <v>94913746</v>
      </c>
      <c r="M309" s="28">
        <v>74083223</v>
      </c>
      <c r="N309" s="28">
        <v>31617670</v>
      </c>
    </row>
    <row r="310" spans="1:14">
      <c r="A310" s="23">
        <v>299</v>
      </c>
      <c r="B310" s="23" t="s">
        <v>60</v>
      </c>
      <c r="C310" s="137" t="s">
        <v>309</v>
      </c>
      <c r="D310" s="24" t="s">
        <v>28</v>
      </c>
      <c r="E310" s="24" t="s">
        <v>25</v>
      </c>
      <c r="F310" s="24" t="s">
        <v>17</v>
      </c>
      <c r="G310" s="25" t="s">
        <v>23</v>
      </c>
      <c r="H310" s="24" t="s">
        <v>12</v>
      </c>
      <c r="I310" s="24">
        <v>6</v>
      </c>
      <c r="J310" s="24">
        <v>9</v>
      </c>
      <c r="K310" s="23" t="s">
        <v>141</v>
      </c>
      <c r="L310" s="23" t="s">
        <v>179</v>
      </c>
      <c r="M310" s="28">
        <v>67753952</v>
      </c>
      <c r="N310" s="28">
        <v>77205812</v>
      </c>
    </row>
    <row r="311" spans="1:14">
      <c r="A311" s="23">
        <v>300</v>
      </c>
      <c r="B311" s="23" t="s">
        <v>61</v>
      </c>
      <c r="C311" s="137" t="s">
        <v>331</v>
      </c>
      <c r="D311" s="24" t="s">
        <v>13</v>
      </c>
      <c r="E311" s="24" t="s">
        <v>21</v>
      </c>
      <c r="F311" s="24" t="s">
        <v>10</v>
      </c>
      <c r="G311" s="25" t="s">
        <v>27</v>
      </c>
      <c r="H311" s="24" t="s">
        <v>30</v>
      </c>
      <c r="I311" s="24">
        <v>7</v>
      </c>
      <c r="J311" s="24">
        <v>5</v>
      </c>
      <c r="K311" s="28">
        <v>30000000</v>
      </c>
      <c r="L311" s="28">
        <v>33477783</v>
      </c>
      <c r="M311" s="23" t="s">
        <v>179</v>
      </c>
      <c r="N311" s="28">
        <v>27651635</v>
      </c>
    </row>
    <row r="312" spans="1:14">
      <c r="A312" s="23">
        <v>301</v>
      </c>
      <c r="B312" s="23" t="s">
        <v>62</v>
      </c>
      <c r="C312" s="137" t="s">
        <v>326</v>
      </c>
      <c r="D312" s="24" t="s">
        <v>13</v>
      </c>
      <c r="E312" s="24" t="s">
        <v>9</v>
      </c>
      <c r="F312" s="24" t="s">
        <v>10</v>
      </c>
      <c r="G312" s="25" t="s">
        <v>11</v>
      </c>
      <c r="H312" s="24" t="s">
        <v>30</v>
      </c>
      <c r="I312" s="24">
        <v>5</v>
      </c>
      <c r="J312" s="24">
        <v>10</v>
      </c>
      <c r="K312" s="28">
        <v>50000000</v>
      </c>
      <c r="L312" s="28">
        <v>2702447</v>
      </c>
      <c r="M312" s="23" t="s">
        <v>179</v>
      </c>
      <c r="N312" s="28">
        <v>44671760</v>
      </c>
    </row>
    <row r="313" spans="1:14">
      <c r="A313" s="23">
        <v>302</v>
      </c>
      <c r="B313" s="23" t="s">
        <v>63</v>
      </c>
      <c r="C313" s="137" t="s">
        <v>398</v>
      </c>
      <c r="D313" s="24" t="s">
        <v>89</v>
      </c>
      <c r="E313" s="24" t="s">
        <v>21</v>
      </c>
      <c r="F313" s="24" t="s">
        <v>10</v>
      </c>
      <c r="G313" s="25" t="s">
        <v>11</v>
      </c>
      <c r="H313" s="24" t="s">
        <v>12</v>
      </c>
      <c r="I313" s="24">
        <v>4</v>
      </c>
      <c r="J313" s="24">
        <v>8</v>
      </c>
      <c r="K313" s="28">
        <v>50000000</v>
      </c>
      <c r="L313" s="28">
        <v>70787848</v>
      </c>
      <c r="M313" s="28">
        <v>33368202</v>
      </c>
      <c r="N313" s="28">
        <v>43277527</v>
      </c>
    </row>
    <row r="314" spans="1:14">
      <c r="A314" s="23">
        <v>303</v>
      </c>
      <c r="B314" s="23" t="s">
        <v>64</v>
      </c>
      <c r="C314" s="137" t="s">
        <v>321</v>
      </c>
      <c r="D314" s="24" t="s">
        <v>13</v>
      </c>
      <c r="E314" s="24" t="s">
        <v>21</v>
      </c>
      <c r="F314" s="24" t="s">
        <v>17</v>
      </c>
      <c r="G314" s="25" t="s">
        <v>23</v>
      </c>
      <c r="H314" s="24" t="s">
        <v>30</v>
      </c>
      <c r="I314" s="24">
        <v>7</v>
      </c>
      <c r="J314" s="24">
        <v>10</v>
      </c>
      <c r="K314" s="23" t="s">
        <v>141</v>
      </c>
      <c r="L314" s="23" t="s">
        <v>179</v>
      </c>
      <c r="M314" s="28">
        <v>46563396</v>
      </c>
      <c r="N314" s="28">
        <v>63313535</v>
      </c>
    </row>
    <row r="315" spans="1:14">
      <c r="A315" s="23">
        <v>304</v>
      </c>
      <c r="B315" s="23" t="s">
        <v>65</v>
      </c>
      <c r="C315" s="137" t="s">
        <v>388</v>
      </c>
      <c r="D315" s="24" t="s">
        <v>13</v>
      </c>
      <c r="E315" s="24" t="s">
        <v>21</v>
      </c>
      <c r="F315" s="24" t="s">
        <v>10</v>
      </c>
      <c r="G315" s="25" t="s">
        <v>11</v>
      </c>
      <c r="H315" s="24" t="s">
        <v>12</v>
      </c>
      <c r="I315" s="24">
        <v>3</v>
      </c>
      <c r="J315" s="24">
        <v>5</v>
      </c>
      <c r="K315" s="28">
        <v>20000000</v>
      </c>
      <c r="L315" s="28">
        <v>40064620</v>
      </c>
      <c r="M315" s="28">
        <v>98137438</v>
      </c>
      <c r="N315" s="23" t="s">
        <v>179</v>
      </c>
    </row>
    <row r="316" spans="1:14">
      <c r="A316" s="23">
        <v>305</v>
      </c>
      <c r="B316" s="23" t="s">
        <v>66</v>
      </c>
      <c r="C316" s="137" t="s">
        <v>383</v>
      </c>
      <c r="D316" s="24" t="s">
        <v>13</v>
      </c>
      <c r="E316" s="24" t="s">
        <v>21</v>
      </c>
      <c r="F316" s="24" t="s">
        <v>10</v>
      </c>
      <c r="G316" s="25" t="s">
        <v>27</v>
      </c>
      <c r="H316" s="24" t="s">
        <v>12</v>
      </c>
      <c r="I316" s="24">
        <v>3</v>
      </c>
      <c r="J316" s="24">
        <v>7</v>
      </c>
      <c r="K316" s="28">
        <v>30000000</v>
      </c>
      <c r="L316" s="28">
        <v>45289360</v>
      </c>
      <c r="M316" s="23" t="s">
        <v>179</v>
      </c>
      <c r="N316" s="28">
        <v>46980526</v>
      </c>
    </row>
    <row r="317" spans="1:14">
      <c r="A317" s="23">
        <v>306</v>
      </c>
      <c r="B317" s="23" t="s">
        <v>67</v>
      </c>
      <c r="C317" s="137" t="s">
        <v>366</v>
      </c>
      <c r="D317" s="24" t="s">
        <v>13</v>
      </c>
      <c r="E317" s="24" t="s">
        <v>25</v>
      </c>
      <c r="F317" s="24" t="s">
        <v>10</v>
      </c>
      <c r="G317" s="25" t="s">
        <v>27</v>
      </c>
      <c r="H317" s="24" t="s">
        <v>12</v>
      </c>
      <c r="I317" s="24">
        <v>7</v>
      </c>
      <c r="J317" s="24">
        <v>8</v>
      </c>
      <c r="K317" s="28">
        <v>30000000</v>
      </c>
      <c r="L317" s="28">
        <v>34397393</v>
      </c>
      <c r="M317" s="28">
        <v>72192037</v>
      </c>
      <c r="N317" s="28">
        <v>21247716</v>
      </c>
    </row>
    <row r="318" spans="1:14">
      <c r="A318" s="23">
        <v>307</v>
      </c>
      <c r="B318" s="23" t="s">
        <v>68</v>
      </c>
      <c r="C318" s="137" t="s">
        <v>324</v>
      </c>
      <c r="D318" s="24" t="s">
        <v>13</v>
      </c>
      <c r="E318" s="24" t="s">
        <v>21</v>
      </c>
      <c r="F318" s="24" t="s">
        <v>17</v>
      </c>
      <c r="G318" s="25" t="s">
        <v>18</v>
      </c>
      <c r="H318" s="24" t="s">
        <v>30</v>
      </c>
      <c r="I318" s="24">
        <v>5</v>
      </c>
      <c r="J318" s="24">
        <v>9</v>
      </c>
      <c r="K318" s="23" t="s">
        <v>141</v>
      </c>
      <c r="L318" s="23" t="s">
        <v>179</v>
      </c>
      <c r="M318" s="28">
        <v>69870077</v>
      </c>
      <c r="N318" s="28">
        <v>98441580</v>
      </c>
    </row>
    <row r="319" spans="1:14">
      <c r="A319" s="23">
        <v>308</v>
      </c>
      <c r="B319" s="23" t="s">
        <v>69</v>
      </c>
      <c r="C319" s="137" t="s">
        <v>402</v>
      </c>
      <c r="D319" s="24" t="s">
        <v>13</v>
      </c>
      <c r="E319" s="24" t="s">
        <v>25</v>
      </c>
      <c r="F319" s="24" t="s">
        <v>10</v>
      </c>
      <c r="G319" s="25" t="s">
        <v>27</v>
      </c>
      <c r="H319" s="24" t="s">
        <v>12</v>
      </c>
      <c r="I319" s="24">
        <v>9</v>
      </c>
      <c r="J319" s="24">
        <v>6</v>
      </c>
      <c r="K319" s="28">
        <v>1000000</v>
      </c>
      <c r="L319" s="28">
        <v>34126405</v>
      </c>
      <c r="M319" s="28">
        <v>88265167</v>
      </c>
      <c r="N319" s="28">
        <v>56002928</v>
      </c>
    </row>
    <row r="320" spans="1:14">
      <c r="A320" s="23">
        <v>309</v>
      </c>
      <c r="B320" s="23" t="s">
        <v>70</v>
      </c>
      <c r="C320" s="137" t="s">
        <v>393</v>
      </c>
      <c r="D320" s="24" t="s">
        <v>13</v>
      </c>
      <c r="E320" s="24" t="s">
        <v>21</v>
      </c>
      <c r="F320" s="24" t="s">
        <v>10</v>
      </c>
      <c r="G320" s="25" t="s">
        <v>11</v>
      </c>
      <c r="H320" s="24" t="s">
        <v>12</v>
      </c>
      <c r="I320" s="24">
        <v>4</v>
      </c>
      <c r="J320" s="24">
        <v>9</v>
      </c>
      <c r="K320" s="28">
        <v>1000000</v>
      </c>
      <c r="L320" s="28">
        <v>53008255</v>
      </c>
      <c r="M320" s="28">
        <v>46917910</v>
      </c>
      <c r="N320" s="28">
        <v>47557281</v>
      </c>
    </row>
    <row r="321" spans="1:14">
      <c r="A321" s="23">
        <v>310</v>
      </c>
      <c r="B321" s="23" t="s">
        <v>71</v>
      </c>
      <c r="C321" s="137" t="s">
        <v>381</v>
      </c>
      <c r="D321" s="24" t="s">
        <v>13</v>
      </c>
      <c r="E321" s="24" t="s">
        <v>21</v>
      </c>
      <c r="F321" s="24" t="s">
        <v>17</v>
      </c>
      <c r="G321" s="25" t="s">
        <v>18</v>
      </c>
      <c r="H321" s="24" t="s">
        <v>12</v>
      </c>
      <c r="I321" s="24">
        <v>5</v>
      </c>
      <c r="J321" s="24">
        <v>8</v>
      </c>
      <c r="K321" s="23" t="s">
        <v>141</v>
      </c>
      <c r="L321" s="23" t="s">
        <v>179</v>
      </c>
      <c r="M321" s="23" t="s">
        <v>179</v>
      </c>
      <c r="N321" s="28">
        <v>22675260</v>
      </c>
    </row>
    <row r="322" spans="1:14">
      <c r="A322" s="23">
        <v>311</v>
      </c>
      <c r="B322" s="23" t="s">
        <v>73</v>
      </c>
      <c r="C322" s="137" t="s">
        <v>363</v>
      </c>
      <c r="D322" s="24" t="s">
        <v>87</v>
      </c>
      <c r="E322" s="24" t="s">
        <v>21</v>
      </c>
      <c r="F322" s="24" t="s">
        <v>10</v>
      </c>
      <c r="G322" s="25" t="s">
        <v>11</v>
      </c>
      <c r="H322" s="24" t="s">
        <v>12</v>
      </c>
      <c r="I322" s="24">
        <v>3</v>
      </c>
      <c r="J322" s="24">
        <v>5</v>
      </c>
      <c r="K322" s="28">
        <v>100000000</v>
      </c>
      <c r="L322" s="28">
        <v>94688720</v>
      </c>
      <c r="M322" s="28">
        <v>86323763</v>
      </c>
      <c r="N322" s="28">
        <v>20929788</v>
      </c>
    </row>
    <row r="323" spans="1:14">
      <c r="A323" s="23">
        <v>312</v>
      </c>
      <c r="B323" s="23" t="s">
        <v>74</v>
      </c>
      <c r="C323" s="137" t="s">
        <v>312</v>
      </c>
      <c r="D323" s="24" t="s">
        <v>32</v>
      </c>
      <c r="E323" s="24" t="s">
        <v>54</v>
      </c>
      <c r="F323" s="24" t="s">
        <v>55</v>
      </c>
      <c r="G323" s="25" t="s">
        <v>56</v>
      </c>
      <c r="H323" s="24" t="s">
        <v>12</v>
      </c>
      <c r="I323" s="24">
        <v>3</v>
      </c>
      <c r="J323" s="24">
        <v>6</v>
      </c>
      <c r="K323" s="23" t="s">
        <v>141</v>
      </c>
      <c r="L323" s="23" t="s">
        <v>179</v>
      </c>
      <c r="M323" s="28">
        <v>96750826</v>
      </c>
      <c r="N323" s="28">
        <v>31435769</v>
      </c>
    </row>
    <row r="324" spans="1:14">
      <c r="A324" s="23">
        <v>313</v>
      </c>
      <c r="B324" s="23" t="s">
        <v>75</v>
      </c>
      <c r="C324" s="137" t="s">
        <v>404</v>
      </c>
      <c r="D324" s="24" t="s">
        <v>13</v>
      </c>
      <c r="E324" s="24" t="s">
        <v>25</v>
      </c>
      <c r="F324" s="24" t="s">
        <v>10</v>
      </c>
      <c r="G324" s="25" t="s">
        <v>11</v>
      </c>
      <c r="H324" s="24" t="s">
        <v>12</v>
      </c>
      <c r="I324" s="24">
        <v>5</v>
      </c>
      <c r="J324" s="24">
        <v>6</v>
      </c>
      <c r="K324" s="28">
        <v>10000000</v>
      </c>
      <c r="L324" s="28">
        <v>89686683</v>
      </c>
      <c r="M324" s="28">
        <v>62448793</v>
      </c>
      <c r="N324" s="28">
        <v>26812600</v>
      </c>
    </row>
    <row r="325" spans="1:14">
      <c r="A325" s="23">
        <v>314</v>
      </c>
      <c r="B325" s="23" t="s">
        <v>76</v>
      </c>
      <c r="C325" s="137" t="s">
        <v>399</v>
      </c>
      <c r="D325" s="24" t="s">
        <v>13</v>
      </c>
      <c r="E325" s="24" t="s">
        <v>21</v>
      </c>
      <c r="F325" s="24" t="s">
        <v>10</v>
      </c>
      <c r="G325" s="25" t="s">
        <v>27</v>
      </c>
      <c r="H325" s="24" t="s">
        <v>12</v>
      </c>
      <c r="I325" s="24">
        <v>7</v>
      </c>
      <c r="J325" s="24">
        <v>5</v>
      </c>
      <c r="K325" s="28">
        <v>30000000</v>
      </c>
      <c r="L325" s="28">
        <v>32890743</v>
      </c>
      <c r="M325" s="23" t="s">
        <v>179</v>
      </c>
      <c r="N325" s="28">
        <v>39864620</v>
      </c>
    </row>
    <row r="326" spans="1:14">
      <c r="A326" s="23">
        <v>315</v>
      </c>
      <c r="B326" s="23" t="s">
        <v>78</v>
      </c>
      <c r="C326" s="137" t="s">
        <v>353</v>
      </c>
      <c r="D326" s="24" t="s">
        <v>13</v>
      </c>
      <c r="E326" s="24" t="s">
        <v>25</v>
      </c>
      <c r="F326" s="24" t="s">
        <v>10</v>
      </c>
      <c r="G326" s="25" t="s">
        <v>11</v>
      </c>
      <c r="H326" s="24" t="s">
        <v>12</v>
      </c>
      <c r="I326" s="24">
        <v>7</v>
      </c>
      <c r="J326" s="24">
        <v>9</v>
      </c>
      <c r="K326" s="28">
        <v>10000000</v>
      </c>
      <c r="L326" s="28">
        <v>32370896</v>
      </c>
      <c r="M326" s="28">
        <v>96066942</v>
      </c>
      <c r="N326" s="28">
        <v>3767736</v>
      </c>
    </row>
    <row r="327" spans="1:14">
      <c r="A327" s="23">
        <v>316</v>
      </c>
      <c r="B327" s="23" t="s">
        <v>79</v>
      </c>
      <c r="C327" s="137" t="s">
        <v>341</v>
      </c>
      <c r="D327" s="24" t="s">
        <v>13</v>
      </c>
      <c r="E327" s="24" t="s">
        <v>25</v>
      </c>
      <c r="F327" s="24" t="s">
        <v>17</v>
      </c>
      <c r="G327" s="25" t="s">
        <v>23</v>
      </c>
      <c r="H327" s="24" t="s">
        <v>12</v>
      </c>
      <c r="I327" s="24">
        <v>5</v>
      </c>
      <c r="J327" s="24">
        <v>6</v>
      </c>
      <c r="K327" s="23" t="s">
        <v>141</v>
      </c>
      <c r="L327" s="23" t="s">
        <v>179</v>
      </c>
      <c r="M327" s="28">
        <v>24514428</v>
      </c>
      <c r="N327" s="28">
        <v>27890231</v>
      </c>
    </row>
    <row r="328" spans="1:14">
      <c r="A328" s="23">
        <v>317</v>
      </c>
      <c r="B328" s="23" t="s">
        <v>81</v>
      </c>
      <c r="C328" s="137" t="s">
        <v>358</v>
      </c>
      <c r="D328" s="24" t="s">
        <v>13</v>
      </c>
      <c r="E328" s="24" t="s">
        <v>21</v>
      </c>
      <c r="F328" s="24" t="s">
        <v>10</v>
      </c>
      <c r="G328" s="25" t="s">
        <v>11</v>
      </c>
      <c r="H328" s="24" t="s">
        <v>30</v>
      </c>
      <c r="I328" s="24">
        <v>7</v>
      </c>
      <c r="J328" s="24">
        <v>10</v>
      </c>
      <c r="K328" s="28">
        <v>10000000</v>
      </c>
      <c r="L328" s="28">
        <v>31953589</v>
      </c>
      <c r="M328" s="28">
        <v>40068224</v>
      </c>
      <c r="N328" s="28">
        <v>80951038</v>
      </c>
    </row>
    <row r="329" spans="1:14">
      <c r="A329" s="23">
        <v>318</v>
      </c>
      <c r="B329" s="23" t="s">
        <v>82</v>
      </c>
      <c r="C329" s="137" t="s">
        <v>354</v>
      </c>
      <c r="D329" s="24" t="s">
        <v>13</v>
      </c>
      <c r="E329" s="24" t="s">
        <v>21</v>
      </c>
      <c r="F329" s="24" t="s">
        <v>10</v>
      </c>
      <c r="G329" s="25" t="s">
        <v>11</v>
      </c>
      <c r="H329" s="24" t="s">
        <v>12</v>
      </c>
      <c r="I329" s="24">
        <v>8</v>
      </c>
      <c r="J329" s="24">
        <v>9</v>
      </c>
      <c r="K329" s="28">
        <v>50000000</v>
      </c>
      <c r="L329" s="28">
        <v>78205651</v>
      </c>
      <c r="M329" s="28">
        <v>62381180</v>
      </c>
      <c r="N329" s="28">
        <v>6508585</v>
      </c>
    </row>
    <row r="330" spans="1:14">
      <c r="A330" s="23">
        <v>319</v>
      </c>
      <c r="B330" s="23" t="s">
        <v>83</v>
      </c>
      <c r="C330" s="137" t="s">
        <v>403</v>
      </c>
      <c r="D330" s="24" t="s">
        <v>72</v>
      </c>
      <c r="E330" s="24" t="s">
        <v>15</v>
      </c>
      <c r="F330" s="24" t="s">
        <v>17</v>
      </c>
      <c r="G330" s="25" t="s">
        <v>18</v>
      </c>
      <c r="H330" s="24" t="s">
        <v>12</v>
      </c>
      <c r="I330" s="24">
        <v>3</v>
      </c>
      <c r="J330" s="24">
        <v>5</v>
      </c>
      <c r="K330" s="23" t="s">
        <v>141</v>
      </c>
      <c r="L330" s="23" t="s">
        <v>179</v>
      </c>
      <c r="M330" s="28">
        <v>34584522</v>
      </c>
      <c r="N330" s="23" t="s">
        <v>179</v>
      </c>
    </row>
    <row r="331" spans="1:14">
      <c r="A331" s="23">
        <v>320</v>
      </c>
      <c r="B331" s="32" t="s">
        <v>84</v>
      </c>
      <c r="C331" s="137" t="s">
        <v>367</v>
      </c>
      <c r="D331" s="24" t="s">
        <v>13</v>
      </c>
      <c r="E331" s="24" t="s">
        <v>21</v>
      </c>
      <c r="F331" s="24" t="s">
        <v>55</v>
      </c>
      <c r="G331" s="25" t="s">
        <v>80</v>
      </c>
      <c r="H331" s="24" t="s">
        <v>12</v>
      </c>
      <c r="I331" s="24">
        <v>8</v>
      </c>
      <c r="J331" s="24">
        <v>8</v>
      </c>
      <c r="K331" s="23" t="s">
        <v>141</v>
      </c>
      <c r="L331" s="23" t="s">
        <v>179</v>
      </c>
      <c r="M331" s="28">
        <v>76942676</v>
      </c>
      <c r="N331" s="28">
        <v>74216691</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B379C-F643-43E4-8FC6-ED4D666FC272}">
  <sheetPr codeName="Hoja7"/>
  <dimension ref="B2:J104"/>
  <sheetViews>
    <sheetView zoomScaleNormal="100" workbookViewId="0">
      <selection activeCell="K12" sqref="K12"/>
    </sheetView>
  </sheetViews>
  <sheetFormatPr baseColWidth="10" defaultRowHeight="15"/>
  <cols>
    <col min="3" max="3" width="14.7109375" style="6" bestFit="1" customWidth="1"/>
    <col min="4" max="4" width="11.42578125" style="5"/>
  </cols>
  <sheetData>
    <row r="2" spans="2:10" ht="15.75" thickBot="1"/>
    <row r="3" spans="2:10" ht="30" customHeight="1" thickTop="1" thickBot="1">
      <c r="B3" s="324" t="s">
        <v>138</v>
      </c>
      <c r="C3" s="325"/>
      <c r="D3" s="325"/>
      <c r="E3" s="325"/>
      <c r="F3" s="325"/>
      <c r="G3" s="325"/>
      <c r="H3" s="325"/>
      <c r="I3" s="325"/>
      <c r="J3" s="326"/>
    </row>
    <row r="4" spans="2:10" ht="53.25" thickTop="1" thickBot="1">
      <c r="B4" s="7" t="s">
        <v>0</v>
      </c>
      <c r="C4" s="8" t="s">
        <v>1</v>
      </c>
      <c r="D4" s="9" t="s">
        <v>2</v>
      </c>
      <c r="E4" s="7" t="s">
        <v>3</v>
      </c>
      <c r="F4" s="7" t="s">
        <v>4</v>
      </c>
      <c r="G4" s="7" t="s">
        <v>5</v>
      </c>
      <c r="H4" s="7" t="s">
        <v>6</v>
      </c>
      <c r="I4" s="7" t="s">
        <v>7</v>
      </c>
      <c r="J4" s="10"/>
    </row>
    <row r="5" spans="2:10" ht="26.25">
      <c r="B5" s="16" t="s">
        <v>8</v>
      </c>
      <c r="C5" s="17">
        <v>50000000</v>
      </c>
      <c r="D5" s="18">
        <v>1</v>
      </c>
      <c r="E5" s="16" t="s">
        <v>9</v>
      </c>
      <c r="F5" s="16" t="s">
        <v>10</v>
      </c>
      <c r="G5" s="16" t="s">
        <v>11</v>
      </c>
      <c r="H5" s="16" t="s">
        <v>12</v>
      </c>
      <c r="I5" s="16" t="s">
        <v>13</v>
      </c>
    </row>
    <row r="6" spans="2:10" ht="26.25">
      <c r="B6" s="11" t="s">
        <v>14</v>
      </c>
      <c r="C6" s="12">
        <v>10000000</v>
      </c>
      <c r="D6" s="13">
        <v>1</v>
      </c>
      <c r="E6" s="11" t="s">
        <v>15</v>
      </c>
      <c r="F6" s="11" t="s">
        <v>10</v>
      </c>
      <c r="G6" s="11" t="s">
        <v>11</v>
      </c>
      <c r="H6" s="11" t="s">
        <v>12</v>
      </c>
      <c r="I6" s="11" t="s">
        <v>13</v>
      </c>
    </row>
    <row r="7" spans="2:10" ht="26.25">
      <c r="B7" s="11" t="s">
        <v>16</v>
      </c>
      <c r="C7" s="12">
        <v>0</v>
      </c>
      <c r="D7" s="13">
        <v>4</v>
      </c>
      <c r="E7" s="11" t="s">
        <v>9</v>
      </c>
      <c r="F7" s="11" t="s">
        <v>17</v>
      </c>
      <c r="G7" s="11" t="s">
        <v>18</v>
      </c>
      <c r="H7" s="11" t="s">
        <v>12</v>
      </c>
      <c r="I7" s="11" t="s">
        <v>13</v>
      </c>
    </row>
    <row r="8" spans="2:10" ht="26.25">
      <c r="B8" s="11" t="s">
        <v>19</v>
      </c>
      <c r="C8" s="12">
        <v>0</v>
      </c>
      <c r="D8" s="14" t="s">
        <v>20</v>
      </c>
      <c r="E8" s="11" t="s">
        <v>21</v>
      </c>
      <c r="F8" s="11" t="s">
        <v>17</v>
      </c>
      <c r="G8" s="11" t="s">
        <v>18</v>
      </c>
      <c r="H8" s="11" t="s">
        <v>12</v>
      </c>
      <c r="I8" s="11" t="s">
        <v>13</v>
      </c>
    </row>
    <row r="9" spans="2:10" ht="26.25">
      <c r="B9" s="11" t="s">
        <v>22</v>
      </c>
      <c r="C9" s="12">
        <v>0</v>
      </c>
      <c r="D9" s="13">
        <v>1</v>
      </c>
      <c r="E9" s="11" t="s">
        <v>9</v>
      </c>
      <c r="F9" s="11" t="s">
        <v>17</v>
      </c>
      <c r="G9" s="11" t="s">
        <v>23</v>
      </c>
      <c r="H9" s="11" t="s">
        <v>12</v>
      </c>
      <c r="I9" s="11" t="s">
        <v>13</v>
      </c>
    </row>
    <row r="10" spans="2:10" ht="26.25">
      <c r="B10" s="11" t="s">
        <v>24</v>
      </c>
      <c r="C10" s="12">
        <v>0</v>
      </c>
      <c r="D10" s="13">
        <v>3</v>
      </c>
      <c r="E10" s="11" t="s">
        <v>25</v>
      </c>
      <c r="F10" s="11" t="s">
        <v>17</v>
      </c>
      <c r="G10" s="11" t="s">
        <v>23</v>
      </c>
      <c r="H10" s="11" t="s">
        <v>12</v>
      </c>
      <c r="I10" s="11" t="s">
        <v>13</v>
      </c>
    </row>
    <row r="11" spans="2:10" ht="26.25">
      <c r="B11" s="11" t="s">
        <v>26</v>
      </c>
      <c r="C11" s="12">
        <v>1000000</v>
      </c>
      <c r="D11" s="13">
        <v>1</v>
      </c>
      <c r="E11" s="11" t="s">
        <v>25</v>
      </c>
      <c r="F11" s="11" t="s">
        <v>10</v>
      </c>
      <c r="G11" s="11" t="s">
        <v>27</v>
      </c>
      <c r="H11" s="11" t="s">
        <v>12</v>
      </c>
      <c r="I11" s="11" t="s">
        <v>28</v>
      </c>
    </row>
    <row r="12" spans="2:10" ht="26.25">
      <c r="B12" s="11" t="s">
        <v>29</v>
      </c>
      <c r="C12" s="12">
        <v>1000000</v>
      </c>
      <c r="D12" s="13">
        <v>2</v>
      </c>
      <c r="E12" s="11" t="s">
        <v>21</v>
      </c>
      <c r="F12" s="11" t="s">
        <v>10</v>
      </c>
      <c r="G12" s="11" t="s">
        <v>11</v>
      </c>
      <c r="H12" s="11" t="s">
        <v>30</v>
      </c>
      <c r="I12" s="11" t="s">
        <v>13</v>
      </c>
    </row>
    <row r="13" spans="2:10" ht="26.25">
      <c r="B13" s="11" t="s">
        <v>31</v>
      </c>
      <c r="C13" s="12">
        <v>0</v>
      </c>
      <c r="D13" s="13">
        <v>2</v>
      </c>
      <c r="E13" s="11" t="s">
        <v>21</v>
      </c>
      <c r="F13" s="11" t="s">
        <v>17</v>
      </c>
      <c r="G13" s="11" t="s">
        <v>23</v>
      </c>
      <c r="H13" s="11" t="s">
        <v>30</v>
      </c>
      <c r="I13" s="11" t="s">
        <v>32</v>
      </c>
    </row>
    <row r="14" spans="2:10" ht="26.25">
      <c r="B14" s="11" t="s">
        <v>33</v>
      </c>
      <c r="C14" s="12">
        <v>0</v>
      </c>
      <c r="D14" s="14" t="s">
        <v>20</v>
      </c>
      <c r="E14" s="11" t="s">
        <v>25</v>
      </c>
      <c r="F14" s="11" t="s">
        <v>17</v>
      </c>
      <c r="G14" s="11" t="s">
        <v>23</v>
      </c>
      <c r="H14" s="11" t="s">
        <v>12</v>
      </c>
      <c r="I14" s="11" t="s">
        <v>13</v>
      </c>
    </row>
    <row r="15" spans="2:10" ht="26.25">
      <c r="B15" s="11" t="s">
        <v>34</v>
      </c>
      <c r="C15" s="12">
        <v>0</v>
      </c>
      <c r="D15" s="13">
        <v>2</v>
      </c>
      <c r="E15" s="11" t="s">
        <v>21</v>
      </c>
      <c r="F15" s="11" t="s">
        <v>17</v>
      </c>
      <c r="G15" s="11" t="s">
        <v>18</v>
      </c>
      <c r="H15" s="11" t="s">
        <v>30</v>
      </c>
      <c r="I15" s="11" t="s">
        <v>13</v>
      </c>
    </row>
    <row r="16" spans="2:10" ht="26.25">
      <c r="B16" s="11" t="s">
        <v>35</v>
      </c>
      <c r="C16" s="12">
        <v>90000000</v>
      </c>
      <c r="D16" s="14" t="s">
        <v>20</v>
      </c>
      <c r="E16" s="11" t="s">
        <v>21</v>
      </c>
      <c r="F16" s="11" t="s">
        <v>10</v>
      </c>
      <c r="G16" s="11" t="s">
        <v>11</v>
      </c>
      <c r="H16" s="11" t="s">
        <v>12</v>
      </c>
      <c r="I16" s="11" t="s">
        <v>13</v>
      </c>
    </row>
    <row r="17" spans="2:9" ht="26.25">
      <c r="B17" s="11" t="s">
        <v>36</v>
      </c>
      <c r="C17" s="12">
        <v>1000000</v>
      </c>
      <c r="D17" s="13">
        <v>2</v>
      </c>
      <c r="E17" s="11" t="s">
        <v>9</v>
      </c>
      <c r="F17" s="11" t="s">
        <v>10</v>
      </c>
      <c r="G17" s="11" t="s">
        <v>27</v>
      </c>
      <c r="H17" s="11" t="s">
        <v>12</v>
      </c>
      <c r="I17" s="11" t="s">
        <v>13</v>
      </c>
    </row>
    <row r="18" spans="2:9" ht="26.25">
      <c r="B18" s="11" t="s">
        <v>37</v>
      </c>
      <c r="C18" s="12">
        <v>10000000</v>
      </c>
      <c r="D18" s="13">
        <v>4</v>
      </c>
      <c r="E18" s="11" t="s">
        <v>21</v>
      </c>
      <c r="F18" s="11" t="s">
        <v>10</v>
      </c>
      <c r="G18" s="11" t="s">
        <v>11</v>
      </c>
      <c r="H18" s="11" t="s">
        <v>30</v>
      </c>
      <c r="I18" s="11" t="s">
        <v>13</v>
      </c>
    </row>
    <row r="19" spans="2:9" ht="26.25">
      <c r="B19" s="11" t="s">
        <v>38</v>
      </c>
      <c r="C19" s="12">
        <v>10000000</v>
      </c>
      <c r="D19" s="14" t="s">
        <v>20</v>
      </c>
      <c r="E19" s="11" t="s">
        <v>25</v>
      </c>
      <c r="F19" s="11" t="s">
        <v>10</v>
      </c>
      <c r="G19" s="11" t="s">
        <v>11</v>
      </c>
      <c r="H19" s="11" t="s">
        <v>12</v>
      </c>
      <c r="I19" s="11" t="s">
        <v>13</v>
      </c>
    </row>
    <row r="20" spans="2:9" ht="26.25">
      <c r="B20" s="11" t="s">
        <v>39</v>
      </c>
      <c r="C20" s="12">
        <v>1000000</v>
      </c>
      <c r="D20" s="13">
        <v>1</v>
      </c>
      <c r="E20" s="11" t="s">
        <v>21</v>
      </c>
      <c r="F20" s="11" t="s">
        <v>10</v>
      </c>
      <c r="G20" s="11" t="s">
        <v>27</v>
      </c>
      <c r="H20" s="11" t="s">
        <v>30</v>
      </c>
      <c r="I20" s="11" t="s">
        <v>13</v>
      </c>
    </row>
    <row r="21" spans="2:9" ht="26.25">
      <c r="B21" s="11" t="s">
        <v>40</v>
      </c>
      <c r="C21" s="12">
        <v>0</v>
      </c>
      <c r="D21" s="13">
        <v>2</v>
      </c>
      <c r="E21" s="11" t="s">
        <v>21</v>
      </c>
      <c r="F21" s="11" t="s">
        <v>17</v>
      </c>
      <c r="G21" s="11" t="s">
        <v>18</v>
      </c>
      <c r="H21" s="11" t="s">
        <v>30</v>
      </c>
      <c r="I21" s="11" t="s">
        <v>13</v>
      </c>
    </row>
    <row r="22" spans="2:9" ht="26.25">
      <c r="B22" s="11" t="s">
        <v>41</v>
      </c>
      <c r="C22" s="12">
        <v>1000000</v>
      </c>
      <c r="D22" s="13">
        <v>1</v>
      </c>
      <c r="E22" s="11" t="s">
        <v>21</v>
      </c>
      <c r="F22" s="11" t="s">
        <v>10</v>
      </c>
      <c r="G22" s="11" t="s">
        <v>11</v>
      </c>
      <c r="H22" s="11" t="s">
        <v>12</v>
      </c>
      <c r="I22" s="11" t="s">
        <v>13</v>
      </c>
    </row>
    <row r="23" spans="2:9" ht="26.25">
      <c r="B23" s="11" t="s">
        <v>42</v>
      </c>
      <c r="C23" s="12">
        <v>1000000</v>
      </c>
      <c r="D23" s="14" t="s">
        <v>20</v>
      </c>
      <c r="E23" s="11" t="s">
        <v>21</v>
      </c>
      <c r="F23" s="11" t="s">
        <v>10</v>
      </c>
      <c r="G23" s="11" t="s">
        <v>27</v>
      </c>
      <c r="H23" s="11" t="s">
        <v>30</v>
      </c>
      <c r="I23" s="11" t="s">
        <v>13</v>
      </c>
    </row>
    <row r="24" spans="2:9" ht="26.25">
      <c r="B24" s="11" t="s">
        <v>43</v>
      </c>
      <c r="C24" s="12">
        <v>10000000</v>
      </c>
      <c r="D24" s="13">
        <v>1</v>
      </c>
      <c r="E24" s="11" t="s">
        <v>21</v>
      </c>
      <c r="F24" s="11" t="s">
        <v>10</v>
      </c>
      <c r="G24" s="11" t="s">
        <v>27</v>
      </c>
      <c r="H24" s="11" t="s">
        <v>30</v>
      </c>
      <c r="I24" s="11" t="s">
        <v>13</v>
      </c>
    </row>
    <row r="25" spans="2:9" ht="26.25">
      <c r="B25" s="11" t="s">
        <v>44</v>
      </c>
      <c r="C25" s="12">
        <v>0</v>
      </c>
      <c r="D25" s="14" t="s">
        <v>20</v>
      </c>
      <c r="E25" s="11" t="s">
        <v>25</v>
      </c>
      <c r="F25" s="11" t="s">
        <v>17</v>
      </c>
      <c r="G25" s="11" t="s">
        <v>18</v>
      </c>
      <c r="H25" s="11" t="s">
        <v>12</v>
      </c>
      <c r="I25" s="11" t="s">
        <v>13</v>
      </c>
    </row>
    <row r="26" spans="2:9" ht="26.25">
      <c r="B26" s="11" t="s">
        <v>45</v>
      </c>
      <c r="C26" s="12">
        <v>20000000</v>
      </c>
      <c r="D26" s="13">
        <v>2</v>
      </c>
      <c r="E26" s="11" t="s">
        <v>25</v>
      </c>
      <c r="F26" s="11" t="s">
        <v>10</v>
      </c>
      <c r="G26" s="11" t="s">
        <v>11</v>
      </c>
      <c r="H26" s="11" t="s">
        <v>12</v>
      </c>
      <c r="I26" s="11" t="s">
        <v>13</v>
      </c>
    </row>
    <row r="27" spans="2:9" ht="26.25">
      <c r="B27" s="11" t="s">
        <v>46</v>
      </c>
      <c r="C27" s="12">
        <v>0</v>
      </c>
      <c r="D27" s="14" t="s">
        <v>20</v>
      </c>
      <c r="E27" s="11" t="s">
        <v>21</v>
      </c>
      <c r="F27" s="11" t="s">
        <v>17</v>
      </c>
      <c r="G27" s="11" t="s">
        <v>23</v>
      </c>
      <c r="H27" s="11" t="s">
        <v>12</v>
      </c>
      <c r="I27" s="11" t="s">
        <v>13</v>
      </c>
    </row>
    <row r="28" spans="2:9" ht="26.25">
      <c r="B28" s="11" t="s">
        <v>47</v>
      </c>
      <c r="C28" s="12">
        <v>5000000</v>
      </c>
      <c r="D28" s="13">
        <v>4</v>
      </c>
      <c r="E28" s="11" t="s">
        <v>25</v>
      </c>
      <c r="F28" s="11" t="s">
        <v>10</v>
      </c>
      <c r="G28" s="11" t="s">
        <v>27</v>
      </c>
      <c r="H28" s="11" t="s">
        <v>30</v>
      </c>
      <c r="I28" s="11" t="s">
        <v>32</v>
      </c>
    </row>
    <row r="29" spans="2:9" ht="26.25">
      <c r="B29" s="11" t="s">
        <v>48</v>
      </c>
      <c r="C29" s="12">
        <v>20000000</v>
      </c>
      <c r="D29" s="13">
        <v>2</v>
      </c>
      <c r="E29" s="11" t="s">
        <v>9</v>
      </c>
      <c r="F29" s="11" t="s">
        <v>10</v>
      </c>
      <c r="G29" s="11" t="s">
        <v>27</v>
      </c>
      <c r="H29" s="11" t="s">
        <v>12</v>
      </c>
      <c r="I29" s="11" t="s">
        <v>13</v>
      </c>
    </row>
    <row r="30" spans="2:9" ht="26.25">
      <c r="B30" s="11" t="s">
        <v>49</v>
      </c>
      <c r="C30" s="12">
        <v>50000000</v>
      </c>
      <c r="D30" s="13">
        <v>2</v>
      </c>
      <c r="E30" s="11" t="s">
        <v>21</v>
      </c>
      <c r="F30" s="11" t="s">
        <v>10</v>
      </c>
      <c r="G30" s="11" t="s">
        <v>11</v>
      </c>
      <c r="H30" s="11" t="s">
        <v>12</v>
      </c>
      <c r="I30" s="11" t="s">
        <v>13</v>
      </c>
    </row>
    <row r="31" spans="2:9" ht="26.25">
      <c r="B31" s="11" t="s">
        <v>50</v>
      </c>
      <c r="C31" s="12">
        <v>30000000</v>
      </c>
      <c r="D31" s="14" t="s">
        <v>20</v>
      </c>
      <c r="E31" s="11" t="s">
        <v>25</v>
      </c>
      <c r="F31" s="11" t="s">
        <v>10</v>
      </c>
      <c r="G31" s="11" t="s">
        <v>27</v>
      </c>
      <c r="H31" s="11" t="s">
        <v>12</v>
      </c>
      <c r="I31" s="11" t="s">
        <v>13</v>
      </c>
    </row>
    <row r="32" spans="2:9" ht="26.25">
      <c r="B32" s="11" t="s">
        <v>51</v>
      </c>
      <c r="C32" s="12">
        <v>5000000</v>
      </c>
      <c r="D32" s="13">
        <v>1</v>
      </c>
      <c r="E32" s="11" t="s">
        <v>21</v>
      </c>
      <c r="F32" s="11" t="s">
        <v>10</v>
      </c>
      <c r="G32" s="11" t="s">
        <v>11</v>
      </c>
      <c r="H32" s="11" t="s">
        <v>12</v>
      </c>
      <c r="I32" s="11" t="s">
        <v>13</v>
      </c>
    </row>
    <row r="33" spans="2:9" ht="26.25">
      <c r="B33" s="11" t="s">
        <v>52</v>
      </c>
      <c r="C33" s="12">
        <v>10000000</v>
      </c>
      <c r="D33" s="14" t="s">
        <v>20</v>
      </c>
      <c r="E33" s="11" t="s">
        <v>21</v>
      </c>
      <c r="F33" s="11" t="s">
        <v>10</v>
      </c>
      <c r="G33" s="11" t="s">
        <v>27</v>
      </c>
      <c r="H33" s="11" t="s">
        <v>12</v>
      </c>
      <c r="I33" s="11" t="s">
        <v>13</v>
      </c>
    </row>
    <row r="34" spans="2:9" ht="26.25">
      <c r="B34" s="11" t="s">
        <v>53</v>
      </c>
      <c r="C34" s="12">
        <v>0</v>
      </c>
      <c r="D34" s="13">
        <v>1</v>
      </c>
      <c r="E34" s="11" t="s">
        <v>54</v>
      </c>
      <c r="F34" s="11" t="s">
        <v>55</v>
      </c>
      <c r="G34" s="11" t="s">
        <v>56</v>
      </c>
      <c r="H34" s="11" t="s">
        <v>12</v>
      </c>
      <c r="I34" s="11" t="s">
        <v>28</v>
      </c>
    </row>
    <row r="35" spans="2:9" ht="26.25">
      <c r="B35" s="11" t="s">
        <v>57</v>
      </c>
      <c r="C35" s="12">
        <v>0</v>
      </c>
      <c r="D35" s="13">
        <v>2</v>
      </c>
      <c r="E35" s="11" t="s">
        <v>54</v>
      </c>
      <c r="F35" s="11" t="s">
        <v>55</v>
      </c>
      <c r="G35" s="11" t="s">
        <v>56</v>
      </c>
      <c r="H35" s="11" t="s">
        <v>12</v>
      </c>
      <c r="I35" s="11" t="s">
        <v>13</v>
      </c>
    </row>
    <row r="36" spans="2:9" ht="26.25">
      <c r="B36" s="11" t="s">
        <v>58</v>
      </c>
      <c r="C36" s="12">
        <v>5000000</v>
      </c>
      <c r="D36" s="13">
        <v>3</v>
      </c>
      <c r="E36" s="11" t="s">
        <v>21</v>
      </c>
      <c r="F36" s="11" t="s">
        <v>10</v>
      </c>
      <c r="G36" s="11" t="s">
        <v>11</v>
      </c>
      <c r="H36" s="11" t="s">
        <v>12</v>
      </c>
      <c r="I36" s="11" t="s">
        <v>28</v>
      </c>
    </row>
    <row r="37" spans="2:9" ht="26.25">
      <c r="B37" s="11" t="s">
        <v>59</v>
      </c>
      <c r="C37" s="12">
        <v>0</v>
      </c>
      <c r="D37" s="13">
        <v>1</v>
      </c>
      <c r="E37" s="11" t="s">
        <v>15</v>
      </c>
      <c r="F37" s="11" t="s">
        <v>17</v>
      </c>
      <c r="G37" s="11" t="s">
        <v>18</v>
      </c>
      <c r="H37" s="11" t="s">
        <v>12</v>
      </c>
      <c r="I37" s="11" t="s">
        <v>13</v>
      </c>
    </row>
    <row r="38" spans="2:9" ht="26.25">
      <c r="B38" s="11" t="s">
        <v>60</v>
      </c>
      <c r="C38" s="12">
        <v>10000000</v>
      </c>
      <c r="D38" s="13">
        <v>2</v>
      </c>
      <c r="E38" s="11" t="s">
        <v>21</v>
      </c>
      <c r="F38" s="11" t="s">
        <v>10</v>
      </c>
      <c r="G38" s="11" t="s">
        <v>27</v>
      </c>
      <c r="H38" s="11" t="s">
        <v>12</v>
      </c>
      <c r="I38" s="11" t="s">
        <v>13</v>
      </c>
    </row>
    <row r="39" spans="2:9" ht="26.25">
      <c r="B39" s="11" t="s">
        <v>61</v>
      </c>
      <c r="C39" s="12">
        <v>1000000</v>
      </c>
      <c r="D39" s="13">
        <v>1</v>
      </c>
      <c r="E39" s="11" t="s">
        <v>25</v>
      </c>
      <c r="F39" s="11" t="s">
        <v>10</v>
      </c>
      <c r="G39" s="11" t="s">
        <v>11</v>
      </c>
      <c r="H39" s="11" t="s">
        <v>12</v>
      </c>
      <c r="I39" s="11" t="s">
        <v>13</v>
      </c>
    </row>
    <row r="40" spans="2:9" ht="26.25">
      <c r="B40" s="11" t="s">
        <v>62</v>
      </c>
      <c r="C40" s="12">
        <v>10000000</v>
      </c>
      <c r="D40" s="14" t="s">
        <v>20</v>
      </c>
      <c r="E40" s="11" t="s">
        <v>21</v>
      </c>
      <c r="F40" s="11" t="s">
        <v>10</v>
      </c>
      <c r="G40" s="11" t="s">
        <v>27</v>
      </c>
      <c r="H40" s="11" t="s">
        <v>12</v>
      </c>
      <c r="I40" s="11" t="s">
        <v>13</v>
      </c>
    </row>
    <row r="41" spans="2:9" ht="26.25">
      <c r="B41" s="11" t="s">
        <v>63</v>
      </c>
      <c r="C41" s="12">
        <v>0</v>
      </c>
      <c r="D41" s="13">
        <v>1</v>
      </c>
      <c r="E41" s="11" t="s">
        <v>21</v>
      </c>
      <c r="F41" s="11" t="s">
        <v>17</v>
      </c>
      <c r="G41" s="11" t="s">
        <v>18</v>
      </c>
      <c r="H41" s="11" t="s">
        <v>30</v>
      </c>
      <c r="I41" s="11" t="s">
        <v>13</v>
      </c>
    </row>
    <row r="42" spans="2:9" ht="26.25">
      <c r="B42" s="11" t="s">
        <v>64</v>
      </c>
      <c r="C42" s="12">
        <v>0</v>
      </c>
      <c r="D42" s="13">
        <v>1</v>
      </c>
      <c r="E42" s="11" t="s">
        <v>54</v>
      </c>
      <c r="F42" s="11" t="s">
        <v>55</v>
      </c>
      <c r="G42" s="11" t="s">
        <v>56</v>
      </c>
      <c r="H42" s="11" t="s">
        <v>12</v>
      </c>
      <c r="I42" s="11" t="s">
        <v>13</v>
      </c>
    </row>
    <row r="43" spans="2:9" ht="26.25">
      <c r="B43" s="11" t="s">
        <v>65</v>
      </c>
      <c r="C43" s="12">
        <v>0</v>
      </c>
      <c r="D43" s="13">
        <v>2</v>
      </c>
      <c r="E43" s="11" t="s">
        <v>21</v>
      </c>
      <c r="F43" s="11" t="s">
        <v>17</v>
      </c>
      <c r="G43" s="11" t="s">
        <v>18</v>
      </c>
      <c r="H43" s="11" t="s">
        <v>12</v>
      </c>
      <c r="I43" s="11" t="s">
        <v>13</v>
      </c>
    </row>
    <row r="44" spans="2:9" ht="26.25">
      <c r="B44" s="11" t="s">
        <v>66</v>
      </c>
      <c r="C44" s="12">
        <v>0</v>
      </c>
      <c r="D44" s="13">
        <v>1</v>
      </c>
      <c r="E44" s="11" t="s">
        <v>21</v>
      </c>
      <c r="F44" s="11" t="s">
        <v>17</v>
      </c>
      <c r="G44" s="11" t="s">
        <v>18</v>
      </c>
      <c r="H44" s="11" t="s">
        <v>30</v>
      </c>
      <c r="I44" s="11" t="s">
        <v>13</v>
      </c>
    </row>
    <row r="45" spans="2:9" ht="26.25">
      <c r="B45" s="11" t="s">
        <v>67</v>
      </c>
      <c r="C45" s="12">
        <v>10000000</v>
      </c>
      <c r="D45" s="14" t="s">
        <v>20</v>
      </c>
      <c r="E45" s="11" t="s">
        <v>25</v>
      </c>
      <c r="F45" s="11" t="s">
        <v>10</v>
      </c>
      <c r="G45" s="11" t="s">
        <v>11</v>
      </c>
      <c r="H45" s="11" t="s">
        <v>12</v>
      </c>
      <c r="I45" s="11" t="s">
        <v>13</v>
      </c>
    </row>
    <row r="46" spans="2:9" ht="26.25">
      <c r="B46" s="11" t="s">
        <v>68</v>
      </c>
      <c r="C46" s="12">
        <v>0</v>
      </c>
      <c r="D46" s="13">
        <v>1</v>
      </c>
      <c r="E46" s="11" t="s">
        <v>25</v>
      </c>
      <c r="F46" s="11" t="s">
        <v>17</v>
      </c>
      <c r="G46" s="11" t="s">
        <v>18</v>
      </c>
      <c r="H46" s="11" t="s">
        <v>30</v>
      </c>
      <c r="I46" s="11" t="s">
        <v>32</v>
      </c>
    </row>
    <row r="47" spans="2:9" ht="26.25">
      <c r="B47" s="11" t="s">
        <v>69</v>
      </c>
      <c r="C47" s="12">
        <v>30000000</v>
      </c>
      <c r="D47" s="13">
        <v>2</v>
      </c>
      <c r="E47" s="11" t="s">
        <v>21</v>
      </c>
      <c r="F47" s="11" t="s">
        <v>10</v>
      </c>
      <c r="G47" s="11" t="s">
        <v>27</v>
      </c>
      <c r="H47" s="11" t="s">
        <v>12</v>
      </c>
      <c r="I47" s="11" t="s">
        <v>32</v>
      </c>
    </row>
    <row r="48" spans="2:9" ht="26.25">
      <c r="B48" s="11" t="s">
        <v>70</v>
      </c>
      <c r="C48" s="12">
        <v>1000000</v>
      </c>
      <c r="D48" s="13">
        <v>4</v>
      </c>
      <c r="E48" s="11" t="s">
        <v>21</v>
      </c>
      <c r="F48" s="11" t="s">
        <v>10</v>
      </c>
      <c r="G48" s="11" t="s">
        <v>11</v>
      </c>
      <c r="H48" s="11" t="s">
        <v>30</v>
      </c>
      <c r="I48" s="11" t="s">
        <v>13</v>
      </c>
    </row>
    <row r="49" spans="2:9" ht="26.25">
      <c r="B49" s="11" t="s">
        <v>71</v>
      </c>
      <c r="C49" s="12">
        <v>0</v>
      </c>
      <c r="D49" s="14" t="s">
        <v>20</v>
      </c>
      <c r="E49" s="11" t="s">
        <v>21</v>
      </c>
      <c r="F49" s="11" t="s">
        <v>17</v>
      </c>
      <c r="G49" s="11" t="s">
        <v>18</v>
      </c>
      <c r="H49" s="11" t="s">
        <v>12</v>
      </c>
      <c r="I49" s="11" t="s">
        <v>72</v>
      </c>
    </row>
    <row r="50" spans="2:9" ht="26.25">
      <c r="B50" s="11" t="s">
        <v>73</v>
      </c>
      <c r="C50" s="12">
        <v>0</v>
      </c>
      <c r="D50" s="14" t="s">
        <v>20</v>
      </c>
      <c r="E50" s="11" t="s">
        <v>21</v>
      </c>
      <c r="F50" s="11" t="s">
        <v>17</v>
      </c>
      <c r="G50" s="11" t="s">
        <v>18</v>
      </c>
      <c r="H50" s="11" t="s">
        <v>12</v>
      </c>
      <c r="I50" s="11" t="s">
        <v>13</v>
      </c>
    </row>
    <row r="51" spans="2:9" ht="26.25">
      <c r="B51" s="11" t="s">
        <v>74</v>
      </c>
      <c r="C51" s="12">
        <v>0</v>
      </c>
      <c r="D51" s="13">
        <v>1</v>
      </c>
      <c r="E51" s="11" t="s">
        <v>21</v>
      </c>
      <c r="F51" s="11" t="s">
        <v>17</v>
      </c>
      <c r="G51" s="11" t="s">
        <v>23</v>
      </c>
      <c r="H51" s="11" t="s">
        <v>12</v>
      </c>
      <c r="I51" s="11" t="s">
        <v>13</v>
      </c>
    </row>
    <row r="52" spans="2:9" ht="26.25">
      <c r="B52" s="11" t="s">
        <v>75</v>
      </c>
      <c r="C52" s="12">
        <v>10000000</v>
      </c>
      <c r="D52" s="13">
        <v>2</v>
      </c>
      <c r="E52" s="11" t="s">
        <v>21</v>
      </c>
      <c r="F52" s="11" t="s">
        <v>10</v>
      </c>
      <c r="G52" s="11" t="s">
        <v>27</v>
      </c>
      <c r="H52" s="11" t="s">
        <v>12</v>
      </c>
      <c r="I52" s="11" t="s">
        <v>13</v>
      </c>
    </row>
    <row r="53" spans="2:9" ht="26.25">
      <c r="B53" s="11" t="s">
        <v>76</v>
      </c>
      <c r="C53" s="12">
        <v>0</v>
      </c>
      <c r="D53" s="13">
        <v>2</v>
      </c>
      <c r="E53" s="11" t="s">
        <v>21</v>
      </c>
      <c r="F53" s="11" t="s">
        <v>17</v>
      </c>
      <c r="G53" s="11" t="s">
        <v>18</v>
      </c>
      <c r="H53" s="11" t="s">
        <v>30</v>
      </c>
      <c r="I53" s="11" t="s">
        <v>77</v>
      </c>
    </row>
    <row r="54" spans="2:9" ht="26.25">
      <c r="B54" s="11" t="s">
        <v>78</v>
      </c>
      <c r="C54" s="12">
        <v>30000000</v>
      </c>
      <c r="D54" s="13">
        <v>2</v>
      </c>
      <c r="E54" s="11" t="s">
        <v>21</v>
      </c>
      <c r="F54" s="11" t="s">
        <v>10</v>
      </c>
      <c r="G54" s="11" t="s">
        <v>27</v>
      </c>
      <c r="H54" s="11" t="s">
        <v>30</v>
      </c>
      <c r="I54" s="11" t="s">
        <v>32</v>
      </c>
    </row>
    <row r="55" spans="2:9" ht="26.25">
      <c r="B55" s="11" t="s">
        <v>79</v>
      </c>
      <c r="C55" s="12">
        <v>0</v>
      </c>
      <c r="D55" s="13">
        <v>1</v>
      </c>
      <c r="E55" s="11" t="s">
        <v>21</v>
      </c>
      <c r="F55" s="11" t="s">
        <v>55</v>
      </c>
      <c r="G55" s="11" t="s">
        <v>80</v>
      </c>
      <c r="H55" s="11" t="s">
        <v>12</v>
      </c>
      <c r="I55" s="11" t="s">
        <v>13</v>
      </c>
    </row>
    <row r="56" spans="2:9" ht="26.25">
      <c r="B56" s="11" t="s">
        <v>81</v>
      </c>
      <c r="C56" s="12">
        <v>30000000</v>
      </c>
      <c r="D56" s="13">
        <v>2</v>
      </c>
      <c r="E56" s="11" t="s">
        <v>21</v>
      </c>
      <c r="F56" s="11" t="s">
        <v>10</v>
      </c>
      <c r="G56" s="11" t="s">
        <v>27</v>
      </c>
      <c r="H56" s="11" t="s">
        <v>12</v>
      </c>
      <c r="I56" s="11" t="s">
        <v>13</v>
      </c>
    </row>
    <row r="57" spans="2:9" ht="26.25">
      <c r="B57" s="11" t="s">
        <v>82</v>
      </c>
      <c r="C57" s="12">
        <v>50000000</v>
      </c>
      <c r="D57" s="13">
        <v>1</v>
      </c>
      <c r="E57" s="11" t="s">
        <v>9</v>
      </c>
      <c r="F57" s="11" t="s">
        <v>10</v>
      </c>
      <c r="G57" s="11" t="s">
        <v>11</v>
      </c>
      <c r="H57" s="11" t="s">
        <v>30</v>
      </c>
      <c r="I57" s="11" t="s">
        <v>13</v>
      </c>
    </row>
    <row r="58" spans="2:9" ht="26.25">
      <c r="B58" s="11" t="s">
        <v>83</v>
      </c>
      <c r="C58" s="12">
        <v>10000000</v>
      </c>
      <c r="D58" s="13">
        <v>1</v>
      </c>
      <c r="E58" s="11" t="s">
        <v>21</v>
      </c>
      <c r="F58" s="11" t="s">
        <v>10</v>
      </c>
      <c r="G58" s="11" t="s">
        <v>11</v>
      </c>
      <c r="H58" s="11" t="s">
        <v>12</v>
      </c>
      <c r="I58" s="11" t="s">
        <v>13</v>
      </c>
    </row>
    <row r="59" spans="2:9" ht="26.25">
      <c r="B59" s="11" t="s">
        <v>84</v>
      </c>
      <c r="C59" s="12">
        <v>30000000</v>
      </c>
      <c r="D59" s="14" t="s">
        <v>20</v>
      </c>
      <c r="E59" s="11" t="s">
        <v>21</v>
      </c>
      <c r="F59" s="11" t="s">
        <v>10</v>
      </c>
      <c r="G59" s="11" t="s">
        <v>27</v>
      </c>
      <c r="H59" s="11" t="s">
        <v>12</v>
      </c>
      <c r="I59" s="11" t="s">
        <v>13</v>
      </c>
    </row>
    <row r="60" spans="2:9" ht="26.25">
      <c r="B60" s="11" t="s">
        <v>85</v>
      </c>
      <c r="C60" s="12">
        <v>90000000</v>
      </c>
      <c r="D60" s="13">
        <v>1</v>
      </c>
      <c r="E60" s="11" t="s">
        <v>21</v>
      </c>
      <c r="F60" s="11" t="s">
        <v>10</v>
      </c>
      <c r="G60" s="11" t="s">
        <v>27</v>
      </c>
      <c r="H60" s="11" t="s">
        <v>12</v>
      </c>
      <c r="I60" s="11" t="s">
        <v>13</v>
      </c>
    </row>
    <row r="61" spans="2:9" ht="26.25">
      <c r="B61" s="11" t="s">
        <v>86</v>
      </c>
      <c r="C61" s="12">
        <v>0</v>
      </c>
      <c r="D61" s="14" t="s">
        <v>20</v>
      </c>
      <c r="E61" s="11" t="s">
        <v>21</v>
      </c>
      <c r="F61" s="11" t="s">
        <v>55</v>
      </c>
      <c r="G61" s="11" t="s">
        <v>80</v>
      </c>
      <c r="H61" s="11" t="s">
        <v>12</v>
      </c>
      <c r="I61" s="11" t="s">
        <v>87</v>
      </c>
    </row>
    <row r="62" spans="2:9" ht="26.25">
      <c r="B62" s="11" t="s">
        <v>88</v>
      </c>
      <c r="C62" s="12">
        <v>100000000</v>
      </c>
      <c r="D62" s="13">
        <v>3</v>
      </c>
      <c r="E62" s="11" t="s">
        <v>21</v>
      </c>
      <c r="F62" s="11" t="s">
        <v>10</v>
      </c>
      <c r="G62" s="11" t="s">
        <v>11</v>
      </c>
      <c r="H62" s="11" t="s">
        <v>12</v>
      </c>
      <c r="I62" s="11" t="s">
        <v>89</v>
      </c>
    </row>
    <row r="63" spans="2:9" ht="26.25">
      <c r="B63" s="11" t="s">
        <v>90</v>
      </c>
      <c r="C63" s="12">
        <v>100000000</v>
      </c>
      <c r="D63" s="14" t="s">
        <v>20</v>
      </c>
      <c r="E63" s="11" t="s">
        <v>21</v>
      </c>
      <c r="F63" s="11" t="s">
        <v>10</v>
      </c>
      <c r="G63" s="11" t="s">
        <v>11</v>
      </c>
      <c r="H63" s="11" t="s">
        <v>12</v>
      </c>
      <c r="I63" s="11" t="s">
        <v>13</v>
      </c>
    </row>
    <row r="64" spans="2:9" ht="26.25">
      <c r="B64" s="11" t="s">
        <v>91</v>
      </c>
      <c r="C64" s="12">
        <v>0</v>
      </c>
      <c r="D64" s="13">
        <v>1</v>
      </c>
      <c r="E64" s="11" t="s">
        <v>25</v>
      </c>
      <c r="F64" s="11" t="s">
        <v>17</v>
      </c>
      <c r="G64" s="11" t="s">
        <v>18</v>
      </c>
      <c r="H64" s="11" t="s">
        <v>30</v>
      </c>
      <c r="I64" s="11" t="s">
        <v>32</v>
      </c>
    </row>
    <row r="65" spans="2:9" ht="26.25">
      <c r="B65" s="11" t="s">
        <v>92</v>
      </c>
      <c r="C65" s="12">
        <v>0</v>
      </c>
      <c r="D65" s="13">
        <v>2</v>
      </c>
      <c r="E65" s="11" t="s">
        <v>21</v>
      </c>
      <c r="F65" s="11" t="s">
        <v>17</v>
      </c>
      <c r="G65" s="11" t="s">
        <v>23</v>
      </c>
      <c r="H65" s="11" t="s">
        <v>12</v>
      </c>
      <c r="I65" s="11" t="s">
        <v>13</v>
      </c>
    </row>
    <row r="66" spans="2:9" ht="26.25">
      <c r="B66" s="11" t="s">
        <v>93</v>
      </c>
      <c r="C66" s="12">
        <v>1000000</v>
      </c>
      <c r="D66" s="13">
        <v>2</v>
      </c>
      <c r="E66" s="11" t="s">
        <v>21</v>
      </c>
      <c r="F66" s="11" t="s">
        <v>10</v>
      </c>
      <c r="G66" s="11" t="s">
        <v>27</v>
      </c>
      <c r="H66" s="11" t="s">
        <v>12</v>
      </c>
      <c r="I66" s="11" t="s">
        <v>13</v>
      </c>
    </row>
    <row r="67" spans="2:9" ht="26.25">
      <c r="B67" s="11" t="s">
        <v>94</v>
      </c>
      <c r="C67" s="12">
        <v>20000000</v>
      </c>
      <c r="D67" s="13">
        <v>3</v>
      </c>
      <c r="E67" s="11" t="s">
        <v>15</v>
      </c>
      <c r="F67" s="11" t="s">
        <v>10</v>
      </c>
      <c r="G67" s="11" t="s">
        <v>27</v>
      </c>
      <c r="H67" s="11" t="s">
        <v>30</v>
      </c>
      <c r="I67" s="11" t="s">
        <v>13</v>
      </c>
    </row>
    <row r="68" spans="2:9" ht="26.25">
      <c r="B68" s="11" t="s">
        <v>95</v>
      </c>
      <c r="C68" s="12">
        <v>50000000</v>
      </c>
      <c r="D68" s="13">
        <v>4</v>
      </c>
      <c r="E68" s="11" t="s">
        <v>21</v>
      </c>
      <c r="F68" s="11" t="s">
        <v>10</v>
      </c>
      <c r="G68" s="11" t="s">
        <v>11</v>
      </c>
      <c r="H68" s="11" t="s">
        <v>12</v>
      </c>
      <c r="I68" s="11" t="s">
        <v>96</v>
      </c>
    </row>
    <row r="69" spans="2:9" ht="26.25">
      <c r="B69" s="11" t="s">
        <v>97</v>
      </c>
      <c r="C69" s="12">
        <v>0</v>
      </c>
      <c r="D69" s="14" t="s">
        <v>20</v>
      </c>
      <c r="E69" s="11" t="s">
        <v>15</v>
      </c>
      <c r="F69" s="11" t="s">
        <v>10</v>
      </c>
      <c r="G69" s="11" t="s">
        <v>11</v>
      </c>
      <c r="H69" s="11" t="s">
        <v>30</v>
      </c>
      <c r="I69" s="11" t="s">
        <v>13</v>
      </c>
    </row>
    <row r="70" spans="2:9" ht="26.25">
      <c r="B70" s="11" t="s">
        <v>98</v>
      </c>
      <c r="C70" s="12">
        <v>10000000</v>
      </c>
      <c r="D70" s="13">
        <v>4</v>
      </c>
      <c r="E70" s="11" t="s">
        <v>21</v>
      </c>
      <c r="F70" s="11" t="s">
        <v>10</v>
      </c>
      <c r="G70" s="11" t="s">
        <v>11</v>
      </c>
      <c r="H70" s="11" t="s">
        <v>30</v>
      </c>
      <c r="I70" s="11" t="s">
        <v>13</v>
      </c>
    </row>
    <row r="71" spans="2:9" ht="26.25">
      <c r="B71" s="11" t="s">
        <v>99</v>
      </c>
      <c r="C71" s="12">
        <v>0</v>
      </c>
      <c r="D71" s="13">
        <v>1</v>
      </c>
      <c r="E71" s="11" t="s">
        <v>25</v>
      </c>
      <c r="F71" s="11" t="s">
        <v>17</v>
      </c>
      <c r="G71" s="11" t="s">
        <v>18</v>
      </c>
      <c r="H71" s="11" t="s">
        <v>30</v>
      </c>
      <c r="I71" s="11" t="s">
        <v>13</v>
      </c>
    </row>
    <row r="72" spans="2:9" ht="26.25">
      <c r="B72" s="11" t="s">
        <v>100</v>
      </c>
      <c r="C72" s="12">
        <v>10000000</v>
      </c>
      <c r="D72" s="13">
        <v>3</v>
      </c>
      <c r="E72" s="11" t="s">
        <v>21</v>
      </c>
      <c r="F72" s="11" t="s">
        <v>10</v>
      </c>
      <c r="G72" s="11" t="s">
        <v>27</v>
      </c>
      <c r="H72" s="11" t="s">
        <v>12</v>
      </c>
      <c r="I72" s="11" t="s">
        <v>13</v>
      </c>
    </row>
    <row r="73" spans="2:9" ht="26.25">
      <c r="B73" s="11" t="s">
        <v>101</v>
      </c>
      <c r="C73" s="12">
        <v>0</v>
      </c>
      <c r="D73" s="14" t="s">
        <v>20</v>
      </c>
      <c r="E73" s="11" t="s">
        <v>25</v>
      </c>
      <c r="F73" s="11" t="s">
        <v>17</v>
      </c>
      <c r="G73" s="11" t="s">
        <v>23</v>
      </c>
      <c r="H73" s="11" t="s">
        <v>12</v>
      </c>
      <c r="I73" s="11" t="s">
        <v>102</v>
      </c>
    </row>
    <row r="74" spans="2:9" ht="26.25">
      <c r="B74" s="11" t="s">
        <v>103</v>
      </c>
      <c r="C74" s="12">
        <v>20000000</v>
      </c>
      <c r="D74" s="14" t="s">
        <v>20</v>
      </c>
      <c r="E74" s="11" t="s">
        <v>15</v>
      </c>
      <c r="F74" s="11" t="s">
        <v>10</v>
      </c>
      <c r="G74" s="11" t="s">
        <v>11</v>
      </c>
      <c r="H74" s="11" t="s">
        <v>12</v>
      </c>
      <c r="I74" s="11" t="s">
        <v>13</v>
      </c>
    </row>
    <row r="75" spans="2:9" ht="26.25">
      <c r="B75" s="11" t="s">
        <v>104</v>
      </c>
      <c r="C75" s="12">
        <v>100000000</v>
      </c>
      <c r="D75" s="13">
        <v>2</v>
      </c>
      <c r="E75" s="11" t="s">
        <v>21</v>
      </c>
      <c r="F75" s="11" t="s">
        <v>10</v>
      </c>
      <c r="G75" s="11" t="s">
        <v>11</v>
      </c>
      <c r="H75" s="11" t="s">
        <v>12</v>
      </c>
      <c r="I75" s="11" t="s">
        <v>28</v>
      </c>
    </row>
    <row r="76" spans="2:9" ht="26.25">
      <c r="B76" s="11" t="s">
        <v>105</v>
      </c>
      <c r="C76" s="12">
        <v>0</v>
      </c>
      <c r="D76" s="13">
        <v>3</v>
      </c>
      <c r="E76" s="11" t="s">
        <v>54</v>
      </c>
      <c r="F76" s="11" t="s">
        <v>55</v>
      </c>
      <c r="G76" s="11" t="s">
        <v>56</v>
      </c>
      <c r="H76" s="11" t="s">
        <v>12</v>
      </c>
      <c r="I76" s="11" t="s">
        <v>13</v>
      </c>
    </row>
    <row r="77" spans="2:9" ht="26.25">
      <c r="B77" s="11" t="s">
        <v>106</v>
      </c>
      <c r="C77" s="12">
        <v>1000000</v>
      </c>
      <c r="D77" s="13">
        <v>2</v>
      </c>
      <c r="E77" s="11" t="s">
        <v>21</v>
      </c>
      <c r="F77" s="11" t="s">
        <v>10</v>
      </c>
      <c r="G77" s="11" t="s">
        <v>27</v>
      </c>
      <c r="H77" s="11" t="s">
        <v>12</v>
      </c>
      <c r="I77" s="11" t="s">
        <v>13</v>
      </c>
    </row>
    <row r="78" spans="2:9" ht="26.25">
      <c r="B78" s="11" t="s">
        <v>107</v>
      </c>
      <c r="C78" s="12">
        <v>0</v>
      </c>
      <c r="D78" s="13">
        <v>3</v>
      </c>
      <c r="E78" s="11" t="s">
        <v>15</v>
      </c>
      <c r="F78" s="11" t="s">
        <v>17</v>
      </c>
      <c r="G78" s="11" t="s">
        <v>23</v>
      </c>
      <c r="H78" s="11" t="s">
        <v>30</v>
      </c>
      <c r="I78" s="11" t="s">
        <v>13</v>
      </c>
    </row>
    <row r="79" spans="2:9" ht="26.25">
      <c r="B79" s="11" t="s">
        <v>108</v>
      </c>
      <c r="C79" s="12">
        <v>10000000</v>
      </c>
      <c r="D79" s="13">
        <v>4</v>
      </c>
      <c r="E79" s="11" t="s">
        <v>25</v>
      </c>
      <c r="F79" s="11" t="s">
        <v>10</v>
      </c>
      <c r="G79" s="11" t="s">
        <v>27</v>
      </c>
      <c r="H79" s="11" t="s">
        <v>12</v>
      </c>
      <c r="I79" s="11" t="s">
        <v>13</v>
      </c>
    </row>
    <row r="80" spans="2:9" ht="26.25">
      <c r="B80" s="11" t="s">
        <v>109</v>
      </c>
      <c r="C80" s="12">
        <v>10000000</v>
      </c>
      <c r="D80" s="14" t="s">
        <v>20</v>
      </c>
      <c r="E80" s="11" t="s">
        <v>21</v>
      </c>
      <c r="F80" s="11" t="s">
        <v>10</v>
      </c>
      <c r="G80" s="11" t="s">
        <v>11</v>
      </c>
      <c r="H80" s="11" t="s">
        <v>12</v>
      </c>
      <c r="I80" s="11" t="s">
        <v>13</v>
      </c>
    </row>
    <row r="81" spans="2:9" ht="26.25">
      <c r="B81" s="11" t="s">
        <v>110</v>
      </c>
      <c r="C81" s="12">
        <v>10000000</v>
      </c>
      <c r="D81" s="13">
        <v>1</v>
      </c>
      <c r="E81" s="11" t="s">
        <v>25</v>
      </c>
      <c r="F81" s="11" t="s">
        <v>10</v>
      </c>
      <c r="G81" s="11" t="s">
        <v>11</v>
      </c>
      <c r="H81" s="11" t="s">
        <v>30</v>
      </c>
      <c r="I81" s="11" t="s">
        <v>13</v>
      </c>
    </row>
    <row r="82" spans="2:9" ht="26.25">
      <c r="B82" s="11" t="s">
        <v>111</v>
      </c>
      <c r="C82" s="12">
        <v>20000000</v>
      </c>
      <c r="D82" s="13">
        <v>1</v>
      </c>
      <c r="E82" s="11" t="s">
        <v>21</v>
      </c>
      <c r="F82" s="11" t="s">
        <v>10</v>
      </c>
      <c r="G82" s="11" t="s">
        <v>11</v>
      </c>
      <c r="H82" s="11" t="s">
        <v>12</v>
      </c>
      <c r="I82" s="11" t="s">
        <v>72</v>
      </c>
    </row>
    <row r="83" spans="2:9" ht="26.25">
      <c r="B83" s="11" t="s">
        <v>112</v>
      </c>
      <c r="C83" s="12">
        <v>0</v>
      </c>
      <c r="D83" s="14" t="s">
        <v>20</v>
      </c>
      <c r="E83" s="11" t="s">
        <v>21</v>
      </c>
      <c r="F83" s="11" t="s">
        <v>17</v>
      </c>
      <c r="G83" s="11" t="s">
        <v>18</v>
      </c>
      <c r="H83" s="11" t="s">
        <v>12</v>
      </c>
      <c r="I83" s="11" t="s">
        <v>13</v>
      </c>
    </row>
    <row r="84" spans="2:9" ht="26.25">
      <c r="B84" s="11" t="s">
        <v>113</v>
      </c>
      <c r="C84" s="12">
        <v>30000000</v>
      </c>
      <c r="D84" s="14" t="s">
        <v>20</v>
      </c>
      <c r="E84" s="11" t="s">
        <v>21</v>
      </c>
      <c r="F84" s="11" t="s">
        <v>10</v>
      </c>
      <c r="G84" s="11" t="s">
        <v>11</v>
      </c>
      <c r="H84" s="11" t="s">
        <v>12</v>
      </c>
      <c r="I84" s="11" t="s">
        <v>13</v>
      </c>
    </row>
    <row r="85" spans="2:9" ht="26.25">
      <c r="B85" s="11" t="s">
        <v>114</v>
      </c>
      <c r="C85" s="12">
        <v>0</v>
      </c>
      <c r="D85" s="14" t="s">
        <v>20</v>
      </c>
      <c r="E85" s="11" t="s">
        <v>54</v>
      </c>
      <c r="F85" s="11" t="s">
        <v>55</v>
      </c>
      <c r="G85" s="11" t="s">
        <v>56</v>
      </c>
      <c r="H85" s="11" t="s">
        <v>12</v>
      </c>
      <c r="I85" s="15" t="s">
        <v>115</v>
      </c>
    </row>
    <row r="86" spans="2:9" ht="26.25">
      <c r="B86" s="11" t="s">
        <v>116</v>
      </c>
      <c r="C86" s="12">
        <v>10000000</v>
      </c>
      <c r="D86" s="13">
        <v>2</v>
      </c>
      <c r="E86" s="11" t="s">
        <v>21</v>
      </c>
      <c r="F86" s="11" t="s">
        <v>10</v>
      </c>
      <c r="G86" s="11" t="s">
        <v>27</v>
      </c>
      <c r="H86" s="11" t="s">
        <v>30</v>
      </c>
      <c r="I86" s="11" t="s">
        <v>13</v>
      </c>
    </row>
    <row r="87" spans="2:9" ht="26.25">
      <c r="B87" s="11" t="s">
        <v>117</v>
      </c>
      <c r="C87" s="12">
        <v>0</v>
      </c>
      <c r="D87" s="14" t="s">
        <v>20</v>
      </c>
      <c r="E87" s="11" t="s">
        <v>25</v>
      </c>
      <c r="F87" s="11" t="s">
        <v>17</v>
      </c>
      <c r="G87" s="11" t="s">
        <v>18</v>
      </c>
      <c r="H87" s="11" t="s">
        <v>12</v>
      </c>
      <c r="I87" s="11" t="s">
        <v>13</v>
      </c>
    </row>
    <row r="88" spans="2:9" ht="26.25">
      <c r="B88" s="11" t="s">
        <v>118</v>
      </c>
      <c r="C88" s="12">
        <v>0</v>
      </c>
      <c r="D88" s="13">
        <v>1</v>
      </c>
      <c r="E88" s="11" t="s">
        <v>9</v>
      </c>
      <c r="F88" s="11" t="s">
        <v>17</v>
      </c>
      <c r="G88" s="11" t="s">
        <v>23</v>
      </c>
      <c r="H88" s="11" t="s">
        <v>12</v>
      </c>
      <c r="I88" s="11" t="s">
        <v>13</v>
      </c>
    </row>
    <row r="89" spans="2:9" ht="26.25">
      <c r="B89" s="11" t="s">
        <v>119</v>
      </c>
      <c r="C89" s="12">
        <v>0</v>
      </c>
      <c r="D89" s="13">
        <v>1</v>
      </c>
      <c r="E89" s="11" t="s">
        <v>15</v>
      </c>
      <c r="F89" s="11" t="s">
        <v>17</v>
      </c>
      <c r="G89" s="11" t="s">
        <v>18</v>
      </c>
      <c r="H89" s="11" t="s">
        <v>12</v>
      </c>
      <c r="I89" s="11" t="s">
        <v>13</v>
      </c>
    </row>
    <row r="90" spans="2:9" ht="26.25">
      <c r="B90" s="11" t="s">
        <v>120</v>
      </c>
      <c r="C90" s="12">
        <v>30000000</v>
      </c>
      <c r="D90" s="14" t="s">
        <v>20</v>
      </c>
      <c r="E90" s="11" t="s">
        <v>25</v>
      </c>
      <c r="F90" s="11" t="s">
        <v>10</v>
      </c>
      <c r="G90" s="11" t="s">
        <v>27</v>
      </c>
      <c r="H90" s="11" t="s">
        <v>30</v>
      </c>
      <c r="I90" s="11" t="s">
        <v>13</v>
      </c>
    </row>
    <row r="91" spans="2:9" ht="26.25">
      <c r="B91" s="11" t="s">
        <v>121</v>
      </c>
      <c r="C91" s="12">
        <v>0</v>
      </c>
      <c r="D91" s="13">
        <v>4</v>
      </c>
      <c r="E91" s="11" t="s">
        <v>25</v>
      </c>
      <c r="F91" s="11" t="s">
        <v>17</v>
      </c>
      <c r="G91" s="11" t="s">
        <v>23</v>
      </c>
      <c r="H91" s="11" t="s">
        <v>12</v>
      </c>
      <c r="I91" s="11" t="s">
        <v>13</v>
      </c>
    </row>
    <row r="92" spans="2:9" ht="26.25">
      <c r="B92" s="11" t="s">
        <v>122</v>
      </c>
      <c r="C92" s="12">
        <v>90000000</v>
      </c>
      <c r="D92" s="13">
        <v>1</v>
      </c>
      <c r="E92" s="11" t="s">
        <v>25</v>
      </c>
      <c r="F92" s="11" t="s">
        <v>10</v>
      </c>
      <c r="G92" s="11" t="s">
        <v>27</v>
      </c>
      <c r="H92" s="11" t="s">
        <v>12</v>
      </c>
      <c r="I92" s="11" t="s">
        <v>13</v>
      </c>
    </row>
    <row r="93" spans="2:9" ht="26.25">
      <c r="B93" s="11" t="s">
        <v>123</v>
      </c>
      <c r="C93" s="12">
        <v>0</v>
      </c>
      <c r="D93" s="13">
        <v>1</v>
      </c>
      <c r="E93" s="11" t="s">
        <v>21</v>
      </c>
      <c r="F93" s="11" t="s">
        <v>17</v>
      </c>
      <c r="G93" s="11" t="s">
        <v>18</v>
      </c>
      <c r="H93" s="11" t="s">
        <v>30</v>
      </c>
      <c r="I93" s="11" t="s">
        <v>13</v>
      </c>
    </row>
    <row r="94" spans="2:9" ht="26.25">
      <c r="B94" s="11" t="s">
        <v>124</v>
      </c>
      <c r="C94" s="12">
        <v>0</v>
      </c>
      <c r="D94" s="13">
        <v>1</v>
      </c>
      <c r="E94" s="11" t="s">
        <v>21</v>
      </c>
      <c r="F94" s="11" t="s">
        <v>17</v>
      </c>
      <c r="G94" s="11" t="s">
        <v>23</v>
      </c>
      <c r="H94" s="11" t="s">
        <v>12</v>
      </c>
      <c r="I94" s="11" t="s">
        <v>13</v>
      </c>
    </row>
    <row r="95" spans="2:9" ht="26.25">
      <c r="B95" s="11" t="s">
        <v>125</v>
      </c>
      <c r="C95" s="12">
        <v>90000000</v>
      </c>
      <c r="D95" s="14" t="s">
        <v>20</v>
      </c>
      <c r="E95" s="11" t="s">
        <v>21</v>
      </c>
      <c r="F95" s="11" t="s">
        <v>10</v>
      </c>
      <c r="G95" s="11" t="s">
        <v>27</v>
      </c>
      <c r="H95" s="11" t="s">
        <v>12</v>
      </c>
      <c r="I95" s="11" t="s">
        <v>13</v>
      </c>
    </row>
    <row r="96" spans="2:9" ht="26.25">
      <c r="B96" s="11" t="s">
        <v>126</v>
      </c>
      <c r="C96" s="12">
        <v>1000000</v>
      </c>
      <c r="D96" s="14" t="s">
        <v>20</v>
      </c>
      <c r="E96" s="11" t="s">
        <v>21</v>
      </c>
      <c r="F96" s="11" t="s">
        <v>10</v>
      </c>
      <c r="G96" s="11" t="s">
        <v>27</v>
      </c>
      <c r="H96" s="11" t="s">
        <v>12</v>
      </c>
      <c r="I96" s="11" t="s">
        <v>13</v>
      </c>
    </row>
    <row r="97" spans="2:9" ht="26.25">
      <c r="B97" s="11" t="s">
        <v>127</v>
      </c>
      <c r="C97" s="12">
        <v>20000000</v>
      </c>
      <c r="D97" s="13">
        <v>2</v>
      </c>
      <c r="E97" s="11" t="s">
        <v>25</v>
      </c>
      <c r="F97" s="11" t="s">
        <v>10</v>
      </c>
      <c r="G97" s="11" t="s">
        <v>27</v>
      </c>
      <c r="H97" s="11" t="s">
        <v>12</v>
      </c>
      <c r="I97" s="11" t="s">
        <v>13</v>
      </c>
    </row>
    <row r="98" spans="2:9" ht="26.25">
      <c r="B98" s="11" t="s">
        <v>128</v>
      </c>
      <c r="C98" s="12">
        <v>90000000</v>
      </c>
      <c r="D98" s="13">
        <v>2</v>
      </c>
      <c r="E98" s="11" t="s">
        <v>9</v>
      </c>
      <c r="F98" s="11" t="s">
        <v>10</v>
      </c>
      <c r="G98" s="11" t="s">
        <v>11</v>
      </c>
      <c r="H98" s="11" t="s">
        <v>30</v>
      </c>
      <c r="I98" s="11" t="s">
        <v>13</v>
      </c>
    </row>
    <row r="99" spans="2:9" ht="26.25">
      <c r="B99" s="11" t="s">
        <v>129</v>
      </c>
      <c r="C99" s="12">
        <v>1000000</v>
      </c>
      <c r="D99" s="13">
        <v>4</v>
      </c>
      <c r="E99" s="11" t="s">
        <v>21</v>
      </c>
      <c r="F99" s="11" t="s">
        <v>10</v>
      </c>
      <c r="G99" s="11" t="s">
        <v>27</v>
      </c>
      <c r="H99" s="11" t="s">
        <v>12</v>
      </c>
      <c r="I99" s="11" t="s">
        <v>130</v>
      </c>
    </row>
    <row r="100" spans="2:9" ht="26.25">
      <c r="B100" s="11" t="s">
        <v>131</v>
      </c>
      <c r="C100" s="12">
        <v>10000000</v>
      </c>
      <c r="D100" s="13">
        <v>2</v>
      </c>
      <c r="E100" s="11" t="s">
        <v>21</v>
      </c>
      <c r="F100" s="11" t="s">
        <v>10</v>
      </c>
      <c r="G100" s="11" t="s">
        <v>11</v>
      </c>
      <c r="H100" s="11" t="s">
        <v>30</v>
      </c>
      <c r="I100" s="11" t="s">
        <v>13</v>
      </c>
    </row>
    <row r="101" spans="2:9" ht="26.25">
      <c r="B101" s="11" t="s">
        <v>132</v>
      </c>
      <c r="C101" s="12">
        <v>0</v>
      </c>
      <c r="D101" s="13">
        <v>2</v>
      </c>
      <c r="E101" s="11" t="s">
        <v>15</v>
      </c>
      <c r="F101" s="11" t="s">
        <v>17</v>
      </c>
      <c r="G101" s="11" t="s">
        <v>23</v>
      </c>
      <c r="H101" s="11" t="s">
        <v>12</v>
      </c>
      <c r="I101" s="11" t="s">
        <v>13</v>
      </c>
    </row>
    <row r="102" spans="2:9" ht="26.25">
      <c r="B102" s="11" t="s">
        <v>133</v>
      </c>
      <c r="C102" s="12">
        <v>0</v>
      </c>
      <c r="D102" s="14" t="s">
        <v>20</v>
      </c>
      <c r="E102" s="11" t="s">
        <v>54</v>
      </c>
      <c r="F102" s="11" t="s">
        <v>55</v>
      </c>
      <c r="G102" s="11" t="s">
        <v>56</v>
      </c>
      <c r="H102" s="11" t="s">
        <v>12</v>
      </c>
      <c r="I102" s="11" t="s">
        <v>13</v>
      </c>
    </row>
    <row r="103" spans="2:9" ht="26.25">
      <c r="B103" s="11" t="s">
        <v>134</v>
      </c>
      <c r="C103" s="12">
        <v>90000000</v>
      </c>
      <c r="D103" s="13">
        <v>3</v>
      </c>
      <c r="E103" s="11" t="s">
        <v>21</v>
      </c>
      <c r="F103" s="11" t="s">
        <v>10</v>
      </c>
      <c r="G103" s="11" t="s">
        <v>27</v>
      </c>
      <c r="H103" s="11" t="s">
        <v>12</v>
      </c>
      <c r="I103" s="11" t="s">
        <v>13</v>
      </c>
    </row>
    <row r="104" spans="2:9" ht="26.25">
      <c r="B104" s="11" t="s">
        <v>135</v>
      </c>
      <c r="C104" s="12">
        <v>0</v>
      </c>
      <c r="D104" s="14" t="s">
        <v>20</v>
      </c>
      <c r="E104" s="11" t="s">
        <v>21</v>
      </c>
      <c r="F104" s="11" t="s">
        <v>17</v>
      </c>
      <c r="G104" s="11" t="s">
        <v>23</v>
      </c>
      <c r="H104" s="11" t="s">
        <v>30</v>
      </c>
      <c r="I104" s="11" t="s">
        <v>13</v>
      </c>
    </row>
  </sheetData>
  <mergeCells count="1">
    <mergeCell ref="B3:J3"/>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80557-475F-470D-A217-181DC405FCD0}">
  <sheetPr codeName="Hoja8"/>
  <dimension ref="A1:L325"/>
  <sheetViews>
    <sheetView workbookViewId="0">
      <selection activeCell="E7" sqref="E7"/>
    </sheetView>
  </sheetViews>
  <sheetFormatPr baseColWidth="10" defaultRowHeight="15"/>
  <cols>
    <col min="11" max="11" width="10.85546875" bestFit="1" customWidth="1"/>
    <col min="12" max="12" width="83.85546875" bestFit="1" customWidth="1"/>
  </cols>
  <sheetData>
    <row r="1" spans="1:12">
      <c r="A1" s="265" t="s">
        <v>153</v>
      </c>
      <c r="B1" s="265"/>
      <c r="C1" s="265"/>
      <c r="D1" s="265"/>
      <c r="E1" s="265"/>
      <c r="F1" s="265"/>
      <c r="G1" s="265"/>
      <c r="H1" s="265"/>
    </row>
    <row r="2" spans="1:12">
      <c r="A2" s="331"/>
      <c r="B2" s="331"/>
      <c r="C2" s="331"/>
      <c r="D2" s="331"/>
      <c r="E2" s="331"/>
      <c r="F2" s="331"/>
      <c r="G2" s="331"/>
      <c r="H2" s="331"/>
    </row>
    <row r="3" spans="1:12" ht="15" customHeight="1">
      <c r="A3" s="327" t="s">
        <v>136</v>
      </c>
      <c r="B3" s="328"/>
      <c r="C3" s="328"/>
      <c r="D3" s="328"/>
      <c r="E3" s="328"/>
      <c r="F3" s="328"/>
      <c r="G3" s="328"/>
      <c r="H3" s="328"/>
      <c r="I3" s="328"/>
    </row>
    <row r="4" spans="1:12" ht="15" customHeight="1">
      <c r="A4" s="329" t="s">
        <v>139</v>
      </c>
      <c r="B4" s="330"/>
      <c r="C4" s="330"/>
      <c r="D4" s="330"/>
      <c r="E4" s="330"/>
      <c r="F4" s="330"/>
      <c r="G4" s="330"/>
      <c r="H4" s="330"/>
      <c r="I4" s="330"/>
    </row>
    <row r="5" spans="1:12" ht="60">
      <c r="A5" s="19" t="s">
        <v>140</v>
      </c>
      <c r="B5" s="20" t="s">
        <v>0</v>
      </c>
      <c r="C5" s="20" t="s">
        <v>1</v>
      </c>
      <c r="D5" s="20" t="s">
        <v>2</v>
      </c>
      <c r="E5" s="20" t="s">
        <v>3</v>
      </c>
      <c r="F5" s="20" t="s">
        <v>4</v>
      </c>
      <c r="G5" s="20" t="s">
        <v>5</v>
      </c>
      <c r="H5" s="20" t="s">
        <v>6</v>
      </c>
      <c r="I5" s="21" t="s">
        <v>7</v>
      </c>
      <c r="K5" s="35" t="s">
        <v>142</v>
      </c>
      <c r="L5" s="36" t="s">
        <v>143</v>
      </c>
    </row>
    <row r="6" spans="1:12" ht="15" customHeight="1">
      <c r="A6" s="22">
        <v>271</v>
      </c>
      <c r="B6" s="23" t="s">
        <v>123</v>
      </c>
      <c r="C6" s="27">
        <v>100000000</v>
      </c>
      <c r="D6" s="24">
        <v>2</v>
      </c>
      <c r="E6" s="24" t="s">
        <v>21</v>
      </c>
      <c r="F6" s="24" t="s">
        <v>10</v>
      </c>
      <c r="G6" s="24" t="s">
        <v>27</v>
      </c>
      <c r="H6" s="24" t="s">
        <v>12</v>
      </c>
      <c r="I6" s="26" t="s">
        <v>102</v>
      </c>
      <c r="L6" s="37" t="s">
        <v>144</v>
      </c>
    </row>
    <row r="7" spans="1:12">
      <c r="A7" s="22">
        <v>234</v>
      </c>
      <c r="B7" s="23" t="s">
        <v>79</v>
      </c>
      <c r="C7" s="27">
        <v>20000000</v>
      </c>
      <c r="D7" s="24" t="s">
        <v>20</v>
      </c>
      <c r="E7" s="24" t="s">
        <v>21</v>
      </c>
      <c r="F7" s="24" t="s">
        <v>17</v>
      </c>
      <c r="G7" s="24" t="s">
        <v>23</v>
      </c>
      <c r="H7" s="24" t="s">
        <v>12</v>
      </c>
      <c r="I7" s="26" t="s">
        <v>102</v>
      </c>
      <c r="L7" s="37" t="s">
        <v>145</v>
      </c>
    </row>
    <row r="8" spans="1:12">
      <c r="A8" s="22">
        <v>308</v>
      </c>
      <c r="B8" s="23" t="s">
        <v>69</v>
      </c>
      <c r="C8" s="24" t="s">
        <v>141</v>
      </c>
      <c r="D8" s="24">
        <v>1</v>
      </c>
      <c r="E8" s="24" t="s">
        <v>25</v>
      </c>
      <c r="F8" s="24" t="s">
        <v>10</v>
      </c>
      <c r="G8" s="24" t="s">
        <v>11</v>
      </c>
      <c r="H8" s="24" t="s">
        <v>12</v>
      </c>
      <c r="I8" s="26" t="s">
        <v>102</v>
      </c>
      <c r="L8" s="37" t="s">
        <v>146</v>
      </c>
    </row>
    <row r="9" spans="1:12">
      <c r="A9" s="22">
        <v>180</v>
      </c>
      <c r="B9" s="23" t="s">
        <v>132</v>
      </c>
      <c r="C9" s="27">
        <v>30000000</v>
      </c>
      <c r="D9" s="24">
        <v>2</v>
      </c>
      <c r="E9" s="24" t="s">
        <v>25</v>
      </c>
      <c r="F9" s="24" t="s">
        <v>10</v>
      </c>
      <c r="G9" s="24" t="s">
        <v>11</v>
      </c>
      <c r="H9" s="24" t="s">
        <v>12</v>
      </c>
      <c r="I9" s="26" t="s">
        <v>102</v>
      </c>
      <c r="L9" s="37" t="s">
        <v>147</v>
      </c>
    </row>
    <row r="10" spans="1:12">
      <c r="A10" s="22">
        <v>106</v>
      </c>
      <c r="B10" s="23" t="s">
        <v>46</v>
      </c>
      <c r="C10" s="24" t="s">
        <v>141</v>
      </c>
      <c r="D10" s="24">
        <v>4</v>
      </c>
      <c r="E10" s="24" t="s">
        <v>25</v>
      </c>
      <c r="F10" s="24" t="s">
        <v>17</v>
      </c>
      <c r="G10" s="24" t="s">
        <v>23</v>
      </c>
      <c r="H10" s="24" t="s">
        <v>12</v>
      </c>
      <c r="I10" s="26" t="s">
        <v>102</v>
      </c>
      <c r="L10" s="38" t="s">
        <v>148</v>
      </c>
    </row>
    <row r="11" spans="1:12">
      <c r="A11" s="22">
        <v>69</v>
      </c>
      <c r="B11" s="23" t="s">
        <v>101</v>
      </c>
      <c r="C11" s="23" t="s">
        <v>141</v>
      </c>
      <c r="D11" s="24" t="s">
        <v>20</v>
      </c>
      <c r="E11" s="24" t="s">
        <v>25</v>
      </c>
      <c r="F11" s="24" t="s">
        <v>17</v>
      </c>
      <c r="G11" s="25" t="s">
        <v>23</v>
      </c>
      <c r="H11" s="24" t="s">
        <v>12</v>
      </c>
      <c r="I11" s="29" t="s">
        <v>102</v>
      </c>
      <c r="L11" s="38" t="s">
        <v>149</v>
      </c>
    </row>
    <row r="12" spans="1:12">
      <c r="A12" s="22">
        <v>143</v>
      </c>
      <c r="B12" s="23" t="s">
        <v>91</v>
      </c>
      <c r="C12" s="27">
        <v>30000000</v>
      </c>
      <c r="D12" s="24" t="s">
        <v>20</v>
      </c>
      <c r="E12" s="24" t="s">
        <v>15</v>
      </c>
      <c r="F12" s="24" t="s">
        <v>10</v>
      </c>
      <c r="G12" s="24" t="s">
        <v>27</v>
      </c>
      <c r="H12" s="24" t="s">
        <v>12</v>
      </c>
      <c r="I12" s="26" t="s">
        <v>102</v>
      </c>
      <c r="L12" s="24" t="s">
        <v>150</v>
      </c>
    </row>
    <row r="13" spans="1:12">
      <c r="A13" s="22">
        <v>223</v>
      </c>
      <c r="B13" s="23" t="s">
        <v>66</v>
      </c>
      <c r="C13" s="24" t="s">
        <v>141</v>
      </c>
      <c r="D13" s="24">
        <v>1</v>
      </c>
      <c r="E13" s="24" t="s">
        <v>21</v>
      </c>
      <c r="F13" s="24" t="s">
        <v>10</v>
      </c>
      <c r="G13" s="24" t="s">
        <v>27</v>
      </c>
      <c r="H13" s="24" t="s">
        <v>12</v>
      </c>
      <c r="I13" s="26" t="s">
        <v>89</v>
      </c>
      <c r="L13" s="38" t="s">
        <v>151</v>
      </c>
    </row>
    <row r="14" spans="1:12">
      <c r="A14" s="22">
        <v>58</v>
      </c>
      <c r="B14" s="23" t="s">
        <v>88</v>
      </c>
      <c r="C14" s="28">
        <v>100000000</v>
      </c>
      <c r="D14" s="24">
        <v>3</v>
      </c>
      <c r="E14" s="24" t="s">
        <v>21</v>
      </c>
      <c r="F14" s="24" t="s">
        <v>10</v>
      </c>
      <c r="G14" s="24" t="s">
        <v>11</v>
      </c>
      <c r="H14" s="24" t="s">
        <v>12</v>
      </c>
      <c r="I14" s="29" t="s">
        <v>89</v>
      </c>
      <c r="L14" s="24" t="s">
        <v>152</v>
      </c>
    </row>
    <row r="15" spans="1:12">
      <c r="A15" s="22">
        <v>43</v>
      </c>
      <c r="B15" s="23" t="s">
        <v>69</v>
      </c>
      <c r="C15" s="28">
        <v>30000000</v>
      </c>
      <c r="D15" s="24">
        <v>2</v>
      </c>
      <c r="E15" s="24" t="s">
        <v>21</v>
      </c>
      <c r="F15" s="24" t="s">
        <v>10</v>
      </c>
      <c r="G15" s="24" t="s">
        <v>27</v>
      </c>
      <c r="H15" s="24" t="s">
        <v>12</v>
      </c>
      <c r="I15" s="29" t="s">
        <v>32</v>
      </c>
    </row>
    <row r="16" spans="1:12">
      <c r="A16" s="22">
        <v>50</v>
      </c>
      <c r="B16" s="23" t="s">
        <v>78</v>
      </c>
      <c r="C16" s="28">
        <v>30000000</v>
      </c>
      <c r="D16" s="24">
        <v>2</v>
      </c>
      <c r="E16" s="24" t="s">
        <v>21</v>
      </c>
      <c r="F16" s="24" t="s">
        <v>10</v>
      </c>
      <c r="G16" s="24" t="s">
        <v>27</v>
      </c>
      <c r="H16" s="24" t="s">
        <v>30</v>
      </c>
      <c r="I16" s="26" t="s">
        <v>32</v>
      </c>
    </row>
    <row r="17" spans="1:9">
      <c r="A17" s="22">
        <v>9</v>
      </c>
      <c r="B17" s="23" t="s">
        <v>31</v>
      </c>
      <c r="C17" s="23" t="s">
        <v>141</v>
      </c>
      <c r="D17" s="24">
        <v>2</v>
      </c>
      <c r="E17" s="24" t="s">
        <v>21</v>
      </c>
      <c r="F17" s="24" t="s">
        <v>17</v>
      </c>
      <c r="G17" s="25" t="s">
        <v>23</v>
      </c>
      <c r="H17" s="24" t="s">
        <v>30</v>
      </c>
      <c r="I17" s="26" t="s">
        <v>32</v>
      </c>
    </row>
    <row r="18" spans="1:9">
      <c r="A18" s="22">
        <v>189</v>
      </c>
      <c r="B18" s="23" t="s">
        <v>24</v>
      </c>
      <c r="C18" s="27">
        <v>10000000</v>
      </c>
      <c r="D18" s="24" t="s">
        <v>20</v>
      </c>
      <c r="E18" s="24" t="s">
        <v>21</v>
      </c>
      <c r="F18" s="24" t="s">
        <v>17</v>
      </c>
      <c r="G18" s="24" t="s">
        <v>23</v>
      </c>
      <c r="H18" s="24" t="s">
        <v>12</v>
      </c>
      <c r="I18" s="26" t="s">
        <v>32</v>
      </c>
    </row>
    <row r="19" spans="1:9">
      <c r="A19" s="22">
        <v>225</v>
      </c>
      <c r="B19" s="23" t="s">
        <v>68</v>
      </c>
      <c r="C19" s="27">
        <v>1000000</v>
      </c>
      <c r="D19" s="24" t="s">
        <v>20</v>
      </c>
      <c r="E19" s="24" t="s">
        <v>21</v>
      </c>
      <c r="F19" s="24" t="s">
        <v>17</v>
      </c>
      <c r="G19" s="24" t="s">
        <v>23</v>
      </c>
      <c r="H19" s="24" t="s">
        <v>30</v>
      </c>
      <c r="I19" s="26" t="s">
        <v>32</v>
      </c>
    </row>
    <row r="20" spans="1:9">
      <c r="A20" s="22">
        <v>207</v>
      </c>
      <c r="B20" s="23" t="s">
        <v>47</v>
      </c>
      <c r="C20" s="27">
        <v>1000000</v>
      </c>
      <c r="D20" s="24">
        <v>3</v>
      </c>
      <c r="E20" s="24" t="s">
        <v>21</v>
      </c>
      <c r="F20" s="24" t="s">
        <v>17</v>
      </c>
      <c r="G20" s="24" t="s">
        <v>18</v>
      </c>
      <c r="H20" s="24" t="s">
        <v>12</v>
      </c>
      <c r="I20" s="26" t="s">
        <v>32</v>
      </c>
    </row>
    <row r="21" spans="1:9">
      <c r="A21" s="22">
        <v>24</v>
      </c>
      <c r="B21" s="23" t="s">
        <v>47</v>
      </c>
      <c r="C21" s="28">
        <v>5000000</v>
      </c>
      <c r="D21" s="24">
        <v>4</v>
      </c>
      <c r="E21" s="24" t="s">
        <v>25</v>
      </c>
      <c r="F21" s="24" t="s">
        <v>10</v>
      </c>
      <c r="G21" s="24" t="s">
        <v>27</v>
      </c>
      <c r="H21" s="24" t="s">
        <v>30</v>
      </c>
      <c r="I21" s="26" t="s">
        <v>32</v>
      </c>
    </row>
    <row r="22" spans="1:9">
      <c r="A22" s="22">
        <v>42</v>
      </c>
      <c r="B22" s="23" t="s">
        <v>68</v>
      </c>
      <c r="C22" s="23" t="s">
        <v>141</v>
      </c>
      <c r="D22" s="24">
        <v>1</v>
      </c>
      <c r="E22" s="24" t="s">
        <v>25</v>
      </c>
      <c r="F22" s="24" t="s">
        <v>17</v>
      </c>
      <c r="G22" s="25" t="s">
        <v>18</v>
      </c>
      <c r="H22" s="24" t="s">
        <v>30</v>
      </c>
      <c r="I22" s="26" t="s">
        <v>32</v>
      </c>
    </row>
    <row r="23" spans="1:9">
      <c r="A23" s="22">
        <v>60</v>
      </c>
      <c r="B23" s="23" t="s">
        <v>91</v>
      </c>
      <c r="C23" s="23" t="s">
        <v>141</v>
      </c>
      <c r="D23" s="24">
        <v>1</v>
      </c>
      <c r="E23" s="24" t="s">
        <v>25</v>
      </c>
      <c r="F23" s="24" t="s">
        <v>17</v>
      </c>
      <c r="G23" s="25" t="s">
        <v>18</v>
      </c>
      <c r="H23" s="24" t="s">
        <v>30</v>
      </c>
      <c r="I23" s="26" t="s">
        <v>32</v>
      </c>
    </row>
    <row r="24" spans="1:9">
      <c r="A24" s="22">
        <v>215</v>
      </c>
      <c r="B24" s="23" t="s">
        <v>58</v>
      </c>
      <c r="C24" s="24" t="s">
        <v>141</v>
      </c>
      <c r="D24" s="24">
        <v>2</v>
      </c>
      <c r="E24" s="24" t="s">
        <v>54</v>
      </c>
      <c r="F24" s="24" t="s">
        <v>55</v>
      </c>
      <c r="G24" s="24" t="s">
        <v>56</v>
      </c>
      <c r="H24" s="24" t="s">
        <v>12</v>
      </c>
      <c r="I24" s="26" t="s">
        <v>32</v>
      </c>
    </row>
    <row r="25" spans="1:9">
      <c r="A25" s="22">
        <v>208</v>
      </c>
      <c r="B25" s="23" t="s">
        <v>48</v>
      </c>
      <c r="C25" s="27">
        <v>10000000</v>
      </c>
      <c r="D25" s="24">
        <v>4</v>
      </c>
      <c r="E25" s="24" t="s">
        <v>15</v>
      </c>
      <c r="F25" s="24" t="s">
        <v>10</v>
      </c>
      <c r="G25" s="24" t="s">
        <v>11</v>
      </c>
      <c r="H25" s="24" t="s">
        <v>30</v>
      </c>
      <c r="I25" s="26" t="s">
        <v>32</v>
      </c>
    </row>
    <row r="26" spans="1:9">
      <c r="A26" s="22">
        <v>71</v>
      </c>
      <c r="B26" s="23" t="s">
        <v>104</v>
      </c>
      <c r="C26" s="28">
        <v>100000000</v>
      </c>
      <c r="D26" s="24">
        <v>2</v>
      </c>
      <c r="E26" s="24" t="s">
        <v>21</v>
      </c>
      <c r="F26" s="24" t="s">
        <v>10</v>
      </c>
      <c r="G26" s="24" t="s">
        <v>11</v>
      </c>
      <c r="H26" s="24" t="s">
        <v>12</v>
      </c>
      <c r="I26" s="29" t="s">
        <v>28</v>
      </c>
    </row>
    <row r="27" spans="1:9">
      <c r="A27" s="22">
        <v>182</v>
      </c>
      <c r="B27" s="23" t="s">
        <v>134</v>
      </c>
      <c r="C27" s="27">
        <v>10000000</v>
      </c>
      <c r="D27" s="24" t="s">
        <v>20</v>
      </c>
      <c r="E27" s="24" t="s">
        <v>21</v>
      </c>
      <c r="F27" s="24" t="s">
        <v>10</v>
      </c>
      <c r="G27" s="24" t="s">
        <v>27</v>
      </c>
      <c r="H27" s="24" t="s">
        <v>12</v>
      </c>
      <c r="I27" s="26" t="s">
        <v>28</v>
      </c>
    </row>
    <row r="28" spans="1:9">
      <c r="A28" s="22">
        <v>236</v>
      </c>
      <c r="B28" s="23" t="s">
        <v>82</v>
      </c>
      <c r="C28" s="27">
        <v>5000000</v>
      </c>
      <c r="D28" s="24">
        <v>2</v>
      </c>
      <c r="E28" s="24" t="s">
        <v>21</v>
      </c>
      <c r="F28" s="24" t="s">
        <v>10</v>
      </c>
      <c r="G28" s="24" t="s">
        <v>11</v>
      </c>
      <c r="H28" s="24" t="s">
        <v>30</v>
      </c>
      <c r="I28" s="26" t="s">
        <v>28</v>
      </c>
    </row>
    <row r="29" spans="1:9">
      <c r="A29" s="22">
        <v>32</v>
      </c>
      <c r="B29" s="23" t="s">
        <v>58</v>
      </c>
      <c r="C29" s="28">
        <v>5000000</v>
      </c>
      <c r="D29" s="24">
        <v>3</v>
      </c>
      <c r="E29" s="24" t="s">
        <v>21</v>
      </c>
      <c r="F29" s="24" t="s">
        <v>10</v>
      </c>
      <c r="G29" s="24" t="s">
        <v>11</v>
      </c>
      <c r="H29" s="24" t="s">
        <v>12</v>
      </c>
      <c r="I29" s="29" t="s">
        <v>28</v>
      </c>
    </row>
    <row r="30" spans="1:9">
      <c r="A30" s="22">
        <v>145</v>
      </c>
      <c r="B30" s="23" t="s">
        <v>93</v>
      </c>
      <c r="C30" s="24" t="s">
        <v>141</v>
      </c>
      <c r="D30" s="24">
        <v>2</v>
      </c>
      <c r="E30" s="24" t="s">
        <v>21</v>
      </c>
      <c r="F30" s="24" t="s">
        <v>17</v>
      </c>
      <c r="G30" s="24" t="s">
        <v>18</v>
      </c>
      <c r="H30" s="24" t="s">
        <v>12</v>
      </c>
      <c r="I30" s="26" t="s">
        <v>28</v>
      </c>
    </row>
    <row r="31" spans="1:9">
      <c r="A31" s="22">
        <v>310</v>
      </c>
      <c r="B31" s="23" t="s">
        <v>71</v>
      </c>
      <c r="C31" s="27">
        <v>30000000</v>
      </c>
      <c r="D31" s="24" t="s">
        <v>20</v>
      </c>
      <c r="E31" s="24" t="s">
        <v>25</v>
      </c>
      <c r="F31" s="24" t="s">
        <v>10</v>
      </c>
      <c r="G31" s="24" t="s">
        <v>27</v>
      </c>
      <c r="H31" s="24" t="s">
        <v>12</v>
      </c>
      <c r="I31" s="26" t="s">
        <v>28</v>
      </c>
    </row>
    <row r="32" spans="1:9">
      <c r="A32" s="22">
        <v>7</v>
      </c>
      <c r="B32" s="23" t="s">
        <v>26</v>
      </c>
      <c r="C32" s="28">
        <v>1000000</v>
      </c>
      <c r="D32" s="24">
        <v>1</v>
      </c>
      <c r="E32" s="24" t="s">
        <v>25</v>
      </c>
      <c r="F32" s="24" t="s">
        <v>10</v>
      </c>
      <c r="G32" s="24" t="s">
        <v>27</v>
      </c>
      <c r="H32" s="24" t="s">
        <v>12</v>
      </c>
      <c r="I32" s="29" t="s">
        <v>28</v>
      </c>
    </row>
    <row r="33" spans="1:9">
      <c r="A33" s="22">
        <v>197</v>
      </c>
      <c r="B33" s="23" t="s">
        <v>37</v>
      </c>
      <c r="C33" s="24" t="s">
        <v>141</v>
      </c>
      <c r="D33" s="24">
        <v>4</v>
      </c>
      <c r="E33" s="24" t="s">
        <v>25</v>
      </c>
      <c r="F33" s="24" t="s">
        <v>17</v>
      </c>
      <c r="G33" s="24" t="s">
        <v>23</v>
      </c>
      <c r="H33" s="24" t="s">
        <v>12</v>
      </c>
      <c r="I33" s="26" t="s">
        <v>28</v>
      </c>
    </row>
    <row r="34" spans="1:9">
      <c r="A34" s="22">
        <v>30</v>
      </c>
      <c r="B34" s="23" t="s">
        <v>53</v>
      </c>
      <c r="C34" s="23" t="s">
        <v>141</v>
      </c>
      <c r="D34" s="24">
        <v>1</v>
      </c>
      <c r="E34" s="24" t="s">
        <v>54</v>
      </c>
      <c r="F34" s="24" t="s">
        <v>55</v>
      </c>
      <c r="G34" s="24" t="s">
        <v>56</v>
      </c>
      <c r="H34" s="24" t="s">
        <v>12</v>
      </c>
      <c r="I34" s="29" t="s">
        <v>28</v>
      </c>
    </row>
    <row r="35" spans="1:9">
      <c r="A35" s="22">
        <v>195</v>
      </c>
      <c r="B35" s="23" t="s">
        <v>35</v>
      </c>
      <c r="C35" s="24" t="s">
        <v>141</v>
      </c>
      <c r="D35" s="24">
        <v>2</v>
      </c>
      <c r="E35" s="24" t="s">
        <v>9</v>
      </c>
      <c r="F35" s="24" t="s">
        <v>17</v>
      </c>
      <c r="G35" s="24" t="s">
        <v>18</v>
      </c>
      <c r="H35" s="24" t="s">
        <v>12</v>
      </c>
      <c r="I35" s="26" t="s">
        <v>28</v>
      </c>
    </row>
    <row r="36" spans="1:9">
      <c r="A36" s="22">
        <v>108</v>
      </c>
      <c r="B36" s="23" t="s">
        <v>48</v>
      </c>
      <c r="C36" s="27">
        <v>1000000</v>
      </c>
      <c r="D36" s="24">
        <v>4</v>
      </c>
      <c r="E36" s="24" t="s">
        <v>15</v>
      </c>
      <c r="F36" s="24" t="s">
        <v>10</v>
      </c>
      <c r="G36" s="24" t="s">
        <v>11</v>
      </c>
      <c r="H36" s="24" t="s">
        <v>12</v>
      </c>
      <c r="I36" s="26" t="s">
        <v>28</v>
      </c>
    </row>
    <row r="37" spans="1:9">
      <c r="A37" s="22">
        <v>273</v>
      </c>
      <c r="B37" s="23" t="s">
        <v>125</v>
      </c>
      <c r="C37" s="24" t="s">
        <v>141</v>
      </c>
      <c r="D37" s="24" t="s">
        <v>20</v>
      </c>
      <c r="E37" s="24" t="s">
        <v>15</v>
      </c>
      <c r="F37" s="24" t="s">
        <v>17</v>
      </c>
      <c r="G37" s="24" t="s">
        <v>18</v>
      </c>
      <c r="H37" s="24" t="s">
        <v>12</v>
      </c>
      <c r="I37" s="26" t="s">
        <v>28</v>
      </c>
    </row>
    <row r="38" spans="1:9">
      <c r="A38" s="22">
        <v>151</v>
      </c>
      <c r="B38" s="23" t="s">
        <v>100</v>
      </c>
      <c r="C38" s="24" t="s">
        <v>141</v>
      </c>
      <c r="D38" s="24">
        <v>1</v>
      </c>
      <c r="E38" s="24" t="s">
        <v>21</v>
      </c>
      <c r="F38" s="24" t="s">
        <v>55</v>
      </c>
      <c r="G38" s="24" t="s">
        <v>80</v>
      </c>
      <c r="H38" s="24" t="s">
        <v>12</v>
      </c>
      <c r="I38" s="26" t="s">
        <v>13</v>
      </c>
    </row>
    <row r="39" spans="1:9">
      <c r="A39" s="22">
        <v>314</v>
      </c>
      <c r="B39" s="23" t="s">
        <v>76</v>
      </c>
      <c r="C39" s="24" t="s">
        <v>141</v>
      </c>
      <c r="D39" s="24">
        <v>1</v>
      </c>
      <c r="E39" s="24" t="s">
        <v>21</v>
      </c>
      <c r="F39" s="24" t="s">
        <v>55</v>
      </c>
      <c r="G39" s="24" t="s">
        <v>56</v>
      </c>
      <c r="H39" s="24" t="s">
        <v>30</v>
      </c>
      <c r="I39" s="26" t="s">
        <v>13</v>
      </c>
    </row>
    <row r="40" spans="1:9">
      <c r="A40" s="22">
        <v>172</v>
      </c>
      <c r="B40" s="23" t="s">
        <v>123</v>
      </c>
      <c r="C40" s="24" t="s">
        <v>141</v>
      </c>
      <c r="D40" s="24">
        <v>1</v>
      </c>
      <c r="E40" s="24" t="s">
        <v>21</v>
      </c>
      <c r="F40" s="24" t="s">
        <v>55</v>
      </c>
      <c r="G40" s="24" t="s">
        <v>56</v>
      </c>
      <c r="H40" s="24" t="s">
        <v>12</v>
      </c>
      <c r="I40" s="26" t="s">
        <v>13</v>
      </c>
    </row>
    <row r="41" spans="1:9">
      <c r="A41" s="22">
        <v>272</v>
      </c>
      <c r="B41" s="23" t="s">
        <v>124</v>
      </c>
      <c r="C41" s="24" t="s">
        <v>141</v>
      </c>
      <c r="D41" s="24">
        <v>2</v>
      </c>
      <c r="E41" s="24" t="s">
        <v>21</v>
      </c>
      <c r="F41" s="24" t="s">
        <v>55</v>
      </c>
      <c r="G41" s="24" t="s">
        <v>56</v>
      </c>
      <c r="H41" s="24" t="s">
        <v>12</v>
      </c>
      <c r="I41" s="26" t="s">
        <v>13</v>
      </c>
    </row>
    <row r="42" spans="1:9">
      <c r="A42" s="22">
        <v>181</v>
      </c>
      <c r="B42" s="23" t="s">
        <v>133</v>
      </c>
      <c r="C42" s="24" t="s">
        <v>141</v>
      </c>
      <c r="D42" s="24">
        <v>2</v>
      </c>
      <c r="E42" s="24" t="s">
        <v>21</v>
      </c>
      <c r="F42" s="24" t="s">
        <v>55</v>
      </c>
      <c r="G42" s="24" t="s">
        <v>56</v>
      </c>
      <c r="H42" s="24" t="s">
        <v>12</v>
      </c>
      <c r="I42" s="26" t="s">
        <v>13</v>
      </c>
    </row>
    <row r="43" spans="1:9">
      <c r="A43" s="22">
        <v>249</v>
      </c>
      <c r="B43" s="23" t="s">
        <v>98</v>
      </c>
      <c r="C43" s="24" t="s">
        <v>141</v>
      </c>
      <c r="D43" s="24">
        <v>3</v>
      </c>
      <c r="E43" s="24" t="s">
        <v>21</v>
      </c>
      <c r="F43" s="24" t="s">
        <v>55</v>
      </c>
      <c r="G43" s="24" t="s">
        <v>56</v>
      </c>
      <c r="H43" s="24" t="s">
        <v>12</v>
      </c>
      <c r="I43" s="26" t="s">
        <v>13</v>
      </c>
    </row>
    <row r="44" spans="1:9">
      <c r="A44" s="22">
        <v>51</v>
      </c>
      <c r="B44" s="23" t="s">
        <v>79</v>
      </c>
      <c r="C44" s="23" t="s">
        <v>141</v>
      </c>
      <c r="D44" s="24">
        <v>1</v>
      </c>
      <c r="E44" s="24" t="s">
        <v>21</v>
      </c>
      <c r="F44" s="24" t="s">
        <v>55</v>
      </c>
      <c r="G44" s="24" t="s">
        <v>80</v>
      </c>
      <c r="H44" s="24" t="s">
        <v>12</v>
      </c>
      <c r="I44" s="26" t="s">
        <v>13</v>
      </c>
    </row>
    <row r="45" spans="1:9">
      <c r="A45" s="22">
        <v>258</v>
      </c>
      <c r="B45" s="23" t="s">
        <v>109</v>
      </c>
      <c r="C45" s="24" t="s">
        <v>141</v>
      </c>
      <c r="D45" s="24" t="s">
        <v>20</v>
      </c>
      <c r="E45" s="24" t="s">
        <v>21</v>
      </c>
      <c r="F45" s="24" t="s">
        <v>55</v>
      </c>
      <c r="G45" s="24" t="s">
        <v>56</v>
      </c>
      <c r="H45" s="24" t="s">
        <v>12</v>
      </c>
      <c r="I45" s="26" t="s">
        <v>13</v>
      </c>
    </row>
    <row r="46" spans="1:9">
      <c r="A46" s="22">
        <v>295</v>
      </c>
      <c r="B46" s="23" t="s">
        <v>53</v>
      </c>
      <c r="C46" s="24" t="s">
        <v>141</v>
      </c>
      <c r="D46" s="24">
        <v>2</v>
      </c>
      <c r="E46" s="24" t="s">
        <v>21</v>
      </c>
      <c r="F46" s="24" t="s">
        <v>55</v>
      </c>
      <c r="G46" s="24" t="s">
        <v>56</v>
      </c>
      <c r="H46" s="24" t="s">
        <v>30</v>
      </c>
      <c r="I46" s="26" t="s">
        <v>13</v>
      </c>
    </row>
    <row r="47" spans="1:9">
      <c r="A47" s="22">
        <v>313</v>
      </c>
      <c r="B47" s="23" t="s">
        <v>75</v>
      </c>
      <c r="C47" s="24" t="s">
        <v>141</v>
      </c>
      <c r="D47" s="24">
        <v>1</v>
      </c>
      <c r="E47" s="24" t="s">
        <v>21</v>
      </c>
      <c r="F47" s="24" t="s">
        <v>55</v>
      </c>
      <c r="G47" s="24" t="s">
        <v>80</v>
      </c>
      <c r="H47" s="24" t="s">
        <v>12</v>
      </c>
      <c r="I47" s="26" t="s">
        <v>13</v>
      </c>
    </row>
    <row r="48" spans="1:9">
      <c r="A48" s="22">
        <v>279</v>
      </c>
      <c r="B48" s="23" t="s">
        <v>132</v>
      </c>
      <c r="C48" s="24" t="s">
        <v>141</v>
      </c>
      <c r="D48" s="24">
        <v>2</v>
      </c>
      <c r="E48" s="24" t="s">
        <v>21</v>
      </c>
      <c r="F48" s="24" t="s">
        <v>55</v>
      </c>
      <c r="G48" s="24" t="s">
        <v>80</v>
      </c>
      <c r="H48" s="24" t="s">
        <v>12</v>
      </c>
      <c r="I48" s="26" t="s">
        <v>13</v>
      </c>
    </row>
    <row r="49" spans="1:9">
      <c r="A49" s="22">
        <v>200</v>
      </c>
      <c r="B49" s="23" t="s">
        <v>40</v>
      </c>
      <c r="C49" s="27">
        <v>90000000</v>
      </c>
      <c r="D49" s="24">
        <v>1</v>
      </c>
      <c r="E49" s="24" t="s">
        <v>21</v>
      </c>
      <c r="F49" s="24" t="s">
        <v>55</v>
      </c>
      <c r="G49" s="24" t="s">
        <v>56</v>
      </c>
      <c r="H49" s="24" t="s">
        <v>12</v>
      </c>
      <c r="I49" s="26" t="s">
        <v>13</v>
      </c>
    </row>
    <row r="50" spans="1:9">
      <c r="A50" s="22">
        <v>255</v>
      </c>
      <c r="B50" s="23" t="s">
        <v>106</v>
      </c>
      <c r="C50" s="27">
        <v>30000000</v>
      </c>
      <c r="D50" s="24" t="s">
        <v>20</v>
      </c>
      <c r="E50" s="24" t="s">
        <v>21</v>
      </c>
      <c r="F50" s="24" t="s">
        <v>55</v>
      </c>
      <c r="G50" s="24" t="s">
        <v>56</v>
      </c>
      <c r="H50" s="24" t="s">
        <v>30</v>
      </c>
      <c r="I50" s="26" t="s">
        <v>13</v>
      </c>
    </row>
    <row r="51" spans="1:9">
      <c r="A51" s="22">
        <v>301</v>
      </c>
      <c r="B51" s="23" t="s">
        <v>62</v>
      </c>
      <c r="C51" s="27">
        <v>10000000</v>
      </c>
      <c r="D51" s="24">
        <v>1</v>
      </c>
      <c r="E51" s="24" t="s">
        <v>21</v>
      </c>
      <c r="F51" s="24" t="s">
        <v>55</v>
      </c>
      <c r="G51" s="24" t="s">
        <v>56</v>
      </c>
      <c r="H51" s="24" t="s">
        <v>30</v>
      </c>
      <c r="I51" s="26" t="s">
        <v>13</v>
      </c>
    </row>
    <row r="52" spans="1:9">
      <c r="A52" s="22">
        <v>226</v>
      </c>
      <c r="B52" s="23" t="s">
        <v>69</v>
      </c>
      <c r="C52" s="27">
        <v>10000000</v>
      </c>
      <c r="D52" s="24">
        <v>2</v>
      </c>
      <c r="E52" s="24" t="s">
        <v>21</v>
      </c>
      <c r="F52" s="24" t="s">
        <v>55</v>
      </c>
      <c r="G52" s="24" t="s">
        <v>56</v>
      </c>
      <c r="H52" s="24" t="s">
        <v>30</v>
      </c>
      <c r="I52" s="26" t="s">
        <v>13</v>
      </c>
    </row>
    <row r="53" spans="1:9">
      <c r="A53" s="22">
        <v>278</v>
      </c>
      <c r="B53" s="23" t="s">
        <v>131</v>
      </c>
      <c r="C53" s="27">
        <v>10000000</v>
      </c>
      <c r="D53" s="24">
        <v>2</v>
      </c>
      <c r="E53" s="24" t="s">
        <v>21</v>
      </c>
      <c r="F53" s="24" t="s">
        <v>55</v>
      </c>
      <c r="G53" s="24" t="s">
        <v>56</v>
      </c>
      <c r="H53" s="24" t="s">
        <v>30</v>
      </c>
      <c r="I53" s="26" t="s">
        <v>13</v>
      </c>
    </row>
    <row r="54" spans="1:9">
      <c r="A54" s="22">
        <v>300</v>
      </c>
      <c r="B54" s="23" t="s">
        <v>61</v>
      </c>
      <c r="C54" s="27">
        <v>10000000</v>
      </c>
      <c r="D54" s="24" t="s">
        <v>20</v>
      </c>
      <c r="E54" s="24" t="s">
        <v>21</v>
      </c>
      <c r="F54" s="24" t="s">
        <v>55</v>
      </c>
      <c r="G54" s="24" t="s">
        <v>56</v>
      </c>
      <c r="H54" s="24" t="s">
        <v>30</v>
      </c>
      <c r="I54" s="26" t="s">
        <v>13</v>
      </c>
    </row>
    <row r="55" spans="1:9">
      <c r="A55" s="22">
        <v>193</v>
      </c>
      <c r="B55" s="23" t="s">
        <v>33</v>
      </c>
      <c r="C55" s="24" t="s">
        <v>141</v>
      </c>
      <c r="D55" s="24">
        <v>1</v>
      </c>
      <c r="E55" s="24" t="s">
        <v>21</v>
      </c>
      <c r="F55" s="24" t="s">
        <v>10</v>
      </c>
      <c r="G55" s="24" t="s">
        <v>11</v>
      </c>
      <c r="H55" s="24" t="s">
        <v>12</v>
      </c>
      <c r="I55" s="26" t="s">
        <v>13</v>
      </c>
    </row>
    <row r="56" spans="1:9">
      <c r="A56" s="22">
        <v>165</v>
      </c>
      <c r="B56" s="23" t="s">
        <v>116</v>
      </c>
      <c r="C56" s="24" t="s">
        <v>141</v>
      </c>
      <c r="D56" s="24" t="s">
        <v>20</v>
      </c>
      <c r="E56" s="24" t="s">
        <v>21</v>
      </c>
      <c r="F56" s="24" t="s">
        <v>10</v>
      </c>
      <c r="G56" s="24" t="s">
        <v>11</v>
      </c>
      <c r="H56" s="24" t="s">
        <v>12</v>
      </c>
      <c r="I56" s="26" t="s">
        <v>13</v>
      </c>
    </row>
    <row r="57" spans="1:9">
      <c r="A57" s="22">
        <v>201</v>
      </c>
      <c r="B57" s="23" t="s">
        <v>41</v>
      </c>
      <c r="C57" s="24" t="s">
        <v>141</v>
      </c>
      <c r="D57" s="24">
        <v>3</v>
      </c>
      <c r="E57" s="24" t="s">
        <v>21</v>
      </c>
      <c r="F57" s="24" t="s">
        <v>10</v>
      </c>
      <c r="G57" s="24" t="s">
        <v>27</v>
      </c>
      <c r="H57" s="24" t="s">
        <v>30</v>
      </c>
      <c r="I57" s="26" t="s">
        <v>13</v>
      </c>
    </row>
    <row r="58" spans="1:9">
      <c r="A58" s="22">
        <v>281</v>
      </c>
      <c r="B58" s="23" t="s">
        <v>134</v>
      </c>
      <c r="C58" s="24" t="s">
        <v>141</v>
      </c>
      <c r="D58" s="24">
        <v>3</v>
      </c>
      <c r="E58" s="24" t="s">
        <v>21</v>
      </c>
      <c r="F58" s="24" t="s">
        <v>10</v>
      </c>
      <c r="G58" s="24" t="s">
        <v>11</v>
      </c>
      <c r="H58" s="24" t="s">
        <v>12</v>
      </c>
      <c r="I58" s="26" t="s">
        <v>13</v>
      </c>
    </row>
    <row r="59" spans="1:9">
      <c r="A59" s="22">
        <v>235</v>
      </c>
      <c r="B59" s="23" t="s">
        <v>81</v>
      </c>
      <c r="C59" s="24" t="s">
        <v>141</v>
      </c>
      <c r="D59" s="24">
        <v>1</v>
      </c>
      <c r="E59" s="24" t="s">
        <v>21</v>
      </c>
      <c r="F59" s="24" t="s">
        <v>10</v>
      </c>
      <c r="G59" s="24" t="s">
        <v>27</v>
      </c>
      <c r="H59" s="24" t="s">
        <v>12</v>
      </c>
      <c r="I59" s="26" t="s">
        <v>13</v>
      </c>
    </row>
    <row r="60" spans="1:9">
      <c r="A60" s="22">
        <v>254</v>
      </c>
      <c r="B60" s="23" t="s">
        <v>105</v>
      </c>
      <c r="C60" s="24" t="s">
        <v>141</v>
      </c>
      <c r="D60" s="24" t="s">
        <v>20</v>
      </c>
      <c r="E60" s="24" t="s">
        <v>21</v>
      </c>
      <c r="F60" s="24" t="s">
        <v>10</v>
      </c>
      <c r="G60" s="24" t="s">
        <v>11</v>
      </c>
      <c r="H60" s="24" t="s">
        <v>12</v>
      </c>
      <c r="I60" s="26" t="s">
        <v>13</v>
      </c>
    </row>
    <row r="61" spans="1:9">
      <c r="A61" s="22">
        <v>252</v>
      </c>
      <c r="B61" s="23" t="s">
        <v>103</v>
      </c>
      <c r="C61" s="24" t="s">
        <v>141</v>
      </c>
      <c r="D61" s="24">
        <v>1</v>
      </c>
      <c r="E61" s="24" t="s">
        <v>21</v>
      </c>
      <c r="F61" s="24" t="s">
        <v>10</v>
      </c>
      <c r="G61" s="24" t="s">
        <v>27</v>
      </c>
      <c r="H61" s="24" t="s">
        <v>12</v>
      </c>
      <c r="I61" s="26" t="s">
        <v>13</v>
      </c>
    </row>
    <row r="62" spans="1:9">
      <c r="A62" s="22">
        <v>304</v>
      </c>
      <c r="B62" s="23" t="s">
        <v>65</v>
      </c>
      <c r="C62" s="24" t="s">
        <v>141</v>
      </c>
      <c r="D62" s="24" t="s">
        <v>20</v>
      </c>
      <c r="E62" s="24" t="s">
        <v>21</v>
      </c>
      <c r="F62" s="24" t="s">
        <v>10</v>
      </c>
      <c r="G62" s="24" t="s">
        <v>11</v>
      </c>
      <c r="H62" s="24" t="s">
        <v>30</v>
      </c>
      <c r="I62" s="26" t="s">
        <v>13</v>
      </c>
    </row>
    <row r="63" spans="1:9">
      <c r="A63" s="22">
        <v>191</v>
      </c>
      <c r="B63" s="23" t="s">
        <v>29</v>
      </c>
      <c r="C63" s="24" t="s">
        <v>141</v>
      </c>
      <c r="D63" s="24" t="s">
        <v>20</v>
      </c>
      <c r="E63" s="24" t="s">
        <v>21</v>
      </c>
      <c r="F63" s="24" t="s">
        <v>10</v>
      </c>
      <c r="G63" s="24" t="s">
        <v>27</v>
      </c>
      <c r="H63" s="24" t="s">
        <v>12</v>
      </c>
      <c r="I63" s="26" t="s">
        <v>13</v>
      </c>
    </row>
    <row r="64" spans="1:9">
      <c r="A64" s="22">
        <v>298</v>
      </c>
      <c r="B64" s="23" t="s">
        <v>59</v>
      </c>
      <c r="C64" s="24" t="s">
        <v>141</v>
      </c>
      <c r="D64" s="24">
        <v>3</v>
      </c>
      <c r="E64" s="24" t="s">
        <v>21</v>
      </c>
      <c r="F64" s="24" t="s">
        <v>10</v>
      </c>
      <c r="G64" s="24" t="s">
        <v>11</v>
      </c>
      <c r="H64" s="24" t="s">
        <v>12</v>
      </c>
      <c r="I64" s="26" t="s">
        <v>13</v>
      </c>
    </row>
    <row r="65" spans="1:9">
      <c r="A65" s="22">
        <v>216</v>
      </c>
      <c r="B65" s="23" t="s">
        <v>59</v>
      </c>
      <c r="C65" s="24" t="s">
        <v>141</v>
      </c>
      <c r="D65" s="24" t="s">
        <v>20</v>
      </c>
      <c r="E65" s="24" t="s">
        <v>21</v>
      </c>
      <c r="F65" s="24" t="s">
        <v>10</v>
      </c>
      <c r="G65" s="24" t="s">
        <v>27</v>
      </c>
      <c r="H65" s="24" t="s">
        <v>12</v>
      </c>
      <c r="I65" s="26" t="s">
        <v>13</v>
      </c>
    </row>
    <row r="66" spans="1:9">
      <c r="A66" s="22">
        <v>291</v>
      </c>
      <c r="B66" s="23" t="s">
        <v>49</v>
      </c>
      <c r="C66" s="24" t="s">
        <v>141</v>
      </c>
      <c r="D66" s="24">
        <v>1</v>
      </c>
      <c r="E66" s="24" t="s">
        <v>21</v>
      </c>
      <c r="F66" s="24" t="s">
        <v>10</v>
      </c>
      <c r="G66" s="24" t="s">
        <v>27</v>
      </c>
      <c r="H66" s="24" t="s">
        <v>30</v>
      </c>
      <c r="I66" s="26" t="s">
        <v>13</v>
      </c>
    </row>
    <row r="67" spans="1:9">
      <c r="A67" s="22">
        <v>184</v>
      </c>
      <c r="B67" s="23" t="s">
        <v>8</v>
      </c>
      <c r="C67" s="24" t="s">
        <v>141</v>
      </c>
      <c r="D67" s="24">
        <v>2</v>
      </c>
      <c r="E67" s="24" t="s">
        <v>21</v>
      </c>
      <c r="F67" s="24" t="s">
        <v>10</v>
      </c>
      <c r="G67" s="24" t="s">
        <v>27</v>
      </c>
      <c r="H67" s="24" t="s">
        <v>12</v>
      </c>
      <c r="I67" s="26" t="s">
        <v>13</v>
      </c>
    </row>
    <row r="68" spans="1:9">
      <c r="A68" s="22">
        <v>256</v>
      </c>
      <c r="B68" s="23" t="s">
        <v>107</v>
      </c>
      <c r="C68" s="24" t="s">
        <v>141</v>
      </c>
      <c r="D68" s="24" t="s">
        <v>20</v>
      </c>
      <c r="E68" s="24" t="s">
        <v>21</v>
      </c>
      <c r="F68" s="24" t="s">
        <v>10</v>
      </c>
      <c r="G68" s="24" t="s">
        <v>11</v>
      </c>
      <c r="H68" s="24" t="s">
        <v>12</v>
      </c>
      <c r="I68" s="26" t="s">
        <v>13</v>
      </c>
    </row>
    <row r="69" spans="1:9">
      <c r="A69" s="22">
        <v>158</v>
      </c>
      <c r="B69" s="23" t="s">
        <v>108</v>
      </c>
      <c r="C69" s="27">
        <v>100000000</v>
      </c>
      <c r="D69" s="24">
        <v>3</v>
      </c>
      <c r="E69" s="24" t="s">
        <v>21</v>
      </c>
      <c r="F69" s="24" t="s">
        <v>10</v>
      </c>
      <c r="G69" s="24" t="s">
        <v>11</v>
      </c>
      <c r="H69" s="24" t="s">
        <v>12</v>
      </c>
      <c r="I69" s="26" t="s">
        <v>13</v>
      </c>
    </row>
    <row r="70" spans="1:9">
      <c r="A70" s="22">
        <v>59</v>
      </c>
      <c r="B70" s="23" t="s">
        <v>90</v>
      </c>
      <c r="C70" s="28">
        <v>100000000</v>
      </c>
      <c r="D70" s="24" t="s">
        <v>20</v>
      </c>
      <c r="E70" s="24" t="s">
        <v>21</v>
      </c>
      <c r="F70" s="24" t="s">
        <v>10</v>
      </c>
      <c r="G70" s="24" t="s">
        <v>11</v>
      </c>
      <c r="H70" s="24" t="s">
        <v>12</v>
      </c>
      <c r="I70" s="26" t="s">
        <v>13</v>
      </c>
    </row>
    <row r="71" spans="1:9">
      <c r="A71" s="22">
        <v>171</v>
      </c>
      <c r="B71" s="23" t="s">
        <v>122</v>
      </c>
      <c r="C71" s="27">
        <v>100000000</v>
      </c>
      <c r="D71" s="24">
        <v>4</v>
      </c>
      <c r="E71" s="24" t="s">
        <v>21</v>
      </c>
      <c r="F71" s="24" t="s">
        <v>10</v>
      </c>
      <c r="G71" s="24" t="s">
        <v>11</v>
      </c>
      <c r="H71" s="24" t="s">
        <v>30</v>
      </c>
      <c r="I71" s="26" t="s">
        <v>13</v>
      </c>
    </row>
    <row r="72" spans="1:9">
      <c r="A72" s="22">
        <v>159</v>
      </c>
      <c r="B72" s="23" t="s">
        <v>109</v>
      </c>
      <c r="C72" s="27">
        <v>100000000</v>
      </c>
      <c r="D72" s="24">
        <v>4</v>
      </c>
      <c r="E72" s="24" t="s">
        <v>21</v>
      </c>
      <c r="F72" s="24" t="s">
        <v>10</v>
      </c>
      <c r="G72" s="24" t="s">
        <v>11</v>
      </c>
      <c r="H72" s="24" t="s">
        <v>12</v>
      </c>
      <c r="I72" s="26" t="s">
        <v>13</v>
      </c>
    </row>
    <row r="73" spans="1:9">
      <c r="A73" s="22">
        <v>318</v>
      </c>
      <c r="B73" s="23" t="s">
        <v>82</v>
      </c>
      <c r="C73" s="27">
        <v>90000000</v>
      </c>
      <c r="D73" s="24">
        <v>2</v>
      </c>
      <c r="E73" s="24" t="s">
        <v>21</v>
      </c>
      <c r="F73" s="24" t="s">
        <v>10</v>
      </c>
      <c r="G73" s="24" t="s">
        <v>27</v>
      </c>
      <c r="H73" s="24" t="s">
        <v>30</v>
      </c>
      <c r="I73" s="26" t="s">
        <v>13</v>
      </c>
    </row>
    <row r="74" spans="1:9">
      <c r="A74" s="22">
        <v>99</v>
      </c>
      <c r="B74" s="23" t="s">
        <v>134</v>
      </c>
      <c r="C74" s="28">
        <v>90000000</v>
      </c>
      <c r="D74" s="24">
        <v>3</v>
      </c>
      <c r="E74" s="24" t="s">
        <v>21</v>
      </c>
      <c r="F74" s="24" t="s">
        <v>10</v>
      </c>
      <c r="G74" s="24" t="s">
        <v>27</v>
      </c>
      <c r="H74" s="24" t="s">
        <v>12</v>
      </c>
      <c r="I74" s="26" t="s">
        <v>13</v>
      </c>
    </row>
    <row r="75" spans="1:9">
      <c r="A75" s="22">
        <v>312</v>
      </c>
      <c r="B75" s="23" t="s">
        <v>74</v>
      </c>
      <c r="C75" s="27">
        <v>90000000</v>
      </c>
      <c r="D75" s="24">
        <v>1</v>
      </c>
      <c r="E75" s="24" t="s">
        <v>21</v>
      </c>
      <c r="F75" s="24" t="s">
        <v>10</v>
      </c>
      <c r="G75" s="24" t="s">
        <v>27</v>
      </c>
      <c r="H75" s="24" t="s">
        <v>12</v>
      </c>
      <c r="I75" s="26" t="s">
        <v>13</v>
      </c>
    </row>
    <row r="76" spans="1:9">
      <c r="A76" s="22">
        <v>112</v>
      </c>
      <c r="B76" s="23" t="s">
        <v>52</v>
      </c>
      <c r="C76" s="27">
        <v>90000000</v>
      </c>
      <c r="D76" s="24" t="s">
        <v>20</v>
      </c>
      <c r="E76" s="24" t="s">
        <v>21</v>
      </c>
      <c r="F76" s="24" t="s">
        <v>10</v>
      </c>
      <c r="G76" s="24" t="s">
        <v>11</v>
      </c>
      <c r="H76" s="24" t="s">
        <v>12</v>
      </c>
      <c r="I76" s="26" t="s">
        <v>13</v>
      </c>
    </row>
    <row r="77" spans="1:9">
      <c r="A77" s="22">
        <v>56</v>
      </c>
      <c r="B77" s="23" t="s">
        <v>85</v>
      </c>
      <c r="C77" s="28">
        <v>90000000</v>
      </c>
      <c r="D77" s="24">
        <v>1</v>
      </c>
      <c r="E77" s="24" t="s">
        <v>21</v>
      </c>
      <c r="F77" s="24" t="s">
        <v>10</v>
      </c>
      <c r="G77" s="24" t="s">
        <v>27</v>
      </c>
      <c r="H77" s="24" t="s">
        <v>12</v>
      </c>
      <c r="I77" s="26" t="s">
        <v>13</v>
      </c>
    </row>
    <row r="78" spans="1:9">
      <c r="A78" s="22">
        <v>91</v>
      </c>
      <c r="B78" s="23" t="s">
        <v>125</v>
      </c>
      <c r="C78" s="28">
        <v>90000000</v>
      </c>
      <c r="D78" s="24" t="s">
        <v>20</v>
      </c>
      <c r="E78" s="24" t="s">
        <v>21</v>
      </c>
      <c r="F78" s="24" t="s">
        <v>10</v>
      </c>
      <c r="G78" s="24" t="s">
        <v>27</v>
      </c>
      <c r="H78" s="24" t="s">
        <v>12</v>
      </c>
      <c r="I78" s="26" t="s">
        <v>13</v>
      </c>
    </row>
    <row r="79" spans="1:9">
      <c r="A79" s="22">
        <v>12</v>
      </c>
      <c r="B79" s="23" t="s">
        <v>35</v>
      </c>
      <c r="C79" s="28">
        <v>90000000</v>
      </c>
      <c r="D79" s="24" t="s">
        <v>20</v>
      </c>
      <c r="E79" s="24" t="s">
        <v>21</v>
      </c>
      <c r="F79" s="24" t="s">
        <v>10</v>
      </c>
      <c r="G79" s="24" t="s">
        <v>11</v>
      </c>
      <c r="H79" s="24" t="s">
        <v>12</v>
      </c>
      <c r="I79" s="26" t="s">
        <v>13</v>
      </c>
    </row>
    <row r="80" spans="1:9">
      <c r="A80" s="22">
        <v>206</v>
      </c>
      <c r="B80" s="23" t="s">
        <v>46</v>
      </c>
      <c r="C80" s="27">
        <v>90000000</v>
      </c>
      <c r="D80" s="24">
        <v>2</v>
      </c>
      <c r="E80" s="24" t="s">
        <v>21</v>
      </c>
      <c r="F80" s="24" t="s">
        <v>10</v>
      </c>
      <c r="G80" s="24" t="s">
        <v>11</v>
      </c>
      <c r="H80" s="24" t="s">
        <v>12</v>
      </c>
      <c r="I80" s="26" t="s">
        <v>13</v>
      </c>
    </row>
    <row r="81" spans="1:9">
      <c r="A81" s="22">
        <v>224</v>
      </c>
      <c r="B81" s="23" t="s">
        <v>67</v>
      </c>
      <c r="C81" s="27">
        <v>90000000</v>
      </c>
      <c r="D81" s="24" t="s">
        <v>20</v>
      </c>
      <c r="E81" s="24" t="s">
        <v>21</v>
      </c>
      <c r="F81" s="24" t="s">
        <v>10</v>
      </c>
      <c r="G81" s="24" t="s">
        <v>11</v>
      </c>
      <c r="H81" s="24" t="s">
        <v>30</v>
      </c>
      <c r="I81" s="26" t="s">
        <v>13</v>
      </c>
    </row>
    <row r="82" spans="1:9">
      <c r="A82" s="22">
        <v>203</v>
      </c>
      <c r="B82" s="23" t="s">
        <v>43</v>
      </c>
      <c r="C82" s="27">
        <v>90000000</v>
      </c>
      <c r="D82" s="24" t="s">
        <v>20</v>
      </c>
      <c r="E82" s="24" t="s">
        <v>21</v>
      </c>
      <c r="F82" s="24" t="s">
        <v>10</v>
      </c>
      <c r="G82" s="24" t="s">
        <v>27</v>
      </c>
      <c r="H82" s="24" t="s">
        <v>30</v>
      </c>
      <c r="I82" s="26" t="s">
        <v>13</v>
      </c>
    </row>
    <row r="83" spans="1:9">
      <c r="A83" s="22">
        <v>126</v>
      </c>
      <c r="B83" s="23" t="s">
        <v>69</v>
      </c>
      <c r="C83" s="27">
        <v>50000000</v>
      </c>
      <c r="D83" s="24">
        <v>1</v>
      </c>
      <c r="E83" s="24" t="s">
        <v>21</v>
      </c>
      <c r="F83" s="24" t="s">
        <v>10</v>
      </c>
      <c r="G83" s="24" t="s">
        <v>11</v>
      </c>
      <c r="H83" s="24" t="s">
        <v>12</v>
      </c>
      <c r="I83" s="26" t="s">
        <v>13</v>
      </c>
    </row>
    <row r="84" spans="1:9">
      <c r="A84" s="22">
        <v>164</v>
      </c>
      <c r="B84" s="23" t="s">
        <v>114</v>
      </c>
      <c r="C84" s="27">
        <v>50000000</v>
      </c>
      <c r="D84" s="24" t="s">
        <v>20</v>
      </c>
      <c r="E84" s="24" t="s">
        <v>21</v>
      </c>
      <c r="F84" s="24" t="s">
        <v>10</v>
      </c>
      <c r="G84" s="24" t="s">
        <v>11</v>
      </c>
      <c r="H84" s="24" t="s">
        <v>12</v>
      </c>
      <c r="I84" s="26" t="s">
        <v>13</v>
      </c>
    </row>
    <row r="85" spans="1:9">
      <c r="A85" s="22">
        <v>276</v>
      </c>
      <c r="B85" s="23" t="s">
        <v>128</v>
      </c>
      <c r="C85" s="27">
        <v>50000000</v>
      </c>
      <c r="D85" s="24">
        <v>2</v>
      </c>
      <c r="E85" s="24" t="s">
        <v>21</v>
      </c>
      <c r="F85" s="24" t="s">
        <v>10</v>
      </c>
      <c r="G85" s="24" t="s">
        <v>27</v>
      </c>
      <c r="H85" s="24" t="s">
        <v>12</v>
      </c>
      <c r="I85" s="26" t="s">
        <v>13</v>
      </c>
    </row>
    <row r="86" spans="1:9">
      <c r="A86" s="22">
        <v>26</v>
      </c>
      <c r="B86" s="23" t="s">
        <v>49</v>
      </c>
      <c r="C86" s="28">
        <v>50000000</v>
      </c>
      <c r="D86" s="24">
        <v>2</v>
      </c>
      <c r="E86" s="24" t="s">
        <v>21</v>
      </c>
      <c r="F86" s="24" t="s">
        <v>10</v>
      </c>
      <c r="G86" s="24" t="s">
        <v>11</v>
      </c>
      <c r="H86" s="24" t="s">
        <v>12</v>
      </c>
      <c r="I86" s="26" t="s">
        <v>13</v>
      </c>
    </row>
    <row r="87" spans="1:9">
      <c r="A87" s="22">
        <v>80</v>
      </c>
      <c r="B87" s="23" t="s">
        <v>113</v>
      </c>
      <c r="C87" s="28">
        <v>30000000</v>
      </c>
      <c r="D87" s="24" t="s">
        <v>20</v>
      </c>
      <c r="E87" s="24" t="s">
        <v>21</v>
      </c>
      <c r="F87" s="24" t="s">
        <v>10</v>
      </c>
      <c r="G87" s="24" t="s">
        <v>11</v>
      </c>
      <c r="H87" s="24" t="s">
        <v>12</v>
      </c>
      <c r="I87" s="26" t="s">
        <v>13</v>
      </c>
    </row>
    <row r="88" spans="1:9">
      <c r="A88" s="22">
        <v>55</v>
      </c>
      <c r="B88" s="23" t="s">
        <v>84</v>
      </c>
      <c r="C88" s="28">
        <v>30000000</v>
      </c>
      <c r="D88" s="24" t="s">
        <v>20</v>
      </c>
      <c r="E88" s="24" t="s">
        <v>21</v>
      </c>
      <c r="F88" s="24" t="s">
        <v>10</v>
      </c>
      <c r="G88" s="24" t="s">
        <v>27</v>
      </c>
      <c r="H88" s="24" t="s">
        <v>12</v>
      </c>
      <c r="I88" s="26" t="s">
        <v>13</v>
      </c>
    </row>
    <row r="89" spans="1:9">
      <c r="A89" s="22">
        <v>52</v>
      </c>
      <c r="B89" s="23" t="s">
        <v>81</v>
      </c>
      <c r="C89" s="28">
        <v>30000000</v>
      </c>
      <c r="D89" s="24">
        <v>2</v>
      </c>
      <c r="E89" s="24" t="s">
        <v>21</v>
      </c>
      <c r="F89" s="24" t="s">
        <v>10</v>
      </c>
      <c r="G89" s="24" t="s">
        <v>27</v>
      </c>
      <c r="H89" s="24" t="s">
        <v>12</v>
      </c>
      <c r="I89" s="26" t="s">
        <v>13</v>
      </c>
    </row>
    <row r="90" spans="1:9">
      <c r="A90" s="22">
        <v>290</v>
      </c>
      <c r="B90" s="23" t="s">
        <v>48</v>
      </c>
      <c r="C90" s="27">
        <v>20000000</v>
      </c>
      <c r="D90" s="24">
        <v>4</v>
      </c>
      <c r="E90" s="24" t="s">
        <v>21</v>
      </c>
      <c r="F90" s="24" t="s">
        <v>10</v>
      </c>
      <c r="G90" s="24" t="s">
        <v>27</v>
      </c>
      <c r="H90" s="24" t="s">
        <v>12</v>
      </c>
      <c r="I90" s="26" t="s">
        <v>13</v>
      </c>
    </row>
    <row r="91" spans="1:9">
      <c r="A91" s="22">
        <v>125</v>
      </c>
      <c r="B91" s="23" t="s">
        <v>68</v>
      </c>
      <c r="C91" s="27">
        <v>20000000</v>
      </c>
      <c r="D91" s="24" t="s">
        <v>20</v>
      </c>
      <c r="E91" s="24" t="s">
        <v>21</v>
      </c>
      <c r="F91" s="24" t="s">
        <v>10</v>
      </c>
      <c r="G91" s="24" t="s">
        <v>27</v>
      </c>
      <c r="H91" s="24" t="s">
        <v>12</v>
      </c>
      <c r="I91" s="26" t="s">
        <v>13</v>
      </c>
    </row>
    <row r="92" spans="1:9">
      <c r="A92" s="22">
        <v>122</v>
      </c>
      <c r="B92" s="23" t="s">
        <v>65</v>
      </c>
      <c r="C92" s="27">
        <v>20000000</v>
      </c>
      <c r="D92" s="24" t="s">
        <v>20</v>
      </c>
      <c r="E92" s="24" t="s">
        <v>21</v>
      </c>
      <c r="F92" s="24" t="s">
        <v>10</v>
      </c>
      <c r="G92" s="24" t="s">
        <v>11</v>
      </c>
      <c r="H92" s="24" t="s">
        <v>12</v>
      </c>
      <c r="I92" s="26" t="s">
        <v>13</v>
      </c>
    </row>
    <row r="93" spans="1:9">
      <c r="A93" s="22">
        <v>170</v>
      </c>
      <c r="B93" s="23" t="s">
        <v>121</v>
      </c>
      <c r="C93" s="27">
        <v>20000000</v>
      </c>
      <c r="D93" s="24" t="s">
        <v>20</v>
      </c>
      <c r="E93" s="24" t="s">
        <v>21</v>
      </c>
      <c r="F93" s="24" t="s">
        <v>10</v>
      </c>
      <c r="G93" s="24" t="s">
        <v>11</v>
      </c>
      <c r="H93" s="24" t="s">
        <v>12</v>
      </c>
      <c r="I93" s="26" t="s">
        <v>13</v>
      </c>
    </row>
    <row r="94" spans="1:9">
      <c r="A94" s="22">
        <v>190</v>
      </c>
      <c r="B94" s="23" t="s">
        <v>26</v>
      </c>
      <c r="C94" s="27">
        <v>20000000</v>
      </c>
      <c r="D94" s="24">
        <v>3</v>
      </c>
      <c r="E94" s="24" t="s">
        <v>21</v>
      </c>
      <c r="F94" s="24" t="s">
        <v>10</v>
      </c>
      <c r="G94" s="24" t="s">
        <v>27</v>
      </c>
      <c r="H94" s="24" t="s">
        <v>12</v>
      </c>
      <c r="I94" s="26" t="s">
        <v>13</v>
      </c>
    </row>
    <row r="95" spans="1:9">
      <c r="A95" s="22">
        <v>68</v>
      </c>
      <c r="B95" s="23" t="s">
        <v>100</v>
      </c>
      <c r="C95" s="28">
        <v>10000000</v>
      </c>
      <c r="D95" s="24">
        <v>3</v>
      </c>
      <c r="E95" s="24" t="s">
        <v>21</v>
      </c>
      <c r="F95" s="24" t="s">
        <v>10</v>
      </c>
      <c r="G95" s="24" t="s">
        <v>27</v>
      </c>
      <c r="H95" s="24" t="s">
        <v>12</v>
      </c>
      <c r="I95" s="26" t="s">
        <v>13</v>
      </c>
    </row>
    <row r="96" spans="1:9">
      <c r="A96" s="22">
        <v>114</v>
      </c>
      <c r="B96" s="23" t="s">
        <v>57</v>
      </c>
      <c r="C96" s="27">
        <v>10000000</v>
      </c>
      <c r="D96" s="24">
        <v>3</v>
      </c>
      <c r="E96" s="24" t="s">
        <v>21</v>
      </c>
      <c r="F96" s="24" t="s">
        <v>10</v>
      </c>
      <c r="G96" s="24" t="s">
        <v>11</v>
      </c>
      <c r="H96" s="24" t="s">
        <v>12</v>
      </c>
      <c r="I96" s="26" t="s">
        <v>13</v>
      </c>
    </row>
    <row r="97" spans="1:9">
      <c r="A97" s="22">
        <v>136</v>
      </c>
      <c r="B97" s="23" t="s">
        <v>82</v>
      </c>
      <c r="C97" s="27">
        <v>10000000</v>
      </c>
      <c r="D97" s="24">
        <v>2</v>
      </c>
      <c r="E97" s="24" t="s">
        <v>21</v>
      </c>
      <c r="F97" s="24" t="s">
        <v>10</v>
      </c>
      <c r="G97" s="24" t="s">
        <v>27</v>
      </c>
      <c r="H97" s="24" t="s">
        <v>12</v>
      </c>
      <c r="I97" s="26" t="s">
        <v>13</v>
      </c>
    </row>
    <row r="98" spans="1:9">
      <c r="A98" s="22">
        <v>82</v>
      </c>
      <c r="B98" s="23" t="s">
        <v>116</v>
      </c>
      <c r="C98" s="28">
        <v>10000000</v>
      </c>
      <c r="D98" s="24">
        <v>2</v>
      </c>
      <c r="E98" s="24" t="s">
        <v>21</v>
      </c>
      <c r="F98" s="24" t="s">
        <v>10</v>
      </c>
      <c r="G98" s="24" t="s">
        <v>27</v>
      </c>
      <c r="H98" s="24" t="s">
        <v>30</v>
      </c>
      <c r="I98" s="26" t="s">
        <v>13</v>
      </c>
    </row>
    <row r="99" spans="1:9">
      <c r="A99" s="22">
        <v>294</v>
      </c>
      <c r="B99" s="23" t="s">
        <v>52</v>
      </c>
      <c r="C99" s="27">
        <v>10000000</v>
      </c>
      <c r="D99" s="24" t="s">
        <v>20</v>
      </c>
      <c r="E99" s="24" t="s">
        <v>21</v>
      </c>
      <c r="F99" s="24" t="s">
        <v>10</v>
      </c>
      <c r="G99" s="24" t="s">
        <v>11</v>
      </c>
      <c r="H99" s="24" t="s">
        <v>12</v>
      </c>
      <c r="I99" s="26" t="s">
        <v>13</v>
      </c>
    </row>
    <row r="100" spans="1:9">
      <c r="A100" s="22">
        <v>29</v>
      </c>
      <c r="B100" s="23" t="s">
        <v>52</v>
      </c>
      <c r="C100" s="28">
        <v>10000000</v>
      </c>
      <c r="D100" s="24" t="s">
        <v>20</v>
      </c>
      <c r="E100" s="24" t="s">
        <v>21</v>
      </c>
      <c r="F100" s="24" t="s">
        <v>10</v>
      </c>
      <c r="G100" s="24" t="s">
        <v>27</v>
      </c>
      <c r="H100" s="24" t="s">
        <v>12</v>
      </c>
      <c r="I100" s="26" t="s">
        <v>13</v>
      </c>
    </row>
    <row r="101" spans="1:9">
      <c r="A101" s="22">
        <v>36</v>
      </c>
      <c r="B101" s="23" t="s">
        <v>62</v>
      </c>
      <c r="C101" s="28">
        <v>10000000</v>
      </c>
      <c r="D101" s="24" t="s">
        <v>20</v>
      </c>
      <c r="E101" s="24" t="s">
        <v>21</v>
      </c>
      <c r="F101" s="24" t="s">
        <v>10</v>
      </c>
      <c r="G101" s="24" t="s">
        <v>27</v>
      </c>
      <c r="H101" s="24" t="s">
        <v>12</v>
      </c>
      <c r="I101" s="26" t="s">
        <v>13</v>
      </c>
    </row>
    <row r="102" spans="1:9">
      <c r="A102" s="22">
        <v>187</v>
      </c>
      <c r="B102" s="23" t="s">
        <v>19</v>
      </c>
      <c r="C102" s="27">
        <v>10000000</v>
      </c>
      <c r="D102" s="24">
        <v>2</v>
      </c>
      <c r="E102" s="24" t="s">
        <v>21</v>
      </c>
      <c r="F102" s="24" t="s">
        <v>10</v>
      </c>
      <c r="G102" s="24" t="s">
        <v>11</v>
      </c>
      <c r="H102" s="24" t="s">
        <v>12</v>
      </c>
      <c r="I102" s="26" t="s">
        <v>13</v>
      </c>
    </row>
    <row r="103" spans="1:9">
      <c r="A103" s="22">
        <v>299</v>
      </c>
      <c r="B103" s="23" t="s">
        <v>60</v>
      </c>
      <c r="C103" s="27">
        <v>10000000</v>
      </c>
      <c r="D103" s="24">
        <v>4</v>
      </c>
      <c r="E103" s="24" t="s">
        <v>21</v>
      </c>
      <c r="F103" s="24" t="s">
        <v>10</v>
      </c>
      <c r="G103" s="24" t="s">
        <v>11</v>
      </c>
      <c r="H103" s="24" t="s">
        <v>12</v>
      </c>
      <c r="I103" s="26" t="s">
        <v>13</v>
      </c>
    </row>
    <row r="104" spans="1:9">
      <c r="A104" s="22">
        <v>34</v>
      </c>
      <c r="B104" s="23" t="s">
        <v>60</v>
      </c>
      <c r="C104" s="28">
        <v>10000000</v>
      </c>
      <c r="D104" s="24">
        <v>2</v>
      </c>
      <c r="E104" s="24" t="s">
        <v>21</v>
      </c>
      <c r="F104" s="24" t="s">
        <v>10</v>
      </c>
      <c r="G104" s="24" t="s">
        <v>27</v>
      </c>
      <c r="H104" s="24" t="s">
        <v>12</v>
      </c>
      <c r="I104" s="26" t="s">
        <v>13</v>
      </c>
    </row>
    <row r="105" spans="1:9">
      <c r="A105" s="22">
        <v>54</v>
      </c>
      <c r="B105" s="23" t="s">
        <v>83</v>
      </c>
      <c r="C105" s="28">
        <v>10000000</v>
      </c>
      <c r="D105" s="24">
        <v>1</v>
      </c>
      <c r="E105" s="24" t="s">
        <v>21</v>
      </c>
      <c r="F105" s="24" t="s">
        <v>10</v>
      </c>
      <c r="G105" s="24" t="s">
        <v>11</v>
      </c>
      <c r="H105" s="24" t="s">
        <v>12</v>
      </c>
      <c r="I105" s="26" t="s">
        <v>13</v>
      </c>
    </row>
    <row r="106" spans="1:9">
      <c r="A106" s="22">
        <v>141</v>
      </c>
      <c r="B106" s="23" t="s">
        <v>88</v>
      </c>
      <c r="C106" s="27">
        <v>10000000</v>
      </c>
      <c r="D106" s="24">
        <v>3</v>
      </c>
      <c r="E106" s="24" t="s">
        <v>21</v>
      </c>
      <c r="F106" s="24" t="s">
        <v>10</v>
      </c>
      <c r="G106" s="24" t="s">
        <v>11</v>
      </c>
      <c r="H106" s="24" t="s">
        <v>30</v>
      </c>
      <c r="I106" s="26" t="s">
        <v>13</v>
      </c>
    </row>
    <row r="107" spans="1:9">
      <c r="A107" s="22">
        <v>66</v>
      </c>
      <c r="B107" s="23" t="s">
        <v>98</v>
      </c>
      <c r="C107" s="28">
        <v>10000000</v>
      </c>
      <c r="D107" s="24">
        <v>4</v>
      </c>
      <c r="E107" s="24" t="s">
        <v>21</v>
      </c>
      <c r="F107" s="24" t="s">
        <v>10</v>
      </c>
      <c r="G107" s="24" t="s">
        <v>11</v>
      </c>
      <c r="H107" s="24" t="s">
        <v>30</v>
      </c>
      <c r="I107" s="26" t="s">
        <v>13</v>
      </c>
    </row>
    <row r="108" spans="1:9">
      <c r="A108" s="22">
        <v>102</v>
      </c>
      <c r="B108" s="23" t="s">
        <v>42</v>
      </c>
      <c r="C108" s="27">
        <v>10000000</v>
      </c>
      <c r="D108" s="24">
        <v>1</v>
      </c>
      <c r="E108" s="24" t="s">
        <v>21</v>
      </c>
      <c r="F108" s="24" t="s">
        <v>10</v>
      </c>
      <c r="G108" s="24" t="s">
        <v>11</v>
      </c>
      <c r="H108" s="24" t="s">
        <v>12</v>
      </c>
      <c r="I108" s="26" t="s">
        <v>13</v>
      </c>
    </row>
    <row r="109" spans="1:9">
      <c r="A109" s="22">
        <v>96</v>
      </c>
      <c r="B109" s="23" t="s">
        <v>131</v>
      </c>
      <c r="C109" s="28">
        <v>10000000</v>
      </c>
      <c r="D109" s="24">
        <v>2</v>
      </c>
      <c r="E109" s="24" t="s">
        <v>21</v>
      </c>
      <c r="F109" s="24" t="s">
        <v>10</v>
      </c>
      <c r="G109" s="24" t="s">
        <v>11</v>
      </c>
      <c r="H109" s="24" t="s">
        <v>30</v>
      </c>
      <c r="I109" s="26" t="s">
        <v>13</v>
      </c>
    </row>
    <row r="110" spans="1:9">
      <c r="A110" s="22">
        <v>76</v>
      </c>
      <c r="B110" s="23" t="s">
        <v>109</v>
      </c>
      <c r="C110" s="28">
        <v>10000000</v>
      </c>
      <c r="D110" s="24" t="s">
        <v>20</v>
      </c>
      <c r="E110" s="24" t="s">
        <v>21</v>
      </c>
      <c r="F110" s="24" t="s">
        <v>10</v>
      </c>
      <c r="G110" s="24" t="s">
        <v>11</v>
      </c>
      <c r="H110" s="24" t="s">
        <v>12</v>
      </c>
      <c r="I110" s="26" t="s">
        <v>13</v>
      </c>
    </row>
    <row r="111" spans="1:9">
      <c r="A111" s="22">
        <v>168</v>
      </c>
      <c r="B111" s="23" t="s">
        <v>119</v>
      </c>
      <c r="C111" s="27">
        <v>10000000</v>
      </c>
      <c r="D111" s="24">
        <v>1</v>
      </c>
      <c r="E111" s="24" t="s">
        <v>21</v>
      </c>
      <c r="F111" s="24" t="s">
        <v>10</v>
      </c>
      <c r="G111" s="24" t="s">
        <v>27</v>
      </c>
      <c r="H111" s="24" t="s">
        <v>12</v>
      </c>
      <c r="I111" s="26" t="s">
        <v>13</v>
      </c>
    </row>
    <row r="112" spans="1:9">
      <c r="A112" s="22">
        <v>248</v>
      </c>
      <c r="B112" s="23" t="s">
        <v>97</v>
      </c>
      <c r="C112" s="27">
        <v>10000000</v>
      </c>
      <c r="D112" s="24">
        <v>2</v>
      </c>
      <c r="E112" s="24" t="s">
        <v>21</v>
      </c>
      <c r="F112" s="24" t="s">
        <v>10</v>
      </c>
      <c r="G112" s="24" t="s">
        <v>27</v>
      </c>
      <c r="H112" s="24" t="s">
        <v>30</v>
      </c>
      <c r="I112" s="26" t="s">
        <v>13</v>
      </c>
    </row>
    <row r="113" spans="1:9">
      <c r="A113" s="22">
        <v>148</v>
      </c>
      <c r="B113" s="23" t="s">
        <v>97</v>
      </c>
      <c r="C113" s="27">
        <v>10000000</v>
      </c>
      <c r="D113" s="24">
        <v>4</v>
      </c>
      <c r="E113" s="24" t="s">
        <v>21</v>
      </c>
      <c r="F113" s="24" t="s">
        <v>10</v>
      </c>
      <c r="G113" s="24" t="s">
        <v>27</v>
      </c>
      <c r="H113" s="24" t="s">
        <v>12</v>
      </c>
      <c r="I113" s="26" t="s">
        <v>13</v>
      </c>
    </row>
    <row r="114" spans="1:9">
      <c r="A114" s="22">
        <v>20</v>
      </c>
      <c r="B114" s="23" t="s">
        <v>43</v>
      </c>
      <c r="C114" s="28">
        <v>10000000</v>
      </c>
      <c r="D114" s="24">
        <v>1</v>
      </c>
      <c r="E114" s="24" t="s">
        <v>21</v>
      </c>
      <c r="F114" s="24" t="s">
        <v>10</v>
      </c>
      <c r="G114" s="24" t="s">
        <v>27</v>
      </c>
      <c r="H114" s="24" t="s">
        <v>30</v>
      </c>
      <c r="I114" s="26" t="s">
        <v>13</v>
      </c>
    </row>
    <row r="115" spans="1:9">
      <c r="A115" s="22">
        <v>14</v>
      </c>
      <c r="B115" s="23" t="s">
        <v>37</v>
      </c>
      <c r="C115" s="28">
        <v>10000000</v>
      </c>
      <c r="D115" s="24">
        <v>4</v>
      </c>
      <c r="E115" s="24" t="s">
        <v>21</v>
      </c>
      <c r="F115" s="24" t="s">
        <v>10</v>
      </c>
      <c r="G115" s="24" t="s">
        <v>11</v>
      </c>
      <c r="H115" s="24" t="s">
        <v>30</v>
      </c>
      <c r="I115" s="26" t="s">
        <v>13</v>
      </c>
    </row>
    <row r="116" spans="1:9">
      <c r="A116" s="22">
        <v>48</v>
      </c>
      <c r="B116" s="23" t="s">
        <v>75</v>
      </c>
      <c r="C116" s="28">
        <v>10000000</v>
      </c>
      <c r="D116" s="24">
        <v>2</v>
      </c>
      <c r="E116" s="24" t="s">
        <v>21</v>
      </c>
      <c r="F116" s="24" t="s">
        <v>10</v>
      </c>
      <c r="G116" s="24" t="s">
        <v>27</v>
      </c>
      <c r="H116" s="24" t="s">
        <v>12</v>
      </c>
      <c r="I116" s="26" t="s">
        <v>13</v>
      </c>
    </row>
    <row r="117" spans="1:9">
      <c r="A117" s="22">
        <v>253</v>
      </c>
      <c r="B117" s="23" t="s">
        <v>104</v>
      </c>
      <c r="C117" s="27">
        <v>10000000</v>
      </c>
      <c r="D117" s="24">
        <v>1</v>
      </c>
      <c r="E117" s="24" t="s">
        <v>21</v>
      </c>
      <c r="F117" s="24" t="s">
        <v>10</v>
      </c>
      <c r="G117" s="24" t="s">
        <v>27</v>
      </c>
      <c r="H117" s="24" t="s">
        <v>30</v>
      </c>
      <c r="I117" s="26" t="s">
        <v>13</v>
      </c>
    </row>
    <row r="118" spans="1:9">
      <c r="A118" s="22">
        <v>28</v>
      </c>
      <c r="B118" s="23" t="s">
        <v>51</v>
      </c>
      <c r="C118" s="28">
        <v>5000000</v>
      </c>
      <c r="D118" s="24">
        <v>1</v>
      </c>
      <c r="E118" s="24" t="s">
        <v>21</v>
      </c>
      <c r="F118" s="24" t="s">
        <v>10</v>
      </c>
      <c r="G118" s="24" t="s">
        <v>11</v>
      </c>
      <c r="H118" s="24" t="s">
        <v>12</v>
      </c>
      <c r="I118" s="26" t="s">
        <v>13</v>
      </c>
    </row>
    <row r="119" spans="1:9">
      <c r="A119" s="22">
        <v>128</v>
      </c>
      <c r="B119" s="23" t="s">
        <v>71</v>
      </c>
      <c r="C119" s="27">
        <v>5000000</v>
      </c>
      <c r="D119" s="24" t="s">
        <v>20</v>
      </c>
      <c r="E119" s="24" t="s">
        <v>21</v>
      </c>
      <c r="F119" s="24" t="s">
        <v>10</v>
      </c>
      <c r="G119" s="24" t="s">
        <v>11</v>
      </c>
      <c r="H119" s="24" t="s">
        <v>12</v>
      </c>
      <c r="I119" s="26" t="s">
        <v>13</v>
      </c>
    </row>
    <row r="120" spans="1:9">
      <c r="A120" s="22">
        <v>124</v>
      </c>
      <c r="B120" s="23" t="s">
        <v>67</v>
      </c>
      <c r="C120" s="27">
        <v>5000000</v>
      </c>
      <c r="D120" s="24">
        <v>2</v>
      </c>
      <c r="E120" s="24" t="s">
        <v>21</v>
      </c>
      <c r="F120" s="24" t="s">
        <v>10</v>
      </c>
      <c r="G120" s="24" t="s">
        <v>27</v>
      </c>
      <c r="H120" s="24" t="s">
        <v>12</v>
      </c>
      <c r="I120" s="26" t="s">
        <v>13</v>
      </c>
    </row>
    <row r="121" spans="1:9">
      <c r="A121" s="22">
        <v>44</v>
      </c>
      <c r="B121" s="23" t="s">
        <v>70</v>
      </c>
      <c r="C121" s="28">
        <v>1000000</v>
      </c>
      <c r="D121" s="24">
        <v>4</v>
      </c>
      <c r="E121" s="24" t="s">
        <v>21</v>
      </c>
      <c r="F121" s="24" t="s">
        <v>10</v>
      </c>
      <c r="G121" s="24" t="s">
        <v>11</v>
      </c>
      <c r="H121" s="24" t="s">
        <v>30</v>
      </c>
      <c r="I121" s="26" t="s">
        <v>13</v>
      </c>
    </row>
    <row r="122" spans="1:9">
      <c r="A122" s="22">
        <v>18</v>
      </c>
      <c r="B122" s="23" t="s">
        <v>41</v>
      </c>
      <c r="C122" s="28">
        <v>1000000</v>
      </c>
      <c r="D122" s="24">
        <v>1</v>
      </c>
      <c r="E122" s="24" t="s">
        <v>21</v>
      </c>
      <c r="F122" s="24" t="s">
        <v>10</v>
      </c>
      <c r="G122" s="24" t="s">
        <v>11</v>
      </c>
      <c r="H122" s="24" t="s">
        <v>12</v>
      </c>
      <c r="I122" s="26" t="s">
        <v>13</v>
      </c>
    </row>
    <row r="123" spans="1:9">
      <c r="A123" s="22">
        <v>247</v>
      </c>
      <c r="B123" s="23" t="s">
        <v>95</v>
      </c>
      <c r="C123" s="27">
        <v>1000000</v>
      </c>
      <c r="D123" s="24">
        <v>3</v>
      </c>
      <c r="E123" s="24" t="s">
        <v>21</v>
      </c>
      <c r="F123" s="24" t="s">
        <v>10</v>
      </c>
      <c r="G123" s="24" t="s">
        <v>27</v>
      </c>
      <c r="H123" s="24" t="s">
        <v>12</v>
      </c>
      <c r="I123" s="26" t="s">
        <v>13</v>
      </c>
    </row>
    <row r="124" spans="1:9">
      <c r="A124" s="22">
        <v>73</v>
      </c>
      <c r="B124" s="23" t="s">
        <v>106</v>
      </c>
      <c r="C124" s="28">
        <v>1000000</v>
      </c>
      <c r="D124" s="24">
        <v>2</v>
      </c>
      <c r="E124" s="24" t="s">
        <v>21</v>
      </c>
      <c r="F124" s="24" t="s">
        <v>10</v>
      </c>
      <c r="G124" s="24" t="s">
        <v>27</v>
      </c>
      <c r="H124" s="24" t="s">
        <v>12</v>
      </c>
      <c r="I124" s="26" t="s">
        <v>13</v>
      </c>
    </row>
    <row r="125" spans="1:9">
      <c r="A125" s="22">
        <v>62</v>
      </c>
      <c r="B125" s="23" t="s">
        <v>93</v>
      </c>
      <c r="C125" s="28">
        <v>1000000</v>
      </c>
      <c r="D125" s="24">
        <v>2</v>
      </c>
      <c r="E125" s="24" t="s">
        <v>21</v>
      </c>
      <c r="F125" s="24" t="s">
        <v>10</v>
      </c>
      <c r="G125" s="24" t="s">
        <v>27</v>
      </c>
      <c r="H125" s="24" t="s">
        <v>12</v>
      </c>
      <c r="I125" s="26" t="s">
        <v>13</v>
      </c>
    </row>
    <row r="126" spans="1:9">
      <c r="A126" s="22">
        <v>230</v>
      </c>
      <c r="B126" s="23" t="s">
        <v>74</v>
      </c>
      <c r="C126" s="27">
        <v>1000000</v>
      </c>
      <c r="D126" s="24">
        <v>2</v>
      </c>
      <c r="E126" s="24" t="s">
        <v>21</v>
      </c>
      <c r="F126" s="24" t="s">
        <v>10</v>
      </c>
      <c r="G126" s="24" t="s">
        <v>11</v>
      </c>
      <c r="H126" s="24" t="s">
        <v>12</v>
      </c>
      <c r="I126" s="26" t="s">
        <v>13</v>
      </c>
    </row>
    <row r="127" spans="1:9">
      <c r="A127" s="22">
        <v>119</v>
      </c>
      <c r="B127" s="23" t="s">
        <v>62</v>
      </c>
      <c r="C127" s="27">
        <v>1000000</v>
      </c>
      <c r="D127" s="24">
        <v>1</v>
      </c>
      <c r="E127" s="24" t="s">
        <v>21</v>
      </c>
      <c r="F127" s="24" t="s">
        <v>10</v>
      </c>
      <c r="G127" s="24" t="s">
        <v>27</v>
      </c>
      <c r="H127" s="24" t="s">
        <v>12</v>
      </c>
      <c r="I127" s="26" t="s">
        <v>13</v>
      </c>
    </row>
    <row r="128" spans="1:9">
      <c r="A128" s="22">
        <v>16</v>
      </c>
      <c r="B128" s="23" t="s">
        <v>39</v>
      </c>
      <c r="C128" s="28">
        <v>1000000</v>
      </c>
      <c r="D128" s="24">
        <v>1</v>
      </c>
      <c r="E128" s="24" t="s">
        <v>21</v>
      </c>
      <c r="F128" s="24" t="s">
        <v>10</v>
      </c>
      <c r="G128" s="24" t="s">
        <v>27</v>
      </c>
      <c r="H128" s="24" t="s">
        <v>30</v>
      </c>
      <c r="I128" s="26" t="s">
        <v>13</v>
      </c>
    </row>
    <row r="129" spans="1:9">
      <c r="A129" s="22">
        <v>135</v>
      </c>
      <c r="B129" s="23" t="s">
        <v>81</v>
      </c>
      <c r="C129" s="27">
        <v>1000000</v>
      </c>
      <c r="D129" s="24">
        <v>2</v>
      </c>
      <c r="E129" s="24" t="s">
        <v>21</v>
      </c>
      <c r="F129" s="24" t="s">
        <v>10</v>
      </c>
      <c r="G129" s="24" t="s">
        <v>11</v>
      </c>
      <c r="H129" s="24" t="s">
        <v>12</v>
      </c>
      <c r="I129" s="26" t="s">
        <v>13</v>
      </c>
    </row>
    <row r="130" spans="1:9">
      <c r="A130" s="22">
        <v>319</v>
      </c>
      <c r="B130" s="23" t="s">
        <v>83</v>
      </c>
      <c r="C130" s="27">
        <v>1000000</v>
      </c>
      <c r="D130" s="24">
        <v>4</v>
      </c>
      <c r="E130" s="24" t="s">
        <v>21</v>
      </c>
      <c r="F130" s="24" t="s">
        <v>10</v>
      </c>
      <c r="G130" s="24" t="s">
        <v>27</v>
      </c>
      <c r="H130" s="24" t="s">
        <v>12</v>
      </c>
      <c r="I130" s="26" t="s">
        <v>13</v>
      </c>
    </row>
    <row r="131" spans="1:9">
      <c r="A131" s="22">
        <v>92</v>
      </c>
      <c r="B131" s="23" t="s">
        <v>126</v>
      </c>
      <c r="C131" s="28">
        <v>1000000</v>
      </c>
      <c r="D131" s="24" t="s">
        <v>20</v>
      </c>
      <c r="E131" s="24" t="s">
        <v>21</v>
      </c>
      <c r="F131" s="24" t="s">
        <v>10</v>
      </c>
      <c r="G131" s="24" t="s">
        <v>27</v>
      </c>
      <c r="H131" s="24" t="s">
        <v>12</v>
      </c>
      <c r="I131" s="26" t="s">
        <v>13</v>
      </c>
    </row>
    <row r="132" spans="1:9">
      <c r="A132" s="22">
        <v>19</v>
      </c>
      <c r="B132" s="23" t="s">
        <v>42</v>
      </c>
      <c r="C132" s="28">
        <v>1000000</v>
      </c>
      <c r="D132" s="24" t="s">
        <v>20</v>
      </c>
      <c r="E132" s="24" t="s">
        <v>21</v>
      </c>
      <c r="F132" s="24" t="s">
        <v>10</v>
      </c>
      <c r="G132" s="24" t="s">
        <v>27</v>
      </c>
      <c r="H132" s="24" t="s">
        <v>30</v>
      </c>
      <c r="I132" s="26" t="s">
        <v>13</v>
      </c>
    </row>
    <row r="133" spans="1:9">
      <c r="A133" s="22">
        <v>8</v>
      </c>
      <c r="B133" s="23" t="s">
        <v>29</v>
      </c>
      <c r="C133" s="28">
        <v>1000000</v>
      </c>
      <c r="D133" s="24">
        <v>2</v>
      </c>
      <c r="E133" s="24" t="s">
        <v>21</v>
      </c>
      <c r="F133" s="24" t="s">
        <v>10</v>
      </c>
      <c r="G133" s="24" t="s">
        <v>11</v>
      </c>
      <c r="H133" s="24" t="s">
        <v>30</v>
      </c>
      <c r="I133" s="26" t="s">
        <v>13</v>
      </c>
    </row>
    <row r="134" spans="1:9">
      <c r="A134" s="22">
        <v>113</v>
      </c>
      <c r="B134" s="23" t="s">
        <v>53</v>
      </c>
      <c r="C134" s="27">
        <v>1000000</v>
      </c>
      <c r="D134" s="24">
        <v>2</v>
      </c>
      <c r="E134" s="24" t="s">
        <v>21</v>
      </c>
      <c r="F134" s="24" t="s">
        <v>10</v>
      </c>
      <c r="G134" s="24" t="s">
        <v>27</v>
      </c>
      <c r="H134" s="24" t="s">
        <v>12</v>
      </c>
      <c r="I134" s="26" t="s">
        <v>13</v>
      </c>
    </row>
    <row r="135" spans="1:9">
      <c r="A135" s="22">
        <v>61</v>
      </c>
      <c r="B135" s="23" t="s">
        <v>92</v>
      </c>
      <c r="C135" s="23" t="s">
        <v>141</v>
      </c>
      <c r="D135" s="24">
        <v>2</v>
      </c>
      <c r="E135" s="24" t="s">
        <v>21</v>
      </c>
      <c r="F135" s="24" t="s">
        <v>17</v>
      </c>
      <c r="G135" s="25" t="s">
        <v>23</v>
      </c>
      <c r="H135" s="24" t="s">
        <v>12</v>
      </c>
      <c r="I135" s="26" t="s">
        <v>13</v>
      </c>
    </row>
    <row r="136" spans="1:9">
      <c r="A136" s="22">
        <v>161</v>
      </c>
      <c r="B136" s="23" t="s">
        <v>111</v>
      </c>
      <c r="C136" s="24" t="s">
        <v>141</v>
      </c>
      <c r="D136" s="24">
        <v>1</v>
      </c>
      <c r="E136" s="24" t="s">
        <v>21</v>
      </c>
      <c r="F136" s="24" t="s">
        <v>17</v>
      </c>
      <c r="G136" s="24" t="s">
        <v>23</v>
      </c>
      <c r="H136" s="24" t="s">
        <v>30</v>
      </c>
      <c r="I136" s="26" t="s">
        <v>13</v>
      </c>
    </row>
    <row r="137" spans="1:9">
      <c r="A137" s="22">
        <v>89</v>
      </c>
      <c r="B137" s="23" t="s">
        <v>123</v>
      </c>
      <c r="C137" s="23" t="s">
        <v>141</v>
      </c>
      <c r="D137" s="24">
        <v>1</v>
      </c>
      <c r="E137" s="24" t="s">
        <v>21</v>
      </c>
      <c r="F137" s="24" t="s">
        <v>17</v>
      </c>
      <c r="G137" s="25" t="s">
        <v>18</v>
      </c>
      <c r="H137" s="24" t="s">
        <v>30</v>
      </c>
      <c r="I137" s="26" t="s">
        <v>13</v>
      </c>
    </row>
    <row r="138" spans="1:9">
      <c r="A138" s="22">
        <v>90</v>
      </c>
      <c r="B138" s="23" t="s">
        <v>124</v>
      </c>
      <c r="C138" s="23" t="s">
        <v>141</v>
      </c>
      <c r="D138" s="24">
        <v>1</v>
      </c>
      <c r="E138" s="24" t="s">
        <v>21</v>
      </c>
      <c r="F138" s="24" t="s">
        <v>17</v>
      </c>
      <c r="G138" s="25" t="s">
        <v>23</v>
      </c>
      <c r="H138" s="24" t="s">
        <v>12</v>
      </c>
      <c r="I138" s="26" t="s">
        <v>13</v>
      </c>
    </row>
    <row r="139" spans="1:9">
      <c r="A139" s="22">
        <v>147</v>
      </c>
      <c r="B139" s="23" t="s">
        <v>95</v>
      </c>
      <c r="C139" s="24" t="s">
        <v>141</v>
      </c>
      <c r="D139" s="24">
        <v>3</v>
      </c>
      <c r="E139" s="24" t="s">
        <v>21</v>
      </c>
      <c r="F139" s="24" t="s">
        <v>17</v>
      </c>
      <c r="G139" s="24" t="s">
        <v>23</v>
      </c>
      <c r="H139" s="24" t="s">
        <v>12</v>
      </c>
      <c r="I139" s="26" t="s">
        <v>13</v>
      </c>
    </row>
    <row r="140" spans="1:9">
      <c r="A140" s="22">
        <v>311</v>
      </c>
      <c r="B140" s="23" t="s">
        <v>73</v>
      </c>
      <c r="C140" s="24" t="s">
        <v>141</v>
      </c>
      <c r="D140" s="24">
        <v>4</v>
      </c>
      <c r="E140" s="24" t="s">
        <v>21</v>
      </c>
      <c r="F140" s="24" t="s">
        <v>17</v>
      </c>
      <c r="G140" s="24" t="s">
        <v>18</v>
      </c>
      <c r="H140" s="24" t="s">
        <v>30</v>
      </c>
      <c r="I140" s="26" t="s">
        <v>13</v>
      </c>
    </row>
    <row r="141" spans="1:9">
      <c r="A141" s="22">
        <v>46</v>
      </c>
      <c r="B141" s="23" t="s">
        <v>73</v>
      </c>
      <c r="C141" s="23" t="s">
        <v>141</v>
      </c>
      <c r="D141" s="24" t="s">
        <v>20</v>
      </c>
      <c r="E141" s="24" t="s">
        <v>21</v>
      </c>
      <c r="F141" s="24" t="s">
        <v>17</v>
      </c>
      <c r="G141" s="25" t="s">
        <v>18</v>
      </c>
      <c r="H141" s="24" t="s">
        <v>12</v>
      </c>
      <c r="I141" s="26" t="s">
        <v>13</v>
      </c>
    </row>
    <row r="142" spans="1:9">
      <c r="A142" s="22">
        <v>40</v>
      </c>
      <c r="B142" s="23" t="s">
        <v>66</v>
      </c>
      <c r="C142" s="23" t="s">
        <v>141</v>
      </c>
      <c r="D142" s="24">
        <v>1</v>
      </c>
      <c r="E142" s="24" t="s">
        <v>21</v>
      </c>
      <c r="F142" s="24" t="s">
        <v>17</v>
      </c>
      <c r="G142" s="25" t="s">
        <v>18</v>
      </c>
      <c r="H142" s="24" t="s">
        <v>30</v>
      </c>
      <c r="I142" s="26" t="s">
        <v>13</v>
      </c>
    </row>
    <row r="143" spans="1:9">
      <c r="A143" s="22">
        <v>123</v>
      </c>
      <c r="B143" s="23" t="s">
        <v>66</v>
      </c>
      <c r="C143" s="24" t="s">
        <v>141</v>
      </c>
      <c r="D143" s="24" t="s">
        <v>20</v>
      </c>
      <c r="E143" s="24" t="s">
        <v>21</v>
      </c>
      <c r="F143" s="24" t="s">
        <v>17</v>
      </c>
      <c r="G143" s="24" t="s">
        <v>23</v>
      </c>
      <c r="H143" s="24" t="s">
        <v>12</v>
      </c>
      <c r="I143" s="26" t="s">
        <v>13</v>
      </c>
    </row>
    <row r="144" spans="1:9">
      <c r="A144" s="22">
        <v>47</v>
      </c>
      <c r="B144" s="23" t="s">
        <v>74</v>
      </c>
      <c r="C144" s="23" t="s">
        <v>141</v>
      </c>
      <c r="D144" s="24">
        <v>1</v>
      </c>
      <c r="E144" s="24" t="s">
        <v>21</v>
      </c>
      <c r="F144" s="24" t="s">
        <v>17</v>
      </c>
      <c r="G144" s="25" t="s">
        <v>23</v>
      </c>
      <c r="H144" s="24" t="s">
        <v>12</v>
      </c>
      <c r="I144" s="26" t="s">
        <v>13</v>
      </c>
    </row>
    <row r="145" spans="1:9">
      <c r="A145" s="22">
        <v>212</v>
      </c>
      <c r="B145" s="23" t="s">
        <v>52</v>
      </c>
      <c r="C145" s="24" t="s">
        <v>141</v>
      </c>
      <c r="D145" s="24" t="s">
        <v>20</v>
      </c>
      <c r="E145" s="24" t="s">
        <v>21</v>
      </c>
      <c r="F145" s="24" t="s">
        <v>17</v>
      </c>
      <c r="G145" s="24" t="s">
        <v>23</v>
      </c>
      <c r="H145" s="24" t="s">
        <v>30</v>
      </c>
      <c r="I145" s="26" t="s">
        <v>13</v>
      </c>
    </row>
    <row r="146" spans="1:9">
      <c r="A146" s="22">
        <v>11</v>
      </c>
      <c r="B146" s="23" t="s">
        <v>34</v>
      </c>
      <c r="C146" s="23" t="s">
        <v>141</v>
      </c>
      <c r="D146" s="24">
        <v>2</v>
      </c>
      <c r="E146" s="24" t="s">
        <v>21</v>
      </c>
      <c r="F146" s="24" t="s">
        <v>17</v>
      </c>
      <c r="G146" s="25" t="s">
        <v>18</v>
      </c>
      <c r="H146" s="24" t="s">
        <v>30</v>
      </c>
      <c r="I146" s="26" t="s">
        <v>13</v>
      </c>
    </row>
    <row r="147" spans="1:9">
      <c r="A147" s="22">
        <v>239</v>
      </c>
      <c r="B147" s="23" t="s">
        <v>85</v>
      </c>
      <c r="C147" s="24" t="s">
        <v>141</v>
      </c>
      <c r="D147" s="24">
        <v>4</v>
      </c>
      <c r="E147" s="24" t="s">
        <v>21</v>
      </c>
      <c r="F147" s="24" t="s">
        <v>17</v>
      </c>
      <c r="G147" s="24" t="s">
        <v>18</v>
      </c>
      <c r="H147" s="24" t="s">
        <v>12</v>
      </c>
      <c r="I147" s="26" t="s">
        <v>13</v>
      </c>
    </row>
    <row r="148" spans="1:9">
      <c r="A148" s="22">
        <v>142</v>
      </c>
      <c r="B148" s="23" t="s">
        <v>90</v>
      </c>
      <c r="C148" s="24" t="s">
        <v>141</v>
      </c>
      <c r="D148" s="24" t="s">
        <v>20</v>
      </c>
      <c r="E148" s="24" t="s">
        <v>21</v>
      </c>
      <c r="F148" s="24" t="s">
        <v>17</v>
      </c>
      <c r="G148" s="24" t="s">
        <v>18</v>
      </c>
      <c r="H148" s="24" t="s">
        <v>12</v>
      </c>
      <c r="I148" s="26" t="s">
        <v>13</v>
      </c>
    </row>
    <row r="149" spans="1:9">
      <c r="A149" s="22">
        <v>4</v>
      </c>
      <c r="B149" s="23" t="s">
        <v>19</v>
      </c>
      <c r="C149" s="23" t="s">
        <v>141</v>
      </c>
      <c r="D149" s="24" t="s">
        <v>20</v>
      </c>
      <c r="E149" s="24" t="s">
        <v>21</v>
      </c>
      <c r="F149" s="24" t="s">
        <v>17</v>
      </c>
      <c r="G149" s="25" t="s">
        <v>18</v>
      </c>
      <c r="H149" s="24" t="s">
        <v>12</v>
      </c>
      <c r="I149" s="26" t="s">
        <v>13</v>
      </c>
    </row>
    <row r="150" spans="1:9">
      <c r="A150" s="22">
        <v>183</v>
      </c>
      <c r="B150" s="23" t="s">
        <v>135</v>
      </c>
      <c r="C150" s="24" t="s">
        <v>141</v>
      </c>
      <c r="D150" s="24">
        <v>3</v>
      </c>
      <c r="E150" s="24" t="s">
        <v>21</v>
      </c>
      <c r="F150" s="24" t="s">
        <v>17</v>
      </c>
      <c r="G150" s="24" t="s">
        <v>18</v>
      </c>
      <c r="H150" s="24" t="s">
        <v>30</v>
      </c>
      <c r="I150" s="26" t="s">
        <v>13</v>
      </c>
    </row>
    <row r="151" spans="1:9">
      <c r="A151" s="22">
        <v>100</v>
      </c>
      <c r="B151" s="23" t="s">
        <v>135</v>
      </c>
      <c r="C151" s="23" t="s">
        <v>141</v>
      </c>
      <c r="D151" s="24" t="s">
        <v>20</v>
      </c>
      <c r="E151" s="24" t="s">
        <v>21</v>
      </c>
      <c r="F151" s="24" t="s">
        <v>17</v>
      </c>
      <c r="G151" s="25" t="s">
        <v>23</v>
      </c>
      <c r="H151" s="24" t="s">
        <v>30</v>
      </c>
      <c r="I151" s="26" t="s">
        <v>13</v>
      </c>
    </row>
    <row r="152" spans="1:9">
      <c r="A152" s="22">
        <v>174</v>
      </c>
      <c r="B152" s="23" t="s">
        <v>125</v>
      </c>
      <c r="C152" s="24" t="s">
        <v>141</v>
      </c>
      <c r="D152" s="24">
        <v>1</v>
      </c>
      <c r="E152" s="24" t="s">
        <v>21</v>
      </c>
      <c r="F152" s="24" t="s">
        <v>17</v>
      </c>
      <c r="G152" s="24" t="s">
        <v>23</v>
      </c>
      <c r="H152" s="24" t="s">
        <v>30</v>
      </c>
      <c r="I152" s="26" t="s">
        <v>13</v>
      </c>
    </row>
    <row r="153" spans="1:9">
      <c r="A153" s="22">
        <v>146</v>
      </c>
      <c r="B153" s="23" t="s">
        <v>94</v>
      </c>
      <c r="C153" s="24" t="s">
        <v>141</v>
      </c>
      <c r="D153" s="24">
        <v>2</v>
      </c>
      <c r="E153" s="24" t="s">
        <v>21</v>
      </c>
      <c r="F153" s="24" t="s">
        <v>17</v>
      </c>
      <c r="G153" s="24" t="s">
        <v>18</v>
      </c>
      <c r="H153" s="24" t="s">
        <v>12</v>
      </c>
      <c r="I153" s="26" t="s">
        <v>13</v>
      </c>
    </row>
    <row r="154" spans="1:9">
      <c r="A154" s="22">
        <v>79</v>
      </c>
      <c r="B154" s="23" t="s">
        <v>112</v>
      </c>
      <c r="C154" s="23" t="s">
        <v>141</v>
      </c>
      <c r="D154" s="24" t="s">
        <v>20</v>
      </c>
      <c r="E154" s="24" t="s">
        <v>21</v>
      </c>
      <c r="F154" s="24" t="s">
        <v>17</v>
      </c>
      <c r="G154" s="25" t="s">
        <v>18</v>
      </c>
      <c r="H154" s="24" t="s">
        <v>12</v>
      </c>
      <c r="I154" s="26" t="s">
        <v>13</v>
      </c>
    </row>
    <row r="155" spans="1:9">
      <c r="A155" s="22">
        <v>137</v>
      </c>
      <c r="B155" s="23" t="s">
        <v>83</v>
      </c>
      <c r="C155" s="24" t="s">
        <v>141</v>
      </c>
      <c r="D155" s="24">
        <v>4</v>
      </c>
      <c r="E155" s="24" t="s">
        <v>21</v>
      </c>
      <c r="F155" s="24" t="s">
        <v>17</v>
      </c>
      <c r="G155" s="24" t="s">
        <v>18</v>
      </c>
      <c r="H155" s="24" t="s">
        <v>12</v>
      </c>
      <c r="I155" s="26" t="s">
        <v>13</v>
      </c>
    </row>
    <row r="156" spans="1:9">
      <c r="A156" s="22">
        <v>23</v>
      </c>
      <c r="B156" s="23" t="s">
        <v>46</v>
      </c>
      <c r="C156" s="23" t="s">
        <v>141</v>
      </c>
      <c r="D156" s="24" t="s">
        <v>20</v>
      </c>
      <c r="E156" s="24" t="s">
        <v>21</v>
      </c>
      <c r="F156" s="24" t="s">
        <v>17</v>
      </c>
      <c r="G156" s="25" t="s">
        <v>23</v>
      </c>
      <c r="H156" s="24" t="s">
        <v>12</v>
      </c>
      <c r="I156" s="26" t="s">
        <v>13</v>
      </c>
    </row>
    <row r="157" spans="1:9">
      <c r="A157" s="22">
        <v>149</v>
      </c>
      <c r="B157" s="23" t="s">
        <v>98</v>
      </c>
      <c r="C157" s="24" t="s">
        <v>141</v>
      </c>
      <c r="D157" s="24" t="s">
        <v>20</v>
      </c>
      <c r="E157" s="24" t="s">
        <v>21</v>
      </c>
      <c r="F157" s="24" t="s">
        <v>17</v>
      </c>
      <c r="G157" s="24" t="s">
        <v>18</v>
      </c>
      <c r="H157" s="24" t="s">
        <v>30</v>
      </c>
      <c r="I157" s="26" t="s">
        <v>13</v>
      </c>
    </row>
    <row r="158" spans="1:9">
      <c r="A158" s="22">
        <v>202</v>
      </c>
      <c r="B158" s="23" t="s">
        <v>42</v>
      </c>
      <c r="C158" s="24" t="s">
        <v>141</v>
      </c>
      <c r="D158" s="24" t="s">
        <v>20</v>
      </c>
      <c r="E158" s="24" t="s">
        <v>21</v>
      </c>
      <c r="F158" s="24" t="s">
        <v>17</v>
      </c>
      <c r="G158" s="24" t="s">
        <v>23</v>
      </c>
      <c r="H158" s="24" t="s">
        <v>12</v>
      </c>
      <c r="I158" s="26" t="s">
        <v>13</v>
      </c>
    </row>
    <row r="159" spans="1:9">
      <c r="A159" s="22">
        <v>105</v>
      </c>
      <c r="B159" s="23" t="s">
        <v>45</v>
      </c>
      <c r="C159" s="24" t="s">
        <v>141</v>
      </c>
      <c r="D159" s="24">
        <v>3</v>
      </c>
      <c r="E159" s="24" t="s">
        <v>21</v>
      </c>
      <c r="F159" s="24" t="s">
        <v>17</v>
      </c>
      <c r="G159" s="24" t="s">
        <v>23</v>
      </c>
      <c r="H159" s="24" t="s">
        <v>12</v>
      </c>
      <c r="I159" s="26" t="s">
        <v>13</v>
      </c>
    </row>
    <row r="160" spans="1:9">
      <c r="A160" s="22">
        <v>277</v>
      </c>
      <c r="B160" s="23" t="s">
        <v>129</v>
      </c>
      <c r="C160" s="24" t="s">
        <v>141</v>
      </c>
      <c r="D160" s="24">
        <v>4</v>
      </c>
      <c r="E160" s="24" t="s">
        <v>21</v>
      </c>
      <c r="F160" s="24" t="s">
        <v>17</v>
      </c>
      <c r="G160" s="24" t="s">
        <v>18</v>
      </c>
      <c r="H160" s="24" t="s">
        <v>12</v>
      </c>
      <c r="I160" s="26" t="s">
        <v>13</v>
      </c>
    </row>
    <row r="161" spans="1:9">
      <c r="A161" s="22">
        <v>39</v>
      </c>
      <c r="B161" s="23" t="s">
        <v>65</v>
      </c>
      <c r="C161" s="23" t="s">
        <v>141</v>
      </c>
      <c r="D161" s="24">
        <v>2</v>
      </c>
      <c r="E161" s="24" t="s">
        <v>21</v>
      </c>
      <c r="F161" s="24" t="s">
        <v>17</v>
      </c>
      <c r="G161" s="25" t="s">
        <v>18</v>
      </c>
      <c r="H161" s="24" t="s">
        <v>12</v>
      </c>
      <c r="I161" s="26" t="s">
        <v>13</v>
      </c>
    </row>
    <row r="162" spans="1:9">
      <c r="A162" s="22">
        <v>17</v>
      </c>
      <c r="B162" s="23" t="s">
        <v>40</v>
      </c>
      <c r="C162" s="23" t="s">
        <v>141</v>
      </c>
      <c r="D162" s="24">
        <v>2</v>
      </c>
      <c r="E162" s="24" t="s">
        <v>21</v>
      </c>
      <c r="F162" s="24" t="s">
        <v>17</v>
      </c>
      <c r="G162" s="25" t="s">
        <v>18</v>
      </c>
      <c r="H162" s="24" t="s">
        <v>30</v>
      </c>
      <c r="I162" s="26" t="s">
        <v>13</v>
      </c>
    </row>
    <row r="163" spans="1:9">
      <c r="A163" s="22">
        <v>233</v>
      </c>
      <c r="B163" s="23" t="s">
        <v>78</v>
      </c>
      <c r="C163" s="24" t="s">
        <v>141</v>
      </c>
      <c r="D163" s="24" t="s">
        <v>20</v>
      </c>
      <c r="E163" s="24" t="s">
        <v>21</v>
      </c>
      <c r="F163" s="24" t="s">
        <v>17</v>
      </c>
      <c r="G163" s="24" t="s">
        <v>23</v>
      </c>
      <c r="H163" s="24" t="s">
        <v>30</v>
      </c>
      <c r="I163" s="26" t="s">
        <v>13</v>
      </c>
    </row>
    <row r="164" spans="1:9">
      <c r="A164" s="22">
        <v>160</v>
      </c>
      <c r="B164" s="23" t="s">
        <v>110</v>
      </c>
      <c r="C164" s="24" t="s">
        <v>141</v>
      </c>
      <c r="D164" s="24" t="s">
        <v>20</v>
      </c>
      <c r="E164" s="24" t="s">
        <v>21</v>
      </c>
      <c r="F164" s="24" t="s">
        <v>17</v>
      </c>
      <c r="G164" s="24" t="s">
        <v>18</v>
      </c>
      <c r="H164" s="24" t="s">
        <v>12</v>
      </c>
      <c r="I164" s="26" t="s">
        <v>13</v>
      </c>
    </row>
    <row r="165" spans="1:9">
      <c r="A165" s="22">
        <v>103</v>
      </c>
      <c r="B165" s="23" t="s">
        <v>43</v>
      </c>
      <c r="C165" s="24" t="s">
        <v>141</v>
      </c>
      <c r="D165" s="24">
        <v>2</v>
      </c>
      <c r="E165" s="24" t="s">
        <v>21</v>
      </c>
      <c r="F165" s="24" t="s">
        <v>17</v>
      </c>
      <c r="G165" s="24" t="s">
        <v>18</v>
      </c>
      <c r="H165" s="24" t="s">
        <v>12</v>
      </c>
      <c r="I165" s="26" t="s">
        <v>13</v>
      </c>
    </row>
    <row r="166" spans="1:9">
      <c r="A166" s="22">
        <v>37</v>
      </c>
      <c r="B166" s="23" t="s">
        <v>63</v>
      </c>
      <c r="C166" s="23" t="s">
        <v>141</v>
      </c>
      <c r="D166" s="24">
        <v>1</v>
      </c>
      <c r="E166" s="24" t="s">
        <v>21</v>
      </c>
      <c r="F166" s="24" t="s">
        <v>17</v>
      </c>
      <c r="G166" s="25" t="s">
        <v>18</v>
      </c>
      <c r="H166" s="24" t="s">
        <v>30</v>
      </c>
      <c r="I166" s="26" t="s">
        <v>13</v>
      </c>
    </row>
    <row r="167" spans="1:9">
      <c r="A167" s="22">
        <v>211</v>
      </c>
      <c r="B167" s="23" t="s">
        <v>51</v>
      </c>
      <c r="C167" s="27">
        <v>90000000</v>
      </c>
      <c r="D167" s="24">
        <v>1</v>
      </c>
      <c r="E167" s="24" t="s">
        <v>21</v>
      </c>
      <c r="F167" s="24" t="s">
        <v>17</v>
      </c>
      <c r="G167" s="24" t="s">
        <v>18</v>
      </c>
      <c r="H167" s="24" t="s">
        <v>12</v>
      </c>
      <c r="I167" s="26" t="s">
        <v>13</v>
      </c>
    </row>
    <row r="168" spans="1:9">
      <c r="A168" s="22">
        <v>268</v>
      </c>
      <c r="B168" s="23" t="s">
        <v>120</v>
      </c>
      <c r="C168" s="27">
        <v>90000000</v>
      </c>
      <c r="D168" s="24">
        <v>2</v>
      </c>
      <c r="E168" s="24" t="s">
        <v>21</v>
      </c>
      <c r="F168" s="24" t="s">
        <v>17</v>
      </c>
      <c r="G168" s="24" t="s">
        <v>18</v>
      </c>
      <c r="H168" s="24" t="s">
        <v>30</v>
      </c>
      <c r="I168" s="26" t="s">
        <v>13</v>
      </c>
    </row>
    <row r="169" spans="1:9">
      <c r="A169" s="22">
        <v>265</v>
      </c>
      <c r="B169" s="23" t="s">
        <v>117</v>
      </c>
      <c r="C169" s="27">
        <v>50000000</v>
      </c>
      <c r="D169" s="24">
        <v>1</v>
      </c>
      <c r="E169" s="24" t="s">
        <v>21</v>
      </c>
      <c r="F169" s="24" t="s">
        <v>17</v>
      </c>
      <c r="G169" s="24" t="s">
        <v>18</v>
      </c>
      <c r="H169" s="24" t="s">
        <v>12</v>
      </c>
      <c r="I169" s="26" t="s">
        <v>13</v>
      </c>
    </row>
    <row r="170" spans="1:9">
      <c r="A170" s="22">
        <v>213</v>
      </c>
      <c r="B170" s="23" t="s">
        <v>53</v>
      </c>
      <c r="C170" s="27">
        <v>50000000</v>
      </c>
      <c r="D170" s="24" t="s">
        <v>20</v>
      </c>
      <c r="E170" s="24" t="s">
        <v>21</v>
      </c>
      <c r="F170" s="24" t="s">
        <v>17</v>
      </c>
      <c r="G170" s="24" t="s">
        <v>18</v>
      </c>
      <c r="H170" s="24" t="s">
        <v>12</v>
      </c>
      <c r="I170" s="26" t="s">
        <v>13</v>
      </c>
    </row>
    <row r="171" spans="1:9">
      <c r="A171" s="22">
        <v>267</v>
      </c>
      <c r="B171" s="23" t="s">
        <v>119</v>
      </c>
      <c r="C171" s="27">
        <v>30000000</v>
      </c>
      <c r="D171" s="24" t="s">
        <v>20</v>
      </c>
      <c r="E171" s="24" t="s">
        <v>21</v>
      </c>
      <c r="F171" s="24" t="s">
        <v>17</v>
      </c>
      <c r="G171" s="24" t="s">
        <v>18</v>
      </c>
      <c r="H171" s="24" t="s">
        <v>12</v>
      </c>
      <c r="I171" s="26" t="s">
        <v>13</v>
      </c>
    </row>
    <row r="172" spans="1:9">
      <c r="A172" s="22">
        <v>275</v>
      </c>
      <c r="B172" s="23" t="s">
        <v>127</v>
      </c>
      <c r="C172" s="27">
        <v>20000000</v>
      </c>
      <c r="D172" s="24">
        <v>2</v>
      </c>
      <c r="E172" s="24" t="s">
        <v>21</v>
      </c>
      <c r="F172" s="24" t="s">
        <v>17</v>
      </c>
      <c r="G172" s="24" t="s">
        <v>23</v>
      </c>
      <c r="H172" s="24" t="s">
        <v>30</v>
      </c>
      <c r="I172" s="26" t="s">
        <v>13</v>
      </c>
    </row>
    <row r="173" spans="1:9">
      <c r="A173" s="22">
        <v>237</v>
      </c>
      <c r="B173" s="23" t="s">
        <v>83</v>
      </c>
      <c r="C173" s="27">
        <v>20000000</v>
      </c>
      <c r="D173" s="24">
        <v>2</v>
      </c>
      <c r="E173" s="24" t="s">
        <v>21</v>
      </c>
      <c r="F173" s="24" t="s">
        <v>17</v>
      </c>
      <c r="G173" s="24" t="s">
        <v>23</v>
      </c>
      <c r="H173" s="24" t="s">
        <v>12</v>
      </c>
      <c r="I173" s="26" t="s">
        <v>13</v>
      </c>
    </row>
    <row r="174" spans="1:9">
      <c r="A174" s="22">
        <v>302</v>
      </c>
      <c r="B174" s="23" t="s">
        <v>63</v>
      </c>
      <c r="C174" s="27">
        <v>20000000</v>
      </c>
      <c r="D174" s="24">
        <v>1</v>
      </c>
      <c r="E174" s="24" t="s">
        <v>21</v>
      </c>
      <c r="F174" s="24" t="s">
        <v>17</v>
      </c>
      <c r="G174" s="24" t="s">
        <v>23</v>
      </c>
      <c r="H174" s="24" t="s">
        <v>12</v>
      </c>
      <c r="I174" s="26" t="s">
        <v>13</v>
      </c>
    </row>
    <row r="175" spans="1:9">
      <c r="A175" s="22">
        <v>188</v>
      </c>
      <c r="B175" s="23" t="s">
        <v>22</v>
      </c>
      <c r="C175" s="27">
        <v>10000000</v>
      </c>
      <c r="D175" s="24">
        <v>2</v>
      </c>
      <c r="E175" s="24" t="s">
        <v>21</v>
      </c>
      <c r="F175" s="24" t="s">
        <v>17</v>
      </c>
      <c r="G175" s="24" t="s">
        <v>18</v>
      </c>
      <c r="H175" s="24" t="s">
        <v>30</v>
      </c>
      <c r="I175" s="26" t="s">
        <v>13</v>
      </c>
    </row>
    <row r="176" spans="1:9">
      <c r="A176" s="22">
        <v>288</v>
      </c>
      <c r="B176" s="23" t="s">
        <v>46</v>
      </c>
      <c r="C176" s="27">
        <v>10000000</v>
      </c>
      <c r="D176" s="24">
        <v>4</v>
      </c>
      <c r="E176" s="24" t="s">
        <v>21</v>
      </c>
      <c r="F176" s="24" t="s">
        <v>17</v>
      </c>
      <c r="G176" s="24" t="s">
        <v>18</v>
      </c>
      <c r="H176" s="24" t="s">
        <v>30</v>
      </c>
      <c r="I176" s="26" t="s">
        <v>13</v>
      </c>
    </row>
    <row r="177" spans="1:9">
      <c r="A177" s="22">
        <v>289</v>
      </c>
      <c r="B177" s="23" t="s">
        <v>47</v>
      </c>
      <c r="C177" s="27">
        <v>10000000</v>
      </c>
      <c r="D177" s="24" t="s">
        <v>20</v>
      </c>
      <c r="E177" s="24" t="s">
        <v>21</v>
      </c>
      <c r="F177" s="24" t="s">
        <v>17</v>
      </c>
      <c r="G177" s="24" t="s">
        <v>23</v>
      </c>
      <c r="H177" s="24" t="s">
        <v>12</v>
      </c>
      <c r="I177" s="26" t="s">
        <v>13</v>
      </c>
    </row>
    <row r="178" spans="1:9">
      <c r="A178" s="22">
        <v>309</v>
      </c>
      <c r="B178" s="23" t="s">
        <v>70</v>
      </c>
      <c r="C178" s="24" t="s">
        <v>141</v>
      </c>
      <c r="D178" s="24">
        <v>1</v>
      </c>
      <c r="E178" s="24" t="s">
        <v>25</v>
      </c>
      <c r="F178" s="24" t="s">
        <v>55</v>
      </c>
      <c r="G178" s="24" t="s">
        <v>56</v>
      </c>
      <c r="H178" s="24" t="s">
        <v>12</v>
      </c>
      <c r="I178" s="26" t="s">
        <v>13</v>
      </c>
    </row>
    <row r="179" spans="1:9">
      <c r="A179" s="22">
        <v>259</v>
      </c>
      <c r="B179" s="23" t="s">
        <v>110</v>
      </c>
      <c r="C179" s="24" t="s">
        <v>141</v>
      </c>
      <c r="D179" s="24">
        <v>1</v>
      </c>
      <c r="E179" s="24" t="s">
        <v>25</v>
      </c>
      <c r="F179" s="24" t="s">
        <v>55</v>
      </c>
      <c r="G179" s="24" t="s">
        <v>56</v>
      </c>
      <c r="H179" s="24" t="s">
        <v>30</v>
      </c>
      <c r="I179" s="26" t="s">
        <v>13</v>
      </c>
    </row>
    <row r="180" spans="1:9">
      <c r="A180" s="22">
        <v>285</v>
      </c>
      <c r="B180" s="23" t="s">
        <v>43</v>
      </c>
      <c r="C180" s="24" t="s">
        <v>141</v>
      </c>
      <c r="D180" s="24">
        <v>2</v>
      </c>
      <c r="E180" s="24" t="s">
        <v>25</v>
      </c>
      <c r="F180" s="24" t="s">
        <v>55</v>
      </c>
      <c r="G180" s="24" t="s">
        <v>80</v>
      </c>
      <c r="H180" s="24" t="s">
        <v>12</v>
      </c>
      <c r="I180" s="26" t="s">
        <v>13</v>
      </c>
    </row>
    <row r="181" spans="1:9">
      <c r="A181" s="22">
        <v>157</v>
      </c>
      <c r="B181" s="23" t="s">
        <v>107</v>
      </c>
      <c r="C181" s="24" t="s">
        <v>141</v>
      </c>
      <c r="D181" s="24">
        <v>2</v>
      </c>
      <c r="E181" s="24" t="s">
        <v>25</v>
      </c>
      <c r="F181" s="24" t="s">
        <v>55</v>
      </c>
      <c r="G181" s="24" t="s">
        <v>80</v>
      </c>
      <c r="H181" s="24" t="s">
        <v>12</v>
      </c>
      <c r="I181" s="26" t="s">
        <v>13</v>
      </c>
    </row>
    <row r="182" spans="1:9">
      <c r="A182" s="22">
        <v>305</v>
      </c>
      <c r="B182" s="23" t="s">
        <v>66</v>
      </c>
      <c r="C182" s="24" t="s">
        <v>141</v>
      </c>
      <c r="D182" s="24" t="s">
        <v>20</v>
      </c>
      <c r="E182" s="24" t="s">
        <v>25</v>
      </c>
      <c r="F182" s="24" t="s">
        <v>10</v>
      </c>
      <c r="G182" s="24" t="s">
        <v>11</v>
      </c>
      <c r="H182" s="24" t="s">
        <v>12</v>
      </c>
      <c r="I182" s="26" t="s">
        <v>13</v>
      </c>
    </row>
    <row r="183" spans="1:9">
      <c r="A183" s="22">
        <v>286</v>
      </c>
      <c r="B183" s="23" t="s">
        <v>44</v>
      </c>
      <c r="C183" s="24" t="s">
        <v>141</v>
      </c>
      <c r="D183" s="24">
        <v>2</v>
      </c>
      <c r="E183" s="24" t="s">
        <v>25</v>
      </c>
      <c r="F183" s="24" t="s">
        <v>10</v>
      </c>
      <c r="G183" s="24" t="s">
        <v>11</v>
      </c>
      <c r="H183" s="24" t="s">
        <v>12</v>
      </c>
      <c r="I183" s="26" t="s">
        <v>13</v>
      </c>
    </row>
    <row r="184" spans="1:9">
      <c r="A184" s="22">
        <v>199</v>
      </c>
      <c r="B184" s="23" t="s">
        <v>39</v>
      </c>
      <c r="C184" s="24" t="s">
        <v>141</v>
      </c>
      <c r="D184" s="24">
        <v>4</v>
      </c>
      <c r="E184" s="24" t="s">
        <v>25</v>
      </c>
      <c r="F184" s="24" t="s">
        <v>10</v>
      </c>
      <c r="G184" s="24" t="s">
        <v>11</v>
      </c>
      <c r="H184" s="24" t="s">
        <v>30</v>
      </c>
      <c r="I184" s="26" t="s">
        <v>13</v>
      </c>
    </row>
    <row r="185" spans="1:9">
      <c r="A185" s="22">
        <v>262</v>
      </c>
      <c r="B185" s="23" t="s">
        <v>113</v>
      </c>
      <c r="C185" s="24" t="s">
        <v>141</v>
      </c>
      <c r="D185" s="24">
        <v>4</v>
      </c>
      <c r="E185" s="24" t="s">
        <v>25</v>
      </c>
      <c r="F185" s="24" t="s">
        <v>10</v>
      </c>
      <c r="G185" s="24" t="s">
        <v>27</v>
      </c>
      <c r="H185" s="24" t="s">
        <v>12</v>
      </c>
      <c r="I185" s="26" t="s">
        <v>13</v>
      </c>
    </row>
    <row r="186" spans="1:9">
      <c r="A186" s="22">
        <v>263</v>
      </c>
      <c r="B186" s="23" t="s">
        <v>114</v>
      </c>
      <c r="C186" s="24" t="s">
        <v>141</v>
      </c>
      <c r="D186" s="24">
        <v>1</v>
      </c>
      <c r="E186" s="24" t="s">
        <v>25</v>
      </c>
      <c r="F186" s="24" t="s">
        <v>10</v>
      </c>
      <c r="G186" s="24" t="s">
        <v>11</v>
      </c>
      <c r="H186" s="24" t="s">
        <v>30</v>
      </c>
      <c r="I186" s="26" t="s">
        <v>13</v>
      </c>
    </row>
    <row r="187" spans="1:9">
      <c r="A187" s="22">
        <v>221</v>
      </c>
      <c r="B187" s="23" t="s">
        <v>64</v>
      </c>
      <c r="C187" s="24" t="s">
        <v>141</v>
      </c>
      <c r="D187" s="24">
        <v>1</v>
      </c>
      <c r="E187" s="24" t="s">
        <v>25</v>
      </c>
      <c r="F187" s="24" t="s">
        <v>10</v>
      </c>
      <c r="G187" s="24" t="s">
        <v>27</v>
      </c>
      <c r="H187" s="24" t="s">
        <v>12</v>
      </c>
      <c r="I187" s="26" t="s">
        <v>13</v>
      </c>
    </row>
    <row r="188" spans="1:9">
      <c r="A188" s="22">
        <v>269</v>
      </c>
      <c r="B188" s="23" t="s">
        <v>121</v>
      </c>
      <c r="C188" s="24" t="s">
        <v>141</v>
      </c>
      <c r="D188" s="24">
        <v>2</v>
      </c>
      <c r="E188" s="24" t="s">
        <v>25</v>
      </c>
      <c r="F188" s="24" t="s">
        <v>10</v>
      </c>
      <c r="G188" s="24" t="s">
        <v>11</v>
      </c>
      <c r="H188" s="24" t="s">
        <v>12</v>
      </c>
      <c r="I188" s="26" t="s">
        <v>13</v>
      </c>
    </row>
    <row r="189" spans="1:9">
      <c r="A189" s="22">
        <v>156</v>
      </c>
      <c r="B189" s="23" t="s">
        <v>106</v>
      </c>
      <c r="C189" s="27">
        <v>90000000</v>
      </c>
      <c r="D189" s="24">
        <v>3</v>
      </c>
      <c r="E189" s="24" t="s">
        <v>25</v>
      </c>
      <c r="F189" s="24" t="s">
        <v>10</v>
      </c>
      <c r="G189" s="24" t="s">
        <v>27</v>
      </c>
      <c r="H189" s="24" t="s">
        <v>30</v>
      </c>
      <c r="I189" s="26" t="s">
        <v>13</v>
      </c>
    </row>
    <row r="190" spans="1:9">
      <c r="A190" s="22">
        <v>88</v>
      </c>
      <c r="B190" s="23" t="s">
        <v>122</v>
      </c>
      <c r="C190" s="28">
        <v>90000000</v>
      </c>
      <c r="D190" s="24">
        <v>1</v>
      </c>
      <c r="E190" s="24" t="s">
        <v>25</v>
      </c>
      <c r="F190" s="24" t="s">
        <v>10</v>
      </c>
      <c r="G190" s="24" t="s">
        <v>27</v>
      </c>
      <c r="H190" s="24" t="s">
        <v>12</v>
      </c>
      <c r="I190" s="26" t="s">
        <v>13</v>
      </c>
    </row>
    <row r="191" spans="1:9">
      <c r="A191" s="22">
        <v>264</v>
      </c>
      <c r="B191" s="23" t="s">
        <v>116</v>
      </c>
      <c r="C191" s="27">
        <v>30000000</v>
      </c>
      <c r="D191" s="24">
        <v>1</v>
      </c>
      <c r="E191" s="24" t="s">
        <v>25</v>
      </c>
      <c r="F191" s="24" t="s">
        <v>10</v>
      </c>
      <c r="G191" s="24" t="s">
        <v>27</v>
      </c>
      <c r="H191" s="24" t="s">
        <v>12</v>
      </c>
      <c r="I191" s="26" t="s">
        <v>13</v>
      </c>
    </row>
    <row r="192" spans="1:9">
      <c r="A192" s="22">
        <v>86</v>
      </c>
      <c r="B192" s="23" t="s">
        <v>120</v>
      </c>
      <c r="C192" s="28">
        <v>30000000</v>
      </c>
      <c r="D192" s="24" t="s">
        <v>20</v>
      </c>
      <c r="E192" s="24" t="s">
        <v>25</v>
      </c>
      <c r="F192" s="24" t="s">
        <v>10</v>
      </c>
      <c r="G192" s="24" t="s">
        <v>27</v>
      </c>
      <c r="H192" s="24" t="s">
        <v>30</v>
      </c>
      <c r="I192" s="26" t="s">
        <v>13</v>
      </c>
    </row>
    <row r="193" spans="1:9">
      <c r="A193" s="22">
        <v>198</v>
      </c>
      <c r="B193" s="23" t="s">
        <v>38</v>
      </c>
      <c r="C193" s="27">
        <v>30000000</v>
      </c>
      <c r="D193" s="24" t="s">
        <v>20</v>
      </c>
      <c r="E193" s="24" t="s">
        <v>25</v>
      </c>
      <c r="F193" s="24" t="s">
        <v>10</v>
      </c>
      <c r="G193" s="24" t="s">
        <v>11</v>
      </c>
      <c r="H193" s="24" t="s">
        <v>12</v>
      </c>
      <c r="I193" s="26" t="s">
        <v>13</v>
      </c>
    </row>
    <row r="194" spans="1:9">
      <c r="A194" s="22">
        <v>292</v>
      </c>
      <c r="B194" s="23" t="s">
        <v>50</v>
      </c>
      <c r="C194" s="27">
        <v>30000000</v>
      </c>
      <c r="D194" s="24">
        <v>3</v>
      </c>
      <c r="E194" s="24" t="s">
        <v>25</v>
      </c>
      <c r="F194" s="24" t="s">
        <v>10</v>
      </c>
      <c r="G194" s="24" t="s">
        <v>11</v>
      </c>
      <c r="H194" s="24" t="s">
        <v>12</v>
      </c>
      <c r="I194" s="26" t="s">
        <v>13</v>
      </c>
    </row>
    <row r="195" spans="1:9">
      <c r="A195" s="22">
        <v>27</v>
      </c>
      <c r="B195" s="23" t="s">
        <v>50</v>
      </c>
      <c r="C195" s="28">
        <v>30000000</v>
      </c>
      <c r="D195" s="24" t="s">
        <v>20</v>
      </c>
      <c r="E195" s="24" t="s">
        <v>25</v>
      </c>
      <c r="F195" s="24" t="s">
        <v>10</v>
      </c>
      <c r="G195" s="24" t="s">
        <v>27</v>
      </c>
      <c r="H195" s="24" t="s">
        <v>12</v>
      </c>
      <c r="I195" s="26" t="s">
        <v>13</v>
      </c>
    </row>
    <row r="196" spans="1:9">
      <c r="A196" s="22">
        <v>93</v>
      </c>
      <c r="B196" s="23" t="s">
        <v>127</v>
      </c>
      <c r="C196" s="28">
        <v>20000000</v>
      </c>
      <c r="D196" s="24">
        <v>2</v>
      </c>
      <c r="E196" s="24" t="s">
        <v>25</v>
      </c>
      <c r="F196" s="24" t="s">
        <v>10</v>
      </c>
      <c r="G196" s="24" t="s">
        <v>27</v>
      </c>
      <c r="H196" s="24" t="s">
        <v>12</v>
      </c>
      <c r="I196" s="26" t="s">
        <v>13</v>
      </c>
    </row>
    <row r="197" spans="1:9">
      <c r="A197" s="22">
        <v>282</v>
      </c>
      <c r="B197" s="23" t="s">
        <v>135</v>
      </c>
      <c r="C197" s="27">
        <v>20000000</v>
      </c>
      <c r="D197" s="24" t="s">
        <v>20</v>
      </c>
      <c r="E197" s="24" t="s">
        <v>25</v>
      </c>
      <c r="F197" s="24" t="s">
        <v>10</v>
      </c>
      <c r="G197" s="24" t="s">
        <v>11</v>
      </c>
      <c r="H197" s="24" t="s">
        <v>12</v>
      </c>
      <c r="I197" s="26" t="s">
        <v>13</v>
      </c>
    </row>
    <row r="198" spans="1:9">
      <c r="A198" s="22">
        <v>22</v>
      </c>
      <c r="B198" s="23" t="s">
        <v>45</v>
      </c>
      <c r="C198" s="28">
        <v>20000000</v>
      </c>
      <c r="D198" s="24">
        <v>2</v>
      </c>
      <c r="E198" s="24" t="s">
        <v>25</v>
      </c>
      <c r="F198" s="24" t="s">
        <v>10</v>
      </c>
      <c r="G198" s="24" t="s">
        <v>11</v>
      </c>
      <c r="H198" s="24" t="s">
        <v>12</v>
      </c>
      <c r="I198" s="26" t="s">
        <v>13</v>
      </c>
    </row>
    <row r="199" spans="1:9">
      <c r="A199" s="22">
        <v>178</v>
      </c>
      <c r="B199" s="23" t="s">
        <v>129</v>
      </c>
      <c r="C199" s="27">
        <v>20000000</v>
      </c>
      <c r="D199" s="24">
        <v>2</v>
      </c>
      <c r="E199" s="24" t="s">
        <v>25</v>
      </c>
      <c r="F199" s="24" t="s">
        <v>10</v>
      </c>
      <c r="G199" s="24" t="s">
        <v>11</v>
      </c>
      <c r="H199" s="24" t="s">
        <v>30</v>
      </c>
      <c r="I199" s="26" t="s">
        <v>13</v>
      </c>
    </row>
    <row r="200" spans="1:9">
      <c r="A200" s="22">
        <v>227</v>
      </c>
      <c r="B200" s="23" t="s">
        <v>70</v>
      </c>
      <c r="C200" s="27">
        <v>10000000</v>
      </c>
      <c r="D200" s="24">
        <v>2</v>
      </c>
      <c r="E200" s="24" t="s">
        <v>25</v>
      </c>
      <c r="F200" s="24" t="s">
        <v>10</v>
      </c>
      <c r="G200" s="24" t="s">
        <v>27</v>
      </c>
      <c r="H200" s="24" t="s">
        <v>12</v>
      </c>
      <c r="I200" s="26" t="s">
        <v>13</v>
      </c>
    </row>
    <row r="201" spans="1:9">
      <c r="A201" s="22">
        <v>75</v>
      </c>
      <c r="B201" s="23" t="s">
        <v>108</v>
      </c>
      <c r="C201" s="28">
        <v>10000000</v>
      </c>
      <c r="D201" s="24">
        <v>4</v>
      </c>
      <c r="E201" s="24" t="s">
        <v>25</v>
      </c>
      <c r="F201" s="24" t="s">
        <v>10</v>
      </c>
      <c r="G201" s="24" t="s">
        <v>27</v>
      </c>
      <c r="H201" s="24" t="s">
        <v>12</v>
      </c>
      <c r="I201" s="26" t="s">
        <v>13</v>
      </c>
    </row>
    <row r="202" spans="1:9">
      <c r="A202" s="22">
        <v>129</v>
      </c>
      <c r="B202" s="23" t="s">
        <v>73</v>
      </c>
      <c r="C202" s="27">
        <v>10000000</v>
      </c>
      <c r="D202" s="24">
        <v>4</v>
      </c>
      <c r="E202" s="24" t="s">
        <v>25</v>
      </c>
      <c r="F202" s="24" t="s">
        <v>10</v>
      </c>
      <c r="G202" s="24" t="s">
        <v>27</v>
      </c>
      <c r="H202" s="24" t="s">
        <v>12</v>
      </c>
      <c r="I202" s="26" t="s">
        <v>13</v>
      </c>
    </row>
    <row r="203" spans="1:9">
      <c r="A203" s="22">
        <v>194</v>
      </c>
      <c r="B203" s="23" t="s">
        <v>34</v>
      </c>
      <c r="C203" s="27">
        <v>10000000</v>
      </c>
      <c r="D203" s="24">
        <v>2</v>
      </c>
      <c r="E203" s="24" t="s">
        <v>25</v>
      </c>
      <c r="F203" s="24" t="s">
        <v>10</v>
      </c>
      <c r="G203" s="24" t="s">
        <v>11</v>
      </c>
      <c r="H203" s="24" t="s">
        <v>12</v>
      </c>
      <c r="I203" s="26" t="s">
        <v>13</v>
      </c>
    </row>
    <row r="204" spans="1:9">
      <c r="A204" s="22">
        <v>134</v>
      </c>
      <c r="B204" s="23" t="s">
        <v>79</v>
      </c>
      <c r="C204" s="27">
        <v>10000000</v>
      </c>
      <c r="D204" s="24" t="s">
        <v>20</v>
      </c>
      <c r="E204" s="24" t="s">
        <v>25</v>
      </c>
      <c r="F204" s="24" t="s">
        <v>10</v>
      </c>
      <c r="G204" s="24" t="s">
        <v>27</v>
      </c>
      <c r="H204" s="24" t="s">
        <v>30</v>
      </c>
      <c r="I204" s="26" t="s">
        <v>13</v>
      </c>
    </row>
    <row r="205" spans="1:9">
      <c r="A205" s="22">
        <v>287</v>
      </c>
      <c r="B205" s="23" t="s">
        <v>45</v>
      </c>
      <c r="C205" s="27">
        <v>10000000</v>
      </c>
      <c r="D205" s="24">
        <v>3</v>
      </c>
      <c r="E205" s="24" t="s">
        <v>25</v>
      </c>
      <c r="F205" s="24" t="s">
        <v>10</v>
      </c>
      <c r="G205" s="24" t="s">
        <v>11</v>
      </c>
      <c r="H205" s="24" t="s">
        <v>12</v>
      </c>
      <c r="I205" s="26" t="s">
        <v>13</v>
      </c>
    </row>
    <row r="206" spans="1:9">
      <c r="A206" s="22">
        <v>41</v>
      </c>
      <c r="B206" s="23" t="s">
        <v>67</v>
      </c>
      <c r="C206" s="28">
        <v>10000000</v>
      </c>
      <c r="D206" s="24" t="s">
        <v>20</v>
      </c>
      <c r="E206" s="24" t="s">
        <v>25</v>
      </c>
      <c r="F206" s="24" t="s">
        <v>10</v>
      </c>
      <c r="G206" s="24" t="s">
        <v>11</v>
      </c>
      <c r="H206" s="24" t="s">
        <v>12</v>
      </c>
      <c r="I206" s="26" t="s">
        <v>13</v>
      </c>
    </row>
    <row r="207" spans="1:9">
      <c r="A207" s="22">
        <v>77</v>
      </c>
      <c r="B207" s="23" t="s">
        <v>110</v>
      </c>
      <c r="C207" s="28">
        <v>10000000</v>
      </c>
      <c r="D207" s="24">
        <v>1</v>
      </c>
      <c r="E207" s="24" t="s">
        <v>25</v>
      </c>
      <c r="F207" s="24" t="s">
        <v>10</v>
      </c>
      <c r="G207" s="24" t="s">
        <v>11</v>
      </c>
      <c r="H207" s="24" t="s">
        <v>30</v>
      </c>
      <c r="I207" s="26" t="s">
        <v>13</v>
      </c>
    </row>
    <row r="208" spans="1:9">
      <c r="A208" s="22">
        <v>15</v>
      </c>
      <c r="B208" s="23" t="s">
        <v>38</v>
      </c>
      <c r="C208" s="28">
        <v>10000000</v>
      </c>
      <c r="D208" s="24" t="s">
        <v>20</v>
      </c>
      <c r="E208" s="24" t="s">
        <v>25</v>
      </c>
      <c r="F208" s="24" t="s">
        <v>10</v>
      </c>
      <c r="G208" s="24" t="s">
        <v>11</v>
      </c>
      <c r="H208" s="24" t="s">
        <v>12</v>
      </c>
      <c r="I208" s="26" t="s">
        <v>13</v>
      </c>
    </row>
    <row r="209" spans="1:9">
      <c r="A209" s="22">
        <v>244</v>
      </c>
      <c r="B209" s="23" t="s">
        <v>92</v>
      </c>
      <c r="C209" s="27">
        <v>5000000</v>
      </c>
      <c r="D209" s="24" t="s">
        <v>20</v>
      </c>
      <c r="E209" s="24" t="s">
        <v>25</v>
      </c>
      <c r="F209" s="24" t="s">
        <v>10</v>
      </c>
      <c r="G209" s="24" t="s">
        <v>27</v>
      </c>
      <c r="H209" s="24" t="s">
        <v>12</v>
      </c>
      <c r="I209" s="26" t="s">
        <v>13</v>
      </c>
    </row>
    <row r="210" spans="1:9">
      <c r="A210" s="22">
        <v>240</v>
      </c>
      <c r="B210" s="23" t="s">
        <v>86</v>
      </c>
      <c r="C210" s="27">
        <v>5000000</v>
      </c>
      <c r="D210" s="24" t="s">
        <v>20</v>
      </c>
      <c r="E210" s="24" t="s">
        <v>25</v>
      </c>
      <c r="F210" s="24" t="s">
        <v>10</v>
      </c>
      <c r="G210" s="24" t="s">
        <v>11</v>
      </c>
      <c r="H210" s="24" t="s">
        <v>12</v>
      </c>
      <c r="I210" s="26" t="s">
        <v>13</v>
      </c>
    </row>
    <row r="211" spans="1:9">
      <c r="A211" s="22">
        <v>204</v>
      </c>
      <c r="B211" s="23" t="s">
        <v>44</v>
      </c>
      <c r="C211" s="27">
        <v>1000000</v>
      </c>
      <c r="D211" s="24">
        <v>2</v>
      </c>
      <c r="E211" s="24" t="s">
        <v>25</v>
      </c>
      <c r="F211" s="24" t="s">
        <v>10</v>
      </c>
      <c r="G211" s="24" t="s">
        <v>11</v>
      </c>
      <c r="H211" s="24" t="s">
        <v>12</v>
      </c>
      <c r="I211" s="26" t="s">
        <v>13</v>
      </c>
    </row>
    <row r="212" spans="1:9">
      <c r="A212" s="22">
        <v>162</v>
      </c>
      <c r="B212" s="23" t="s">
        <v>112</v>
      </c>
      <c r="C212" s="27">
        <v>1000000</v>
      </c>
      <c r="D212" s="24">
        <v>1</v>
      </c>
      <c r="E212" s="24" t="s">
        <v>25</v>
      </c>
      <c r="F212" s="24" t="s">
        <v>10</v>
      </c>
      <c r="G212" s="24" t="s">
        <v>27</v>
      </c>
      <c r="H212" s="24" t="s">
        <v>12</v>
      </c>
      <c r="I212" s="26" t="s">
        <v>13</v>
      </c>
    </row>
    <row r="213" spans="1:9">
      <c r="A213" s="22">
        <v>35</v>
      </c>
      <c r="B213" s="23" t="s">
        <v>61</v>
      </c>
      <c r="C213" s="28">
        <v>1000000</v>
      </c>
      <c r="D213" s="24">
        <v>1</v>
      </c>
      <c r="E213" s="24" t="s">
        <v>25</v>
      </c>
      <c r="F213" s="24" t="s">
        <v>10</v>
      </c>
      <c r="G213" s="24" t="s">
        <v>11</v>
      </c>
      <c r="H213" s="24" t="s">
        <v>12</v>
      </c>
      <c r="I213" s="26" t="s">
        <v>13</v>
      </c>
    </row>
    <row r="214" spans="1:9">
      <c r="A214" s="22">
        <v>116</v>
      </c>
      <c r="B214" s="23" t="s">
        <v>59</v>
      </c>
      <c r="C214" s="27">
        <v>1000000</v>
      </c>
      <c r="D214" s="24">
        <v>3</v>
      </c>
      <c r="E214" s="24" t="s">
        <v>25</v>
      </c>
      <c r="F214" s="24" t="s">
        <v>10</v>
      </c>
      <c r="G214" s="24" t="s">
        <v>27</v>
      </c>
      <c r="H214" s="24" t="s">
        <v>30</v>
      </c>
      <c r="I214" s="26" t="s">
        <v>13</v>
      </c>
    </row>
    <row r="215" spans="1:9">
      <c r="A215" s="22">
        <v>220</v>
      </c>
      <c r="B215" s="23" t="s">
        <v>63</v>
      </c>
      <c r="C215" s="27">
        <v>1000000</v>
      </c>
      <c r="D215" s="24">
        <v>4</v>
      </c>
      <c r="E215" s="24" t="s">
        <v>25</v>
      </c>
      <c r="F215" s="24" t="s">
        <v>10</v>
      </c>
      <c r="G215" s="24" t="s">
        <v>27</v>
      </c>
      <c r="H215" s="24" t="s">
        <v>12</v>
      </c>
      <c r="I215" s="26" t="s">
        <v>13</v>
      </c>
    </row>
    <row r="216" spans="1:9">
      <c r="A216" s="22">
        <v>10</v>
      </c>
      <c r="B216" s="23" t="s">
        <v>33</v>
      </c>
      <c r="C216" s="23" t="s">
        <v>141</v>
      </c>
      <c r="D216" s="24" t="s">
        <v>20</v>
      </c>
      <c r="E216" s="24" t="s">
        <v>25</v>
      </c>
      <c r="F216" s="24" t="s">
        <v>17</v>
      </c>
      <c r="G216" s="25" t="s">
        <v>23</v>
      </c>
      <c r="H216" s="24" t="s">
        <v>12</v>
      </c>
      <c r="I216" s="26" t="s">
        <v>13</v>
      </c>
    </row>
    <row r="217" spans="1:9">
      <c r="A217" s="22">
        <v>6</v>
      </c>
      <c r="B217" s="23" t="s">
        <v>24</v>
      </c>
      <c r="C217" s="23" t="s">
        <v>141</v>
      </c>
      <c r="D217" s="24">
        <v>3</v>
      </c>
      <c r="E217" s="24" t="s">
        <v>25</v>
      </c>
      <c r="F217" s="24" t="s">
        <v>17</v>
      </c>
      <c r="G217" s="25" t="s">
        <v>23</v>
      </c>
      <c r="H217" s="24" t="s">
        <v>12</v>
      </c>
      <c r="I217" s="26" t="s">
        <v>13</v>
      </c>
    </row>
    <row r="218" spans="1:9">
      <c r="A218" s="22">
        <v>245</v>
      </c>
      <c r="B218" s="23" t="s">
        <v>93</v>
      </c>
      <c r="C218" s="24" t="s">
        <v>141</v>
      </c>
      <c r="D218" s="24" t="s">
        <v>20</v>
      </c>
      <c r="E218" s="24" t="s">
        <v>25</v>
      </c>
      <c r="F218" s="24" t="s">
        <v>17</v>
      </c>
      <c r="G218" s="24" t="s">
        <v>18</v>
      </c>
      <c r="H218" s="24" t="s">
        <v>30</v>
      </c>
      <c r="I218" s="26" t="s">
        <v>13</v>
      </c>
    </row>
    <row r="219" spans="1:9">
      <c r="A219" s="22">
        <v>21</v>
      </c>
      <c r="B219" s="23" t="s">
        <v>44</v>
      </c>
      <c r="C219" s="23" t="s">
        <v>141</v>
      </c>
      <c r="D219" s="24" t="s">
        <v>20</v>
      </c>
      <c r="E219" s="24" t="s">
        <v>25</v>
      </c>
      <c r="F219" s="24" t="s">
        <v>17</v>
      </c>
      <c r="G219" s="25" t="s">
        <v>18</v>
      </c>
      <c r="H219" s="24" t="s">
        <v>12</v>
      </c>
      <c r="I219" s="26" t="s">
        <v>13</v>
      </c>
    </row>
    <row r="220" spans="1:9">
      <c r="A220" s="22">
        <v>111</v>
      </c>
      <c r="B220" s="23" t="s">
        <v>51</v>
      </c>
      <c r="C220" s="24" t="s">
        <v>141</v>
      </c>
      <c r="D220" s="24" t="s">
        <v>20</v>
      </c>
      <c r="E220" s="24" t="s">
        <v>25</v>
      </c>
      <c r="F220" s="24" t="s">
        <v>17</v>
      </c>
      <c r="G220" s="24" t="s">
        <v>18</v>
      </c>
      <c r="H220" s="24" t="s">
        <v>30</v>
      </c>
      <c r="I220" s="26" t="s">
        <v>13</v>
      </c>
    </row>
    <row r="221" spans="1:9">
      <c r="A221" s="22">
        <v>139</v>
      </c>
      <c r="B221" s="23" t="s">
        <v>85</v>
      </c>
      <c r="C221" s="24" t="s">
        <v>141</v>
      </c>
      <c r="D221" s="24">
        <v>2</v>
      </c>
      <c r="E221" s="24" t="s">
        <v>25</v>
      </c>
      <c r="F221" s="24" t="s">
        <v>17</v>
      </c>
      <c r="G221" s="24" t="s">
        <v>18</v>
      </c>
      <c r="H221" s="24" t="s">
        <v>12</v>
      </c>
      <c r="I221" s="26" t="s">
        <v>13</v>
      </c>
    </row>
    <row r="222" spans="1:9">
      <c r="A222" s="22">
        <v>217</v>
      </c>
      <c r="B222" s="23" t="s">
        <v>60</v>
      </c>
      <c r="C222" s="24" t="s">
        <v>141</v>
      </c>
      <c r="D222" s="24">
        <v>1</v>
      </c>
      <c r="E222" s="24" t="s">
        <v>25</v>
      </c>
      <c r="F222" s="24" t="s">
        <v>17</v>
      </c>
      <c r="G222" s="24" t="s">
        <v>18</v>
      </c>
      <c r="H222" s="24" t="s">
        <v>12</v>
      </c>
      <c r="I222" s="26" t="s">
        <v>13</v>
      </c>
    </row>
    <row r="223" spans="1:9">
      <c r="A223" s="22">
        <v>179</v>
      </c>
      <c r="B223" s="23" t="s">
        <v>131</v>
      </c>
      <c r="C223" s="24" t="s">
        <v>141</v>
      </c>
      <c r="D223" s="24">
        <v>4</v>
      </c>
      <c r="E223" s="24" t="s">
        <v>25</v>
      </c>
      <c r="F223" s="24" t="s">
        <v>17</v>
      </c>
      <c r="G223" s="24" t="s">
        <v>18</v>
      </c>
      <c r="H223" s="24" t="s">
        <v>12</v>
      </c>
      <c r="I223" s="26" t="s">
        <v>13</v>
      </c>
    </row>
    <row r="224" spans="1:9">
      <c r="A224" s="22">
        <v>83</v>
      </c>
      <c r="B224" s="23" t="s">
        <v>117</v>
      </c>
      <c r="C224" s="23" t="s">
        <v>141</v>
      </c>
      <c r="D224" s="24" t="s">
        <v>20</v>
      </c>
      <c r="E224" s="24" t="s">
        <v>25</v>
      </c>
      <c r="F224" s="24" t="s">
        <v>17</v>
      </c>
      <c r="G224" s="25" t="s">
        <v>18</v>
      </c>
      <c r="H224" s="24" t="s">
        <v>12</v>
      </c>
      <c r="I224" s="26" t="s">
        <v>13</v>
      </c>
    </row>
    <row r="225" spans="1:9">
      <c r="A225" s="22">
        <v>87</v>
      </c>
      <c r="B225" s="23" t="s">
        <v>121</v>
      </c>
      <c r="C225" s="23" t="s">
        <v>141</v>
      </c>
      <c r="D225" s="24">
        <v>4</v>
      </c>
      <c r="E225" s="24" t="s">
        <v>25</v>
      </c>
      <c r="F225" s="24" t="s">
        <v>17</v>
      </c>
      <c r="G225" s="25" t="s">
        <v>23</v>
      </c>
      <c r="H225" s="24" t="s">
        <v>12</v>
      </c>
      <c r="I225" s="26" t="s">
        <v>13</v>
      </c>
    </row>
    <row r="226" spans="1:9">
      <c r="A226" s="22">
        <v>133</v>
      </c>
      <c r="B226" s="23" t="s">
        <v>78</v>
      </c>
      <c r="C226" s="24" t="s">
        <v>141</v>
      </c>
      <c r="D226" s="24" t="s">
        <v>20</v>
      </c>
      <c r="E226" s="24" t="s">
        <v>25</v>
      </c>
      <c r="F226" s="24" t="s">
        <v>17</v>
      </c>
      <c r="G226" s="24" t="s">
        <v>18</v>
      </c>
      <c r="H226" s="24" t="s">
        <v>30</v>
      </c>
      <c r="I226" s="26" t="s">
        <v>13</v>
      </c>
    </row>
    <row r="227" spans="1:9">
      <c r="A227" s="22">
        <v>67</v>
      </c>
      <c r="B227" s="23" t="s">
        <v>99</v>
      </c>
      <c r="C227" s="23" t="s">
        <v>141</v>
      </c>
      <c r="D227" s="24">
        <v>1</v>
      </c>
      <c r="E227" s="24" t="s">
        <v>25</v>
      </c>
      <c r="F227" s="24" t="s">
        <v>17</v>
      </c>
      <c r="G227" s="25" t="s">
        <v>18</v>
      </c>
      <c r="H227" s="24" t="s">
        <v>30</v>
      </c>
      <c r="I227" s="26" t="s">
        <v>13</v>
      </c>
    </row>
    <row r="228" spans="1:9">
      <c r="A228" s="22">
        <v>110</v>
      </c>
      <c r="B228" s="23" t="s">
        <v>50</v>
      </c>
      <c r="C228" s="24" t="s">
        <v>141</v>
      </c>
      <c r="D228" s="24">
        <v>3</v>
      </c>
      <c r="E228" s="24" t="s">
        <v>25</v>
      </c>
      <c r="F228" s="24" t="s">
        <v>17</v>
      </c>
      <c r="G228" s="24" t="s">
        <v>23</v>
      </c>
      <c r="H228" s="24" t="s">
        <v>12</v>
      </c>
      <c r="I228" s="26" t="s">
        <v>13</v>
      </c>
    </row>
    <row r="229" spans="1:9">
      <c r="A229" s="22">
        <v>109</v>
      </c>
      <c r="B229" s="23" t="s">
        <v>49</v>
      </c>
      <c r="C229" s="24" t="s">
        <v>141</v>
      </c>
      <c r="D229" s="24">
        <v>1</v>
      </c>
      <c r="E229" s="24" t="s">
        <v>25</v>
      </c>
      <c r="F229" s="24" t="s">
        <v>17</v>
      </c>
      <c r="G229" s="24" t="s">
        <v>23</v>
      </c>
      <c r="H229" s="24" t="s">
        <v>30</v>
      </c>
      <c r="I229" s="26" t="s">
        <v>13</v>
      </c>
    </row>
    <row r="230" spans="1:9">
      <c r="A230" s="22">
        <v>144</v>
      </c>
      <c r="B230" s="23" t="s">
        <v>92</v>
      </c>
      <c r="C230" s="24" t="s">
        <v>141</v>
      </c>
      <c r="D230" s="24">
        <v>1</v>
      </c>
      <c r="E230" s="24" t="s">
        <v>54</v>
      </c>
      <c r="F230" s="24" t="s">
        <v>55</v>
      </c>
      <c r="G230" s="24" t="s">
        <v>56</v>
      </c>
      <c r="H230" s="24" t="s">
        <v>30</v>
      </c>
      <c r="I230" s="26" t="s">
        <v>13</v>
      </c>
    </row>
    <row r="231" spans="1:9">
      <c r="A231" s="22">
        <v>31</v>
      </c>
      <c r="B231" s="23" t="s">
        <v>57</v>
      </c>
      <c r="C231" s="23" t="s">
        <v>141</v>
      </c>
      <c r="D231" s="24">
        <v>2</v>
      </c>
      <c r="E231" s="24" t="s">
        <v>54</v>
      </c>
      <c r="F231" s="24" t="s">
        <v>55</v>
      </c>
      <c r="G231" s="24" t="s">
        <v>56</v>
      </c>
      <c r="H231" s="24" t="s">
        <v>12</v>
      </c>
      <c r="I231" s="26" t="s">
        <v>13</v>
      </c>
    </row>
    <row r="232" spans="1:9">
      <c r="A232" s="22">
        <v>127</v>
      </c>
      <c r="B232" s="23" t="s">
        <v>70</v>
      </c>
      <c r="C232" s="24" t="s">
        <v>141</v>
      </c>
      <c r="D232" s="24">
        <v>1</v>
      </c>
      <c r="E232" s="24" t="s">
        <v>54</v>
      </c>
      <c r="F232" s="24" t="s">
        <v>55</v>
      </c>
      <c r="G232" s="24" t="s">
        <v>56</v>
      </c>
      <c r="H232" s="24" t="s">
        <v>30</v>
      </c>
      <c r="I232" s="26" t="s">
        <v>13</v>
      </c>
    </row>
    <row r="233" spans="1:9">
      <c r="A233" s="22">
        <v>232</v>
      </c>
      <c r="B233" s="23" t="s">
        <v>76</v>
      </c>
      <c r="C233" s="24" t="s">
        <v>141</v>
      </c>
      <c r="D233" s="24">
        <v>3</v>
      </c>
      <c r="E233" s="24" t="s">
        <v>54</v>
      </c>
      <c r="F233" s="24" t="s">
        <v>55</v>
      </c>
      <c r="G233" s="24" t="s">
        <v>56</v>
      </c>
      <c r="H233" s="24" t="s">
        <v>12</v>
      </c>
      <c r="I233" s="26" t="s">
        <v>13</v>
      </c>
    </row>
    <row r="234" spans="1:9">
      <c r="A234" s="22">
        <v>257</v>
      </c>
      <c r="B234" s="23" t="s">
        <v>108</v>
      </c>
      <c r="C234" s="24" t="s">
        <v>141</v>
      </c>
      <c r="D234" s="24">
        <v>2</v>
      </c>
      <c r="E234" s="24" t="s">
        <v>54</v>
      </c>
      <c r="F234" s="24" t="s">
        <v>55</v>
      </c>
      <c r="G234" s="24" t="s">
        <v>56</v>
      </c>
      <c r="H234" s="24" t="s">
        <v>12</v>
      </c>
      <c r="I234" s="26" t="s">
        <v>13</v>
      </c>
    </row>
    <row r="235" spans="1:9">
      <c r="A235" s="22">
        <v>173</v>
      </c>
      <c r="B235" s="23" t="s">
        <v>124</v>
      </c>
      <c r="C235" s="24" t="s">
        <v>141</v>
      </c>
      <c r="D235" s="24">
        <v>1</v>
      </c>
      <c r="E235" s="24" t="s">
        <v>54</v>
      </c>
      <c r="F235" s="24" t="s">
        <v>55</v>
      </c>
      <c r="G235" s="24" t="s">
        <v>56</v>
      </c>
      <c r="H235" s="24" t="s">
        <v>12</v>
      </c>
      <c r="I235" s="26" t="s">
        <v>13</v>
      </c>
    </row>
    <row r="236" spans="1:9">
      <c r="A236" s="22">
        <v>167</v>
      </c>
      <c r="B236" s="23" t="s">
        <v>118</v>
      </c>
      <c r="C236" s="24" t="s">
        <v>141</v>
      </c>
      <c r="D236" s="24" t="s">
        <v>20</v>
      </c>
      <c r="E236" s="24" t="s">
        <v>54</v>
      </c>
      <c r="F236" s="24" t="s">
        <v>55</v>
      </c>
      <c r="G236" s="24" t="s">
        <v>56</v>
      </c>
      <c r="H236" s="24" t="s">
        <v>30</v>
      </c>
      <c r="I236" s="26" t="s">
        <v>13</v>
      </c>
    </row>
    <row r="237" spans="1:9">
      <c r="A237" s="22">
        <v>98</v>
      </c>
      <c r="B237" s="23" t="s">
        <v>133</v>
      </c>
      <c r="C237" s="23" t="s">
        <v>141</v>
      </c>
      <c r="D237" s="24" t="s">
        <v>20</v>
      </c>
      <c r="E237" s="24" t="s">
        <v>54</v>
      </c>
      <c r="F237" s="24" t="s">
        <v>55</v>
      </c>
      <c r="G237" s="24" t="s">
        <v>56</v>
      </c>
      <c r="H237" s="24" t="s">
        <v>12</v>
      </c>
      <c r="I237" s="26" t="s">
        <v>13</v>
      </c>
    </row>
    <row r="238" spans="1:9">
      <c r="A238" s="22">
        <v>104</v>
      </c>
      <c r="B238" s="23" t="s">
        <v>44</v>
      </c>
      <c r="C238" s="24" t="s">
        <v>141</v>
      </c>
      <c r="D238" s="24">
        <v>2</v>
      </c>
      <c r="E238" s="24" t="s">
        <v>54</v>
      </c>
      <c r="F238" s="24" t="s">
        <v>55</v>
      </c>
      <c r="G238" s="24" t="s">
        <v>56</v>
      </c>
      <c r="H238" s="24" t="s">
        <v>30</v>
      </c>
      <c r="I238" s="26" t="s">
        <v>13</v>
      </c>
    </row>
    <row r="239" spans="1:9">
      <c r="A239" s="22">
        <v>238</v>
      </c>
      <c r="B239" s="23" t="s">
        <v>84</v>
      </c>
      <c r="C239" s="24" t="s">
        <v>141</v>
      </c>
      <c r="D239" s="24">
        <v>3</v>
      </c>
      <c r="E239" s="24" t="s">
        <v>54</v>
      </c>
      <c r="F239" s="24" t="s">
        <v>55</v>
      </c>
      <c r="G239" s="24" t="s">
        <v>56</v>
      </c>
      <c r="H239" s="24" t="s">
        <v>12</v>
      </c>
      <c r="I239" s="26" t="s">
        <v>13</v>
      </c>
    </row>
    <row r="240" spans="1:9">
      <c r="A240" s="22">
        <v>72</v>
      </c>
      <c r="B240" s="23" t="s">
        <v>105</v>
      </c>
      <c r="C240" s="23" t="s">
        <v>141</v>
      </c>
      <c r="D240" s="24">
        <v>3</v>
      </c>
      <c r="E240" s="24" t="s">
        <v>54</v>
      </c>
      <c r="F240" s="24" t="s">
        <v>55</v>
      </c>
      <c r="G240" s="24" t="s">
        <v>56</v>
      </c>
      <c r="H240" s="24" t="s">
        <v>12</v>
      </c>
      <c r="I240" s="26" t="s">
        <v>13</v>
      </c>
    </row>
    <row r="241" spans="1:9">
      <c r="A241" s="22">
        <v>121</v>
      </c>
      <c r="B241" s="23" t="s">
        <v>64</v>
      </c>
      <c r="C241" s="24" t="s">
        <v>141</v>
      </c>
      <c r="D241" s="24" t="s">
        <v>20</v>
      </c>
      <c r="E241" s="24" t="s">
        <v>54</v>
      </c>
      <c r="F241" s="24" t="s">
        <v>55</v>
      </c>
      <c r="G241" s="24" t="s">
        <v>56</v>
      </c>
      <c r="H241" s="24" t="s">
        <v>12</v>
      </c>
      <c r="I241" s="26" t="s">
        <v>13</v>
      </c>
    </row>
    <row r="242" spans="1:9">
      <c r="A242" s="22">
        <v>38</v>
      </c>
      <c r="B242" s="23" t="s">
        <v>64</v>
      </c>
      <c r="C242" s="23" t="s">
        <v>141</v>
      </c>
      <c r="D242" s="24">
        <v>1</v>
      </c>
      <c r="E242" s="24" t="s">
        <v>54</v>
      </c>
      <c r="F242" s="24" t="s">
        <v>55</v>
      </c>
      <c r="G242" s="24" t="s">
        <v>56</v>
      </c>
      <c r="H242" s="24" t="s">
        <v>12</v>
      </c>
      <c r="I242" s="26" t="s">
        <v>13</v>
      </c>
    </row>
    <row r="243" spans="1:9">
      <c r="A243" s="22">
        <v>274</v>
      </c>
      <c r="B243" s="23" t="s">
        <v>126</v>
      </c>
      <c r="C243" s="24" t="s">
        <v>141</v>
      </c>
      <c r="D243" s="24">
        <v>3</v>
      </c>
      <c r="E243" s="24" t="s">
        <v>54</v>
      </c>
      <c r="F243" s="24" t="s">
        <v>55</v>
      </c>
      <c r="G243" s="24" t="s">
        <v>56</v>
      </c>
      <c r="H243" s="24" t="s">
        <v>12</v>
      </c>
      <c r="I243" s="26" t="s">
        <v>13</v>
      </c>
    </row>
    <row r="244" spans="1:9">
      <c r="A244" s="22">
        <v>186</v>
      </c>
      <c r="B244" s="23" t="s">
        <v>16</v>
      </c>
      <c r="C244" s="24" t="s">
        <v>141</v>
      </c>
      <c r="D244" s="24">
        <v>4</v>
      </c>
      <c r="E244" s="24" t="s">
        <v>54</v>
      </c>
      <c r="F244" s="24" t="s">
        <v>55</v>
      </c>
      <c r="G244" s="24" t="s">
        <v>56</v>
      </c>
      <c r="H244" s="24" t="s">
        <v>30</v>
      </c>
      <c r="I244" s="26" t="s">
        <v>13</v>
      </c>
    </row>
    <row r="245" spans="1:9">
      <c r="A245" s="22">
        <v>316</v>
      </c>
      <c r="B245" s="23" t="s">
        <v>79</v>
      </c>
      <c r="C245" s="24" t="s">
        <v>141</v>
      </c>
      <c r="D245" s="24" t="s">
        <v>20</v>
      </c>
      <c r="E245" s="24" t="s">
        <v>54</v>
      </c>
      <c r="F245" s="24" t="s">
        <v>55</v>
      </c>
      <c r="G245" s="24" t="s">
        <v>56</v>
      </c>
      <c r="H245" s="24" t="s">
        <v>30</v>
      </c>
      <c r="I245" s="26" t="s">
        <v>13</v>
      </c>
    </row>
    <row r="246" spans="1:9">
      <c r="A246" s="22">
        <v>251</v>
      </c>
      <c r="B246" s="23" t="s">
        <v>101</v>
      </c>
      <c r="C246" s="24" t="s">
        <v>141</v>
      </c>
      <c r="D246" s="24" t="s">
        <v>20</v>
      </c>
      <c r="E246" s="24" t="s">
        <v>54</v>
      </c>
      <c r="F246" s="24" t="s">
        <v>55</v>
      </c>
      <c r="G246" s="24" t="s">
        <v>56</v>
      </c>
      <c r="H246" s="24" t="s">
        <v>12</v>
      </c>
      <c r="I246" s="26" t="s">
        <v>13</v>
      </c>
    </row>
    <row r="247" spans="1:9">
      <c r="A247" s="22">
        <v>192</v>
      </c>
      <c r="B247" s="23" t="s">
        <v>31</v>
      </c>
      <c r="C247" s="24" t="s">
        <v>141</v>
      </c>
      <c r="D247" s="24" t="s">
        <v>20</v>
      </c>
      <c r="E247" s="24" t="s">
        <v>54</v>
      </c>
      <c r="F247" s="24" t="s">
        <v>55</v>
      </c>
      <c r="G247" s="24" t="s">
        <v>56</v>
      </c>
      <c r="H247" s="24" t="s">
        <v>30</v>
      </c>
      <c r="I247" s="26" t="s">
        <v>13</v>
      </c>
    </row>
    <row r="248" spans="1:9">
      <c r="A248" s="22">
        <v>150</v>
      </c>
      <c r="B248" s="23" t="s">
        <v>99</v>
      </c>
      <c r="C248" s="24" t="s">
        <v>141</v>
      </c>
      <c r="D248" s="24">
        <v>4</v>
      </c>
      <c r="E248" s="24" t="s">
        <v>54</v>
      </c>
      <c r="F248" s="24" t="s">
        <v>55</v>
      </c>
      <c r="G248" s="24" t="s">
        <v>56</v>
      </c>
      <c r="H248" s="24" t="s">
        <v>12</v>
      </c>
      <c r="I248" s="26" t="s">
        <v>13</v>
      </c>
    </row>
    <row r="249" spans="1:9">
      <c r="A249" s="22">
        <v>209</v>
      </c>
      <c r="B249" s="23" t="s">
        <v>49</v>
      </c>
      <c r="C249" s="24" t="s">
        <v>141</v>
      </c>
      <c r="D249" s="24" t="s">
        <v>20</v>
      </c>
      <c r="E249" s="24" t="s">
        <v>54</v>
      </c>
      <c r="F249" s="24" t="s">
        <v>55</v>
      </c>
      <c r="G249" s="24" t="s">
        <v>56</v>
      </c>
      <c r="H249" s="24" t="s">
        <v>30</v>
      </c>
      <c r="I249" s="26" t="s">
        <v>13</v>
      </c>
    </row>
    <row r="250" spans="1:9">
      <c r="A250" s="22">
        <v>130</v>
      </c>
      <c r="B250" s="23" t="s">
        <v>74</v>
      </c>
      <c r="C250" s="24" t="s">
        <v>141</v>
      </c>
      <c r="D250" s="24">
        <v>1</v>
      </c>
      <c r="E250" s="24" t="s">
        <v>9</v>
      </c>
      <c r="F250" s="24" t="s">
        <v>55</v>
      </c>
      <c r="G250" s="24" t="s">
        <v>56</v>
      </c>
      <c r="H250" s="24" t="s">
        <v>30</v>
      </c>
      <c r="I250" s="26" t="s">
        <v>13</v>
      </c>
    </row>
    <row r="251" spans="1:9">
      <c r="A251" s="22">
        <v>293</v>
      </c>
      <c r="B251" s="23" t="s">
        <v>51</v>
      </c>
      <c r="C251" s="24" t="s">
        <v>141</v>
      </c>
      <c r="D251" s="24" t="s">
        <v>20</v>
      </c>
      <c r="E251" s="24" t="s">
        <v>9</v>
      </c>
      <c r="F251" s="24" t="s">
        <v>10</v>
      </c>
      <c r="G251" s="24" t="s">
        <v>11</v>
      </c>
      <c r="H251" s="24" t="s">
        <v>30</v>
      </c>
      <c r="I251" s="26" t="s">
        <v>13</v>
      </c>
    </row>
    <row r="252" spans="1:9">
      <c r="A252" s="22">
        <v>94</v>
      </c>
      <c r="B252" s="23" t="s">
        <v>128</v>
      </c>
      <c r="C252" s="28">
        <v>90000000</v>
      </c>
      <c r="D252" s="24">
        <v>2</v>
      </c>
      <c r="E252" s="24" t="s">
        <v>9</v>
      </c>
      <c r="F252" s="24" t="s">
        <v>10</v>
      </c>
      <c r="G252" s="24" t="s">
        <v>11</v>
      </c>
      <c r="H252" s="24" t="s">
        <v>30</v>
      </c>
      <c r="I252" s="26" t="s">
        <v>13</v>
      </c>
    </row>
    <row r="253" spans="1:9">
      <c r="A253" s="22">
        <v>53</v>
      </c>
      <c r="B253" s="23" t="s">
        <v>82</v>
      </c>
      <c r="C253" s="28">
        <v>50000000</v>
      </c>
      <c r="D253" s="24">
        <v>1</v>
      </c>
      <c r="E253" s="24" t="s">
        <v>9</v>
      </c>
      <c r="F253" s="24" t="s">
        <v>10</v>
      </c>
      <c r="G253" s="24" t="s">
        <v>11</v>
      </c>
      <c r="H253" s="24" t="s">
        <v>30</v>
      </c>
      <c r="I253" s="26" t="s">
        <v>13</v>
      </c>
    </row>
    <row r="254" spans="1:9">
      <c r="A254" s="22">
        <v>153</v>
      </c>
      <c r="B254" s="23" t="s">
        <v>103</v>
      </c>
      <c r="C254" s="27">
        <v>50000000</v>
      </c>
      <c r="D254" s="24" t="s">
        <v>20</v>
      </c>
      <c r="E254" s="24" t="s">
        <v>9</v>
      </c>
      <c r="F254" s="24" t="s">
        <v>10</v>
      </c>
      <c r="G254" s="24" t="s">
        <v>11</v>
      </c>
      <c r="H254" s="24" t="s">
        <v>30</v>
      </c>
      <c r="I254" s="26" t="s">
        <v>13</v>
      </c>
    </row>
    <row r="255" spans="1:9">
      <c r="A255" s="22">
        <v>1</v>
      </c>
      <c r="B255" s="23" t="s">
        <v>8</v>
      </c>
      <c r="C255" s="28">
        <v>50000000</v>
      </c>
      <c r="D255" s="24">
        <v>1</v>
      </c>
      <c r="E255" s="24" t="s">
        <v>9</v>
      </c>
      <c r="F255" s="24" t="s">
        <v>10</v>
      </c>
      <c r="G255" s="24" t="s">
        <v>11</v>
      </c>
      <c r="H255" s="24" t="s">
        <v>12</v>
      </c>
      <c r="I255" s="26" t="s">
        <v>13</v>
      </c>
    </row>
    <row r="256" spans="1:9">
      <c r="A256" s="22">
        <v>25</v>
      </c>
      <c r="B256" s="23" t="s">
        <v>48</v>
      </c>
      <c r="C256" s="28">
        <v>20000000</v>
      </c>
      <c r="D256" s="24">
        <v>2</v>
      </c>
      <c r="E256" s="24" t="s">
        <v>9</v>
      </c>
      <c r="F256" s="24" t="s">
        <v>10</v>
      </c>
      <c r="G256" s="24" t="s">
        <v>27</v>
      </c>
      <c r="H256" s="24" t="s">
        <v>12</v>
      </c>
      <c r="I256" s="26" t="s">
        <v>13</v>
      </c>
    </row>
    <row r="257" spans="1:9">
      <c r="A257" s="22">
        <v>163</v>
      </c>
      <c r="B257" s="23" t="s">
        <v>113</v>
      </c>
      <c r="C257" s="27">
        <v>20000000</v>
      </c>
      <c r="D257" s="24" t="s">
        <v>20</v>
      </c>
      <c r="E257" s="24" t="s">
        <v>9</v>
      </c>
      <c r="F257" s="24" t="s">
        <v>10</v>
      </c>
      <c r="G257" s="24" t="s">
        <v>27</v>
      </c>
      <c r="H257" s="24" t="s">
        <v>30</v>
      </c>
      <c r="I257" s="26" t="s">
        <v>13</v>
      </c>
    </row>
    <row r="258" spans="1:9">
      <c r="A258" s="22">
        <v>205</v>
      </c>
      <c r="B258" s="23" t="s">
        <v>45</v>
      </c>
      <c r="C258" s="27">
        <v>20000000</v>
      </c>
      <c r="D258" s="24">
        <v>3</v>
      </c>
      <c r="E258" s="24" t="s">
        <v>9</v>
      </c>
      <c r="F258" s="24" t="s">
        <v>10</v>
      </c>
      <c r="G258" s="24" t="s">
        <v>11</v>
      </c>
      <c r="H258" s="24" t="s">
        <v>12</v>
      </c>
      <c r="I258" s="26" t="s">
        <v>13</v>
      </c>
    </row>
    <row r="259" spans="1:9">
      <c r="A259" s="22">
        <v>176</v>
      </c>
      <c r="B259" s="23" t="s">
        <v>127</v>
      </c>
      <c r="C259" s="27">
        <v>10000000</v>
      </c>
      <c r="D259" s="24" t="s">
        <v>20</v>
      </c>
      <c r="E259" s="24" t="s">
        <v>9</v>
      </c>
      <c r="F259" s="24" t="s">
        <v>10</v>
      </c>
      <c r="G259" s="24" t="s">
        <v>11</v>
      </c>
      <c r="H259" s="24" t="s">
        <v>30</v>
      </c>
      <c r="I259" s="26" t="s">
        <v>13</v>
      </c>
    </row>
    <row r="260" spans="1:9">
      <c r="A260" s="22">
        <v>241</v>
      </c>
      <c r="B260" s="23" t="s">
        <v>88</v>
      </c>
      <c r="C260" s="27">
        <v>10000000</v>
      </c>
      <c r="D260" s="24">
        <v>4</v>
      </c>
      <c r="E260" s="24" t="s">
        <v>9</v>
      </c>
      <c r="F260" s="24" t="s">
        <v>10</v>
      </c>
      <c r="G260" s="24" t="s">
        <v>27</v>
      </c>
      <c r="H260" s="24" t="s">
        <v>30</v>
      </c>
      <c r="I260" s="26" t="s">
        <v>13</v>
      </c>
    </row>
    <row r="261" spans="1:9">
      <c r="A261" s="22">
        <v>306</v>
      </c>
      <c r="B261" s="23" t="s">
        <v>67</v>
      </c>
      <c r="C261" s="27">
        <v>10000000</v>
      </c>
      <c r="D261" s="24">
        <v>2</v>
      </c>
      <c r="E261" s="24" t="s">
        <v>9</v>
      </c>
      <c r="F261" s="24" t="s">
        <v>10</v>
      </c>
      <c r="G261" s="24" t="s">
        <v>11</v>
      </c>
      <c r="H261" s="24" t="s">
        <v>12</v>
      </c>
      <c r="I261" s="26" t="s">
        <v>13</v>
      </c>
    </row>
    <row r="262" spans="1:9">
      <c r="A262" s="22">
        <v>13</v>
      </c>
      <c r="B262" s="23" t="s">
        <v>36</v>
      </c>
      <c r="C262" s="28">
        <v>1000000</v>
      </c>
      <c r="D262" s="24">
        <v>2</v>
      </c>
      <c r="E262" s="24" t="s">
        <v>9</v>
      </c>
      <c r="F262" s="24" t="s">
        <v>10</v>
      </c>
      <c r="G262" s="24" t="s">
        <v>27</v>
      </c>
      <c r="H262" s="24" t="s">
        <v>12</v>
      </c>
      <c r="I262" s="26" t="s">
        <v>13</v>
      </c>
    </row>
    <row r="263" spans="1:9">
      <c r="A263" s="22">
        <v>107</v>
      </c>
      <c r="B263" s="23" t="s">
        <v>47</v>
      </c>
      <c r="C263" s="27">
        <v>1000000</v>
      </c>
      <c r="D263" s="24" t="s">
        <v>20</v>
      </c>
      <c r="E263" s="24" t="s">
        <v>9</v>
      </c>
      <c r="F263" s="24" t="s">
        <v>10</v>
      </c>
      <c r="G263" s="24" t="s">
        <v>27</v>
      </c>
      <c r="H263" s="24" t="s">
        <v>30</v>
      </c>
      <c r="I263" s="26" t="s">
        <v>13</v>
      </c>
    </row>
    <row r="264" spans="1:9">
      <c r="A264" s="22">
        <v>84</v>
      </c>
      <c r="B264" s="23" t="s">
        <v>118</v>
      </c>
      <c r="C264" s="23" t="s">
        <v>141</v>
      </c>
      <c r="D264" s="24">
        <v>1</v>
      </c>
      <c r="E264" s="24" t="s">
        <v>9</v>
      </c>
      <c r="F264" s="24" t="s">
        <v>17</v>
      </c>
      <c r="G264" s="25" t="s">
        <v>23</v>
      </c>
      <c r="H264" s="24" t="s">
        <v>12</v>
      </c>
      <c r="I264" s="26" t="s">
        <v>13</v>
      </c>
    </row>
    <row r="265" spans="1:9">
      <c r="A265" s="22">
        <v>5</v>
      </c>
      <c r="B265" s="23" t="s">
        <v>22</v>
      </c>
      <c r="C265" s="23" t="s">
        <v>141</v>
      </c>
      <c r="D265" s="24">
        <v>1</v>
      </c>
      <c r="E265" s="24" t="s">
        <v>9</v>
      </c>
      <c r="F265" s="24" t="s">
        <v>17</v>
      </c>
      <c r="G265" s="25" t="s">
        <v>23</v>
      </c>
      <c r="H265" s="24" t="s">
        <v>12</v>
      </c>
      <c r="I265" s="26" t="s">
        <v>13</v>
      </c>
    </row>
    <row r="266" spans="1:9">
      <c r="A266" s="22">
        <v>117</v>
      </c>
      <c r="B266" s="23" t="s">
        <v>60</v>
      </c>
      <c r="C266" s="24" t="s">
        <v>141</v>
      </c>
      <c r="D266" s="24">
        <v>4</v>
      </c>
      <c r="E266" s="24" t="s">
        <v>9</v>
      </c>
      <c r="F266" s="24" t="s">
        <v>17</v>
      </c>
      <c r="G266" s="24" t="s">
        <v>18</v>
      </c>
      <c r="H266" s="24" t="s">
        <v>30</v>
      </c>
      <c r="I266" s="26" t="s">
        <v>13</v>
      </c>
    </row>
    <row r="267" spans="1:9">
      <c r="A267" s="22">
        <v>3</v>
      </c>
      <c r="B267" s="23" t="s">
        <v>16</v>
      </c>
      <c r="C267" s="23" t="s">
        <v>141</v>
      </c>
      <c r="D267" s="24">
        <v>4</v>
      </c>
      <c r="E267" s="24" t="s">
        <v>9</v>
      </c>
      <c r="F267" s="24" t="s">
        <v>17</v>
      </c>
      <c r="G267" s="25" t="s">
        <v>18</v>
      </c>
      <c r="H267" s="24" t="s">
        <v>12</v>
      </c>
      <c r="I267" s="26" t="s">
        <v>13</v>
      </c>
    </row>
    <row r="268" spans="1:9">
      <c r="A268" s="22">
        <v>140</v>
      </c>
      <c r="B268" s="23" t="s">
        <v>86</v>
      </c>
      <c r="C268" s="24" t="s">
        <v>141</v>
      </c>
      <c r="D268" s="24" t="s">
        <v>20</v>
      </c>
      <c r="E268" s="24" t="s">
        <v>9</v>
      </c>
      <c r="F268" s="24" t="s">
        <v>17</v>
      </c>
      <c r="G268" s="24" t="s">
        <v>18</v>
      </c>
      <c r="H268" s="24" t="s">
        <v>12</v>
      </c>
      <c r="I268" s="26" t="s">
        <v>13</v>
      </c>
    </row>
    <row r="269" spans="1:9">
      <c r="A269" s="22">
        <v>218</v>
      </c>
      <c r="B269" s="23" t="s">
        <v>61</v>
      </c>
      <c r="C269" s="24" t="s">
        <v>141</v>
      </c>
      <c r="D269" s="24">
        <v>1</v>
      </c>
      <c r="E269" s="24" t="s">
        <v>9</v>
      </c>
      <c r="F269" s="24" t="s">
        <v>17</v>
      </c>
      <c r="G269" s="24" t="s">
        <v>23</v>
      </c>
      <c r="H269" s="24" t="s">
        <v>12</v>
      </c>
      <c r="I269" s="26" t="s">
        <v>13</v>
      </c>
    </row>
    <row r="270" spans="1:9">
      <c r="A270" s="22">
        <v>270</v>
      </c>
      <c r="B270" s="23" t="s">
        <v>122</v>
      </c>
      <c r="C270" s="27">
        <v>100000000</v>
      </c>
      <c r="D270" s="24">
        <v>4</v>
      </c>
      <c r="E270" s="24" t="s">
        <v>9</v>
      </c>
      <c r="F270" s="24" t="s">
        <v>17</v>
      </c>
      <c r="G270" s="24" t="s">
        <v>18</v>
      </c>
      <c r="H270" s="24" t="s">
        <v>30</v>
      </c>
      <c r="I270" s="26" t="s">
        <v>13</v>
      </c>
    </row>
    <row r="271" spans="1:9">
      <c r="A271" s="22">
        <v>228</v>
      </c>
      <c r="B271" s="23" t="s">
        <v>71</v>
      </c>
      <c r="C271" s="27">
        <v>1000000</v>
      </c>
      <c r="D271" s="24">
        <v>4</v>
      </c>
      <c r="E271" s="24" t="s">
        <v>9</v>
      </c>
      <c r="F271" s="24" t="s">
        <v>17</v>
      </c>
      <c r="G271" s="24" t="s">
        <v>23</v>
      </c>
      <c r="H271" s="24" t="s">
        <v>12</v>
      </c>
      <c r="I271" s="26" t="s">
        <v>13</v>
      </c>
    </row>
    <row r="272" spans="1:9">
      <c r="A272" s="22">
        <v>131</v>
      </c>
      <c r="B272" s="23" t="s">
        <v>75</v>
      </c>
      <c r="C272" s="24" t="s">
        <v>141</v>
      </c>
      <c r="D272" s="24">
        <v>1</v>
      </c>
      <c r="E272" s="24" t="s">
        <v>15</v>
      </c>
      <c r="F272" s="24" t="s">
        <v>55</v>
      </c>
      <c r="G272" s="24" t="s">
        <v>56</v>
      </c>
      <c r="H272" s="24" t="s">
        <v>12</v>
      </c>
      <c r="I272" s="26" t="s">
        <v>13</v>
      </c>
    </row>
    <row r="273" spans="1:9">
      <c r="A273" s="22">
        <v>185</v>
      </c>
      <c r="B273" s="23" t="s">
        <v>14</v>
      </c>
      <c r="C273" s="27">
        <v>1000000</v>
      </c>
      <c r="D273" s="24">
        <v>2</v>
      </c>
      <c r="E273" s="24" t="s">
        <v>15</v>
      </c>
      <c r="F273" s="24" t="s">
        <v>55</v>
      </c>
      <c r="G273" s="24" t="s">
        <v>80</v>
      </c>
      <c r="H273" s="24" t="s">
        <v>12</v>
      </c>
      <c r="I273" s="26" t="s">
        <v>13</v>
      </c>
    </row>
    <row r="274" spans="1:9">
      <c r="A274" s="22">
        <v>296</v>
      </c>
      <c r="B274" s="23" t="s">
        <v>57</v>
      </c>
      <c r="C274" s="24" t="s">
        <v>141</v>
      </c>
      <c r="D274" s="24">
        <v>3</v>
      </c>
      <c r="E274" s="24" t="s">
        <v>15</v>
      </c>
      <c r="F274" s="24" t="s">
        <v>10</v>
      </c>
      <c r="G274" s="24" t="s">
        <v>27</v>
      </c>
      <c r="H274" s="24" t="s">
        <v>12</v>
      </c>
      <c r="I274" s="26" t="s">
        <v>13</v>
      </c>
    </row>
    <row r="275" spans="1:9">
      <c r="A275" s="22">
        <v>196</v>
      </c>
      <c r="B275" s="23" t="s">
        <v>36</v>
      </c>
      <c r="C275" s="24" t="s">
        <v>141</v>
      </c>
      <c r="D275" s="24">
        <v>3</v>
      </c>
      <c r="E275" s="24" t="s">
        <v>15</v>
      </c>
      <c r="F275" s="24" t="s">
        <v>10</v>
      </c>
      <c r="G275" s="24" t="s">
        <v>27</v>
      </c>
      <c r="H275" s="24" t="s">
        <v>30</v>
      </c>
      <c r="I275" s="26" t="s">
        <v>13</v>
      </c>
    </row>
    <row r="276" spans="1:9">
      <c r="A276" s="22">
        <v>242</v>
      </c>
      <c r="B276" s="23" t="s">
        <v>90</v>
      </c>
      <c r="C276" s="24" t="s">
        <v>141</v>
      </c>
      <c r="D276" s="24">
        <v>1</v>
      </c>
      <c r="E276" s="24" t="s">
        <v>15</v>
      </c>
      <c r="F276" s="24" t="s">
        <v>10</v>
      </c>
      <c r="G276" s="24" t="s">
        <v>11</v>
      </c>
      <c r="H276" s="24" t="s">
        <v>12</v>
      </c>
      <c r="I276" s="26" t="s">
        <v>13</v>
      </c>
    </row>
    <row r="277" spans="1:9">
      <c r="A277" s="22">
        <v>284</v>
      </c>
      <c r="B277" s="23" t="s">
        <v>42</v>
      </c>
      <c r="C277" s="24" t="s">
        <v>141</v>
      </c>
      <c r="D277" s="24">
        <v>1</v>
      </c>
      <c r="E277" s="24" t="s">
        <v>15</v>
      </c>
      <c r="F277" s="24" t="s">
        <v>10</v>
      </c>
      <c r="G277" s="24" t="s">
        <v>27</v>
      </c>
      <c r="H277" s="24" t="s">
        <v>30</v>
      </c>
      <c r="I277" s="26" t="s">
        <v>13</v>
      </c>
    </row>
    <row r="278" spans="1:9">
      <c r="A278" s="22">
        <v>65</v>
      </c>
      <c r="B278" s="23" t="s">
        <v>97</v>
      </c>
      <c r="C278" s="23" t="s">
        <v>141</v>
      </c>
      <c r="D278" s="24" t="s">
        <v>20</v>
      </c>
      <c r="E278" s="24" t="s">
        <v>15</v>
      </c>
      <c r="F278" s="24" t="s">
        <v>10</v>
      </c>
      <c r="G278" s="25" t="s">
        <v>11</v>
      </c>
      <c r="H278" s="24" t="s">
        <v>30</v>
      </c>
      <c r="I278" s="26" t="s">
        <v>13</v>
      </c>
    </row>
    <row r="279" spans="1:9">
      <c r="A279" s="22">
        <v>250</v>
      </c>
      <c r="B279" s="23" t="s">
        <v>99</v>
      </c>
      <c r="C279" s="24" t="s">
        <v>141</v>
      </c>
      <c r="D279" s="24">
        <v>4</v>
      </c>
      <c r="E279" s="24" t="s">
        <v>15</v>
      </c>
      <c r="F279" s="24" t="s">
        <v>10</v>
      </c>
      <c r="G279" s="24" t="s">
        <v>11</v>
      </c>
      <c r="H279" s="24" t="s">
        <v>12</v>
      </c>
      <c r="I279" s="26" t="s">
        <v>13</v>
      </c>
    </row>
    <row r="280" spans="1:9">
      <c r="A280" s="22">
        <v>315</v>
      </c>
      <c r="B280" s="23" t="s">
        <v>78</v>
      </c>
      <c r="C280" s="27">
        <v>90000000</v>
      </c>
      <c r="D280" s="24" t="s">
        <v>20</v>
      </c>
      <c r="E280" s="24" t="s">
        <v>15</v>
      </c>
      <c r="F280" s="24" t="s">
        <v>10</v>
      </c>
      <c r="G280" s="24" t="s">
        <v>11</v>
      </c>
      <c r="H280" s="24" t="s">
        <v>12</v>
      </c>
      <c r="I280" s="26" t="s">
        <v>13</v>
      </c>
    </row>
    <row r="281" spans="1:9">
      <c r="A281" s="22">
        <v>63</v>
      </c>
      <c r="B281" s="23" t="s">
        <v>94</v>
      </c>
      <c r="C281" s="28">
        <v>20000000</v>
      </c>
      <c r="D281" s="24">
        <v>3</v>
      </c>
      <c r="E281" s="24" t="s">
        <v>15</v>
      </c>
      <c r="F281" s="24" t="s">
        <v>10</v>
      </c>
      <c r="G281" s="24" t="s">
        <v>27</v>
      </c>
      <c r="H281" s="24" t="s">
        <v>30</v>
      </c>
      <c r="I281" s="26" t="s">
        <v>13</v>
      </c>
    </row>
    <row r="282" spans="1:9">
      <c r="A282" s="22">
        <v>70</v>
      </c>
      <c r="B282" s="23" t="s">
        <v>103</v>
      </c>
      <c r="C282" s="28">
        <v>20000000</v>
      </c>
      <c r="D282" s="24" t="s">
        <v>20</v>
      </c>
      <c r="E282" s="24" t="s">
        <v>15</v>
      </c>
      <c r="F282" s="24" t="s">
        <v>10</v>
      </c>
      <c r="G282" s="24" t="s">
        <v>11</v>
      </c>
      <c r="H282" s="24" t="s">
        <v>12</v>
      </c>
      <c r="I282" s="26" t="s">
        <v>13</v>
      </c>
    </row>
    <row r="283" spans="1:9">
      <c r="A283" s="22">
        <v>2</v>
      </c>
      <c r="B283" s="23" t="s">
        <v>14</v>
      </c>
      <c r="C283" s="28">
        <v>10000000</v>
      </c>
      <c r="D283" s="24">
        <v>1</v>
      </c>
      <c r="E283" s="24" t="s">
        <v>15</v>
      </c>
      <c r="F283" s="24" t="s">
        <v>10</v>
      </c>
      <c r="G283" s="24" t="s">
        <v>11</v>
      </c>
      <c r="H283" s="24" t="s">
        <v>12</v>
      </c>
      <c r="I283" s="26" t="s">
        <v>13</v>
      </c>
    </row>
    <row r="284" spans="1:9">
      <c r="A284" s="22">
        <v>166</v>
      </c>
      <c r="B284" s="23" t="s">
        <v>117</v>
      </c>
      <c r="C284" s="27">
        <v>10000000</v>
      </c>
      <c r="D284" s="24">
        <v>2</v>
      </c>
      <c r="E284" s="24" t="s">
        <v>15</v>
      </c>
      <c r="F284" s="24" t="s">
        <v>10</v>
      </c>
      <c r="G284" s="24" t="s">
        <v>11</v>
      </c>
      <c r="H284" s="24" t="s">
        <v>12</v>
      </c>
      <c r="I284" s="26" t="s">
        <v>13</v>
      </c>
    </row>
    <row r="285" spans="1:9">
      <c r="A285" s="22">
        <v>177</v>
      </c>
      <c r="B285" s="23" t="s">
        <v>128</v>
      </c>
      <c r="C285" s="27">
        <v>10000000</v>
      </c>
      <c r="D285" s="24">
        <v>2</v>
      </c>
      <c r="E285" s="24" t="s">
        <v>15</v>
      </c>
      <c r="F285" s="24" t="s">
        <v>10</v>
      </c>
      <c r="G285" s="24" t="s">
        <v>11</v>
      </c>
      <c r="H285" s="24" t="s">
        <v>12</v>
      </c>
      <c r="I285" s="26" t="s">
        <v>13</v>
      </c>
    </row>
    <row r="286" spans="1:9">
      <c r="A286" s="22">
        <v>154</v>
      </c>
      <c r="B286" s="23" t="s">
        <v>104</v>
      </c>
      <c r="C286" s="27">
        <v>10000000</v>
      </c>
      <c r="D286" s="24" t="s">
        <v>20</v>
      </c>
      <c r="E286" s="24" t="s">
        <v>15</v>
      </c>
      <c r="F286" s="24" t="s">
        <v>10</v>
      </c>
      <c r="G286" s="24" t="s">
        <v>11</v>
      </c>
      <c r="H286" s="24" t="s">
        <v>12</v>
      </c>
      <c r="I286" s="26" t="s">
        <v>13</v>
      </c>
    </row>
    <row r="287" spans="1:9">
      <c r="A287" s="22">
        <v>120</v>
      </c>
      <c r="B287" s="23" t="s">
        <v>63</v>
      </c>
      <c r="C287" s="27">
        <v>10000000</v>
      </c>
      <c r="D287" s="24">
        <v>1</v>
      </c>
      <c r="E287" s="24" t="s">
        <v>15</v>
      </c>
      <c r="F287" s="24" t="s">
        <v>10</v>
      </c>
      <c r="G287" s="24" t="s">
        <v>27</v>
      </c>
      <c r="H287" s="24" t="s">
        <v>30</v>
      </c>
      <c r="I287" s="26" t="s">
        <v>13</v>
      </c>
    </row>
    <row r="288" spans="1:9">
      <c r="A288" s="22">
        <v>219</v>
      </c>
      <c r="B288" s="23" t="s">
        <v>62</v>
      </c>
      <c r="C288" s="27">
        <v>1000000</v>
      </c>
      <c r="D288" s="24" t="s">
        <v>20</v>
      </c>
      <c r="E288" s="24" t="s">
        <v>15</v>
      </c>
      <c r="F288" s="24" t="s">
        <v>10</v>
      </c>
      <c r="G288" s="24" t="s">
        <v>27</v>
      </c>
      <c r="H288" s="24" t="s">
        <v>30</v>
      </c>
      <c r="I288" s="26" t="s">
        <v>13</v>
      </c>
    </row>
    <row r="289" spans="1:9">
      <c r="A289" s="22">
        <v>307</v>
      </c>
      <c r="B289" s="23" t="s">
        <v>68</v>
      </c>
      <c r="C289" s="24" t="s">
        <v>141</v>
      </c>
      <c r="D289" s="24" t="s">
        <v>20</v>
      </c>
      <c r="E289" s="24" t="s">
        <v>15</v>
      </c>
      <c r="F289" s="24" t="s">
        <v>17</v>
      </c>
      <c r="G289" s="24" t="s">
        <v>18</v>
      </c>
      <c r="H289" s="24" t="s">
        <v>12</v>
      </c>
      <c r="I289" s="26" t="s">
        <v>13</v>
      </c>
    </row>
    <row r="290" spans="1:9">
      <c r="A290" s="22">
        <v>261</v>
      </c>
      <c r="B290" s="23" t="s">
        <v>112</v>
      </c>
      <c r="C290" s="24" t="s">
        <v>141</v>
      </c>
      <c r="D290" s="24" t="s">
        <v>20</v>
      </c>
      <c r="E290" s="24" t="s">
        <v>15</v>
      </c>
      <c r="F290" s="24" t="s">
        <v>17</v>
      </c>
      <c r="G290" s="24" t="s">
        <v>18</v>
      </c>
      <c r="H290" s="24" t="s">
        <v>12</v>
      </c>
      <c r="I290" s="26" t="s">
        <v>13</v>
      </c>
    </row>
    <row r="291" spans="1:9">
      <c r="A291" s="22">
        <v>85</v>
      </c>
      <c r="B291" s="23" t="s">
        <v>119</v>
      </c>
      <c r="C291" s="23" t="s">
        <v>141</v>
      </c>
      <c r="D291" s="24">
        <v>1</v>
      </c>
      <c r="E291" s="24" t="s">
        <v>15</v>
      </c>
      <c r="F291" s="24" t="s">
        <v>17</v>
      </c>
      <c r="G291" s="25" t="s">
        <v>18</v>
      </c>
      <c r="H291" s="24" t="s">
        <v>12</v>
      </c>
      <c r="I291" s="26" t="s">
        <v>13</v>
      </c>
    </row>
    <row r="292" spans="1:9">
      <c r="A292" s="22">
        <v>33</v>
      </c>
      <c r="B292" s="23" t="s">
        <v>59</v>
      </c>
      <c r="C292" s="23" t="s">
        <v>141</v>
      </c>
      <c r="D292" s="24">
        <v>1</v>
      </c>
      <c r="E292" s="24" t="s">
        <v>15</v>
      </c>
      <c r="F292" s="24" t="s">
        <v>17</v>
      </c>
      <c r="G292" s="25" t="s">
        <v>18</v>
      </c>
      <c r="H292" s="24" t="s">
        <v>12</v>
      </c>
      <c r="I292" s="26" t="s">
        <v>13</v>
      </c>
    </row>
    <row r="293" spans="1:9">
      <c r="A293" s="22">
        <v>97</v>
      </c>
      <c r="B293" s="23" t="s">
        <v>132</v>
      </c>
      <c r="C293" s="23" t="s">
        <v>141</v>
      </c>
      <c r="D293" s="24">
        <v>2</v>
      </c>
      <c r="E293" s="24" t="s">
        <v>15</v>
      </c>
      <c r="F293" s="24" t="s">
        <v>17</v>
      </c>
      <c r="G293" s="25" t="s">
        <v>23</v>
      </c>
      <c r="H293" s="24" t="s">
        <v>12</v>
      </c>
      <c r="I293" s="26" t="s">
        <v>13</v>
      </c>
    </row>
    <row r="294" spans="1:9">
      <c r="A294" s="22">
        <v>74</v>
      </c>
      <c r="B294" s="23" t="s">
        <v>107</v>
      </c>
      <c r="C294" s="23" t="s">
        <v>141</v>
      </c>
      <c r="D294" s="24">
        <v>3</v>
      </c>
      <c r="E294" s="24" t="s">
        <v>15</v>
      </c>
      <c r="F294" s="24" t="s">
        <v>17</v>
      </c>
      <c r="G294" s="25" t="s">
        <v>23</v>
      </c>
      <c r="H294" s="24" t="s">
        <v>30</v>
      </c>
      <c r="I294" s="26" t="s">
        <v>13</v>
      </c>
    </row>
    <row r="295" spans="1:9">
      <c r="A295" s="22">
        <v>231</v>
      </c>
      <c r="B295" s="23" t="s">
        <v>75</v>
      </c>
      <c r="C295" s="27">
        <v>1000000</v>
      </c>
      <c r="D295" s="24" t="s">
        <v>20</v>
      </c>
      <c r="E295" s="24" t="s">
        <v>15</v>
      </c>
      <c r="F295" s="24" t="s">
        <v>17</v>
      </c>
      <c r="G295" s="24" t="s">
        <v>18</v>
      </c>
      <c r="H295" s="24" t="s">
        <v>12</v>
      </c>
      <c r="I295" s="26" t="s">
        <v>13</v>
      </c>
    </row>
    <row r="296" spans="1:9">
      <c r="A296" s="22">
        <v>138</v>
      </c>
      <c r="B296" s="23" t="s">
        <v>84</v>
      </c>
      <c r="C296" s="24" t="s">
        <v>141</v>
      </c>
      <c r="D296" s="24">
        <v>2</v>
      </c>
      <c r="E296" s="24" t="s">
        <v>21</v>
      </c>
      <c r="F296" s="24" t="s">
        <v>55</v>
      </c>
      <c r="G296" s="24" t="s">
        <v>56</v>
      </c>
      <c r="H296" s="24" t="s">
        <v>12</v>
      </c>
      <c r="I296" s="26" t="s">
        <v>96</v>
      </c>
    </row>
    <row r="297" spans="1:9">
      <c r="A297" s="22">
        <v>266</v>
      </c>
      <c r="B297" s="23" t="s">
        <v>118</v>
      </c>
      <c r="C297" s="27">
        <v>10000000</v>
      </c>
      <c r="D297" s="24" t="s">
        <v>20</v>
      </c>
      <c r="E297" s="24" t="s">
        <v>21</v>
      </c>
      <c r="F297" s="24" t="s">
        <v>55</v>
      </c>
      <c r="G297" s="24" t="s">
        <v>56</v>
      </c>
      <c r="H297" s="24" t="s">
        <v>30</v>
      </c>
      <c r="I297" s="26" t="s">
        <v>96</v>
      </c>
    </row>
    <row r="298" spans="1:9">
      <c r="A298" s="22">
        <v>229</v>
      </c>
      <c r="B298" s="23" t="s">
        <v>73</v>
      </c>
      <c r="C298" s="24" t="s">
        <v>141</v>
      </c>
      <c r="D298" s="24">
        <v>2</v>
      </c>
      <c r="E298" s="24" t="s">
        <v>21</v>
      </c>
      <c r="F298" s="24" t="s">
        <v>10</v>
      </c>
      <c r="G298" s="24" t="s">
        <v>11</v>
      </c>
      <c r="H298" s="24" t="s">
        <v>12</v>
      </c>
      <c r="I298" s="26" t="s">
        <v>96</v>
      </c>
    </row>
    <row r="299" spans="1:9">
      <c r="A299" s="22">
        <v>101</v>
      </c>
      <c r="B299" s="23" t="s">
        <v>41</v>
      </c>
      <c r="C299" s="27">
        <v>50000000</v>
      </c>
      <c r="D299" s="24" t="s">
        <v>20</v>
      </c>
      <c r="E299" s="24" t="s">
        <v>21</v>
      </c>
      <c r="F299" s="24" t="s">
        <v>10</v>
      </c>
      <c r="G299" s="24" t="s">
        <v>11</v>
      </c>
      <c r="H299" s="24" t="s">
        <v>12</v>
      </c>
      <c r="I299" s="26" t="s">
        <v>96</v>
      </c>
    </row>
    <row r="300" spans="1:9">
      <c r="A300" s="22">
        <v>64</v>
      </c>
      <c r="B300" s="23" t="s">
        <v>95</v>
      </c>
      <c r="C300" s="28">
        <v>50000000</v>
      </c>
      <c r="D300" s="24">
        <v>4</v>
      </c>
      <c r="E300" s="24" t="s">
        <v>21</v>
      </c>
      <c r="F300" s="24" t="s">
        <v>10</v>
      </c>
      <c r="G300" s="24" t="s">
        <v>11</v>
      </c>
      <c r="H300" s="24" t="s">
        <v>12</v>
      </c>
      <c r="I300" s="29" t="s">
        <v>96</v>
      </c>
    </row>
    <row r="301" spans="1:9">
      <c r="A301" s="22">
        <v>175</v>
      </c>
      <c r="B301" s="23" t="s">
        <v>126</v>
      </c>
      <c r="C301" s="27">
        <v>10000000</v>
      </c>
      <c r="D301" s="24" t="s">
        <v>20</v>
      </c>
      <c r="E301" s="24" t="s">
        <v>25</v>
      </c>
      <c r="F301" s="24" t="s">
        <v>10</v>
      </c>
      <c r="G301" s="24" t="s">
        <v>27</v>
      </c>
      <c r="H301" s="24" t="s">
        <v>12</v>
      </c>
      <c r="I301" s="26" t="s">
        <v>96</v>
      </c>
    </row>
    <row r="302" spans="1:9">
      <c r="A302" s="22">
        <v>303</v>
      </c>
      <c r="B302" s="23" t="s">
        <v>64</v>
      </c>
      <c r="C302" s="24" t="s">
        <v>141</v>
      </c>
      <c r="D302" s="24" t="s">
        <v>20</v>
      </c>
      <c r="E302" s="24" t="s">
        <v>54</v>
      </c>
      <c r="F302" s="24" t="s">
        <v>55</v>
      </c>
      <c r="G302" s="24" t="s">
        <v>56</v>
      </c>
      <c r="H302" s="24" t="s">
        <v>12</v>
      </c>
      <c r="I302" s="26" t="s">
        <v>96</v>
      </c>
    </row>
    <row r="303" spans="1:9">
      <c r="A303" s="22">
        <v>320</v>
      </c>
      <c r="B303" s="23" t="s">
        <v>84</v>
      </c>
      <c r="C303" s="27">
        <v>10000000</v>
      </c>
      <c r="D303" s="24">
        <v>2</v>
      </c>
      <c r="E303" s="24" t="s">
        <v>21</v>
      </c>
      <c r="F303" s="24" t="s">
        <v>55</v>
      </c>
      <c r="G303" s="24" t="s">
        <v>56</v>
      </c>
      <c r="H303" s="24" t="s">
        <v>12</v>
      </c>
      <c r="I303" s="26" t="s">
        <v>115</v>
      </c>
    </row>
    <row r="304" spans="1:9">
      <c r="A304" s="22">
        <v>246</v>
      </c>
      <c r="B304" s="23" t="s">
        <v>94</v>
      </c>
      <c r="C304" s="27">
        <v>10000000</v>
      </c>
      <c r="D304" s="24">
        <v>2</v>
      </c>
      <c r="E304" s="24" t="s">
        <v>21</v>
      </c>
      <c r="F304" s="24" t="s">
        <v>10</v>
      </c>
      <c r="G304" s="24" t="s">
        <v>11</v>
      </c>
      <c r="H304" s="24" t="s">
        <v>12</v>
      </c>
      <c r="I304" s="26" t="s">
        <v>115</v>
      </c>
    </row>
    <row r="305" spans="1:9">
      <c r="A305" s="22">
        <v>118</v>
      </c>
      <c r="B305" s="23" t="s">
        <v>61</v>
      </c>
      <c r="C305" s="27">
        <v>1000000</v>
      </c>
      <c r="D305" s="24" t="s">
        <v>20</v>
      </c>
      <c r="E305" s="24" t="s">
        <v>21</v>
      </c>
      <c r="F305" s="24" t="s">
        <v>10</v>
      </c>
      <c r="G305" s="24" t="s">
        <v>11</v>
      </c>
      <c r="H305" s="24" t="s">
        <v>12</v>
      </c>
      <c r="I305" s="26" t="s">
        <v>115</v>
      </c>
    </row>
    <row r="306" spans="1:9">
      <c r="A306" s="22">
        <v>155</v>
      </c>
      <c r="B306" s="23" t="s">
        <v>105</v>
      </c>
      <c r="C306" s="27">
        <v>30000000</v>
      </c>
      <c r="D306" s="24">
        <v>2</v>
      </c>
      <c r="E306" s="24" t="s">
        <v>25</v>
      </c>
      <c r="F306" s="24" t="s">
        <v>10</v>
      </c>
      <c r="G306" s="24" t="s">
        <v>27</v>
      </c>
      <c r="H306" s="24" t="s">
        <v>12</v>
      </c>
      <c r="I306" s="26" t="s">
        <v>115</v>
      </c>
    </row>
    <row r="307" spans="1:9">
      <c r="A307" s="22">
        <v>81</v>
      </c>
      <c r="B307" s="23" t="s">
        <v>114</v>
      </c>
      <c r="C307" s="23" t="s">
        <v>141</v>
      </c>
      <c r="D307" s="24" t="s">
        <v>20</v>
      </c>
      <c r="E307" s="24" t="s">
        <v>54</v>
      </c>
      <c r="F307" s="24" t="s">
        <v>55</v>
      </c>
      <c r="G307" s="24" t="s">
        <v>56</v>
      </c>
      <c r="H307" s="24" t="s">
        <v>12</v>
      </c>
      <c r="I307" s="30" t="s">
        <v>115</v>
      </c>
    </row>
    <row r="308" spans="1:9">
      <c r="A308" s="22">
        <v>283</v>
      </c>
      <c r="B308" s="23" t="s">
        <v>41</v>
      </c>
      <c r="C308" s="27">
        <v>100000000</v>
      </c>
      <c r="D308" s="24" t="s">
        <v>20</v>
      </c>
      <c r="E308" s="24" t="s">
        <v>9</v>
      </c>
      <c r="F308" s="24" t="s">
        <v>10</v>
      </c>
      <c r="G308" s="24" t="s">
        <v>27</v>
      </c>
      <c r="H308" s="24" t="s">
        <v>12</v>
      </c>
      <c r="I308" s="26" t="s">
        <v>115</v>
      </c>
    </row>
    <row r="309" spans="1:9">
      <c r="A309" s="22">
        <v>214</v>
      </c>
      <c r="B309" s="23" t="s">
        <v>57</v>
      </c>
      <c r="C309" s="27">
        <v>10000000</v>
      </c>
      <c r="D309" s="24" t="s">
        <v>20</v>
      </c>
      <c r="E309" s="24" t="s">
        <v>21</v>
      </c>
      <c r="F309" s="24" t="s">
        <v>10</v>
      </c>
      <c r="G309" s="24" t="s">
        <v>27</v>
      </c>
      <c r="H309" s="24" t="s">
        <v>12</v>
      </c>
      <c r="I309" s="26" t="s">
        <v>77</v>
      </c>
    </row>
    <row r="310" spans="1:9">
      <c r="A310" s="22">
        <v>49</v>
      </c>
      <c r="B310" s="23" t="s">
        <v>76</v>
      </c>
      <c r="C310" s="23" t="s">
        <v>141</v>
      </c>
      <c r="D310" s="24">
        <v>2</v>
      </c>
      <c r="E310" s="24" t="s">
        <v>21</v>
      </c>
      <c r="F310" s="24" t="s">
        <v>17</v>
      </c>
      <c r="G310" s="25" t="s">
        <v>18</v>
      </c>
      <c r="H310" s="24" t="s">
        <v>30</v>
      </c>
      <c r="I310" s="29" t="s">
        <v>77</v>
      </c>
    </row>
    <row r="311" spans="1:9">
      <c r="A311" s="22">
        <v>57</v>
      </c>
      <c r="B311" s="23" t="s">
        <v>86</v>
      </c>
      <c r="C311" s="23" t="s">
        <v>141</v>
      </c>
      <c r="D311" s="24" t="s">
        <v>20</v>
      </c>
      <c r="E311" s="24" t="s">
        <v>21</v>
      </c>
      <c r="F311" s="24" t="s">
        <v>55</v>
      </c>
      <c r="G311" s="24" t="s">
        <v>80</v>
      </c>
      <c r="H311" s="24" t="s">
        <v>12</v>
      </c>
      <c r="I311" s="29" t="s">
        <v>87</v>
      </c>
    </row>
    <row r="312" spans="1:9">
      <c r="A312" s="22">
        <v>222</v>
      </c>
      <c r="B312" s="23" t="s">
        <v>65</v>
      </c>
      <c r="C312" s="24" t="s">
        <v>141</v>
      </c>
      <c r="D312" s="24">
        <v>1</v>
      </c>
      <c r="E312" s="24" t="s">
        <v>25</v>
      </c>
      <c r="F312" s="24" t="s">
        <v>10</v>
      </c>
      <c r="G312" s="24" t="s">
        <v>11</v>
      </c>
      <c r="H312" s="24" t="s">
        <v>30</v>
      </c>
      <c r="I312" s="26" t="s">
        <v>87</v>
      </c>
    </row>
    <row r="313" spans="1:9">
      <c r="A313" s="22">
        <v>210</v>
      </c>
      <c r="B313" s="23" t="s">
        <v>50</v>
      </c>
      <c r="C313" s="24" t="s">
        <v>141</v>
      </c>
      <c r="D313" s="24">
        <v>1</v>
      </c>
      <c r="E313" s="24" t="s">
        <v>21</v>
      </c>
      <c r="F313" s="24" t="s">
        <v>10</v>
      </c>
      <c r="G313" s="24" t="s">
        <v>27</v>
      </c>
      <c r="H313" s="24" t="s">
        <v>12</v>
      </c>
      <c r="I313" s="26" t="s">
        <v>72</v>
      </c>
    </row>
    <row r="314" spans="1:9">
      <c r="A314" s="22">
        <v>78</v>
      </c>
      <c r="B314" s="23" t="s">
        <v>111</v>
      </c>
      <c r="C314" s="28">
        <v>20000000</v>
      </c>
      <c r="D314" s="24">
        <v>1</v>
      </c>
      <c r="E314" s="24" t="s">
        <v>21</v>
      </c>
      <c r="F314" s="24" t="s">
        <v>10</v>
      </c>
      <c r="G314" s="24" t="s">
        <v>11</v>
      </c>
      <c r="H314" s="24" t="s">
        <v>12</v>
      </c>
      <c r="I314" s="26" t="s">
        <v>72</v>
      </c>
    </row>
    <row r="315" spans="1:9">
      <c r="A315" s="22">
        <v>115</v>
      </c>
      <c r="B315" s="23" t="s">
        <v>58</v>
      </c>
      <c r="C315" s="27">
        <v>10000000</v>
      </c>
      <c r="D315" s="24">
        <v>2</v>
      </c>
      <c r="E315" s="24" t="s">
        <v>21</v>
      </c>
      <c r="F315" s="24" t="s">
        <v>10</v>
      </c>
      <c r="G315" s="24" t="s">
        <v>11</v>
      </c>
      <c r="H315" s="24" t="s">
        <v>12</v>
      </c>
      <c r="I315" s="26" t="s">
        <v>72</v>
      </c>
    </row>
    <row r="316" spans="1:9">
      <c r="A316" s="22">
        <v>45</v>
      </c>
      <c r="B316" s="23" t="s">
        <v>71</v>
      </c>
      <c r="C316" s="23" t="s">
        <v>141</v>
      </c>
      <c r="D316" s="24" t="s">
        <v>20</v>
      </c>
      <c r="E316" s="24" t="s">
        <v>21</v>
      </c>
      <c r="F316" s="24" t="s">
        <v>17</v>
      </c>
      <c r="G316" s="25" t="s">
        <v>18</v>
      </c>
      <c r="H316" s="24" t="s">
        <v>12</v>
      </c>
      <c r="I316" s="29" t="s">
        <v>72</v>
      </c>
    </row>
    <row r="317" spans="1:9">
      <c r="A317" s="22">
        <v>317</v>
      </c>
      <c r="B317" s="23" t="s">
        <v>81</v>
      </c>
      <c r="C317" s="27">
        <v>20000000</v>
      </c>
      <c r="D317" s="24">
        <v>2</v>
      </c>
      <c r="E317" s="24" t="s">
        <v>21</v>
      </c>
      <c r="F317" s="24" t="s">
        <v>17</v>
      </c>
      <c r="G317" s="24" t="s">
        <v>23</v>
      </c>
      <c r="H317" s="24" t="s">
        <v>30</v>
      </c>
      <c r="I317" s="26" t="s">
        <v>72</v>
      </c>
    </row>
    <row r="318" spans="1:9">
      <c r="A318" s="22">
        <v>243</v>
      </c>
      <c r="B318" s="23" t="s">
        <v>91</v>
      </c>
      <c r="C318" s="24" t="s">
        <v>141</v>
      </c>
      <c r="D318" s="24">
        <v>3</v>
      </c>
      <c r="E318" s="24" t="s">
        <v>25</v>
      </c>
      <c r="F318" s="24" t="s">
        <v>10</v>
      </c>
      <c r="G318" s="24" t="s">
        <v>11</v>
      </c>
      <c r="H318" s="24" t="s">
        <v>12</v>
      </c>
      <c r="I318" s="26" t="s">
        <v>72</v>
      </c>
    </row>
    <row r="319" spans="1:9">
      <c r="A319" s="22">
        <v>152</v>
      </c>
      <c r="B319" s="23" t="s">
        <v>101</v>
      </c>
      <c r="C319" s="27">
        <v>30000000</v>
      </c>
      <c r="D319" s="24">
        <v>3</v>
      </c>
      <c r="E319" s="24" t="s">
        <v>25</v>
      </c>
      <c r="F319" s="24" t="s">
        <v>10</v>
      </c>
      <c r="G319" s="24" t="s">
        <v>27</v>
      </c>
      <c r="H319" s="24" t="s">
        <v>12</v>
      </c>
      <c r="I319" s="26" t="s">
        <v>72</v>
      </c>
    </row>
    <row r="320" spans="1:9">
      <c r="A320" s="22">
        <v>280</v>
      </c>
      <c r="B320" s="23" t="s">
        <v>133</v>
      </c>
      <c r="C320" s="24" t="s">
        <v>141</v>
      </c>
      <c r="D320" s="24" t="s">
        <v>20</v>
      </c>
      <c r="E320" s="24" t="s">
        <v>54</v>
      </c>
      <c r="F320" s="24" t="s">
        <v>55</v>
      </c>
      <c r="G320" s="24" t="s">
        <v>56</v>
      </c>
      <c r="H320" s="24" t="s">
        <v>30</v>
      </c>
      <c r="I320" s="26" t="s">
        <v>72</v>
      </c>
    </row>
    <row r="321" spans="1:9">
      <c r="A321" s="22">
        <v>95</v>
      </c>
      <c r="B321" s="23" t="s">
        <v>129</v>
      </c>
      <c r="C321" s="28">
        <v>1000000</v>
      </c>
      <c r="D321" s="24">
        <v>4</v>
      </c>
      <c r="E321" s="24" t="s">
        <v>21</v>
      </c>
      <c r="F321" s="24" t="s">
        <v>10</v>
      </c>
      <c r="G321" s="24" t="s">
        <v>27</v>
      </c>
      <c r="H321" s="24" t="s">
        <v>12</v>
      </c>
      <c r="I321" s="29" t="s">
        <v>130</v>
      </c>
    </row>
    <row r="322" spans="1:9">
      <c r="A322" s="22">
        <v>169</v>
      </c>
      <c r="B322" s="23" t="s">
        <v>120</v>
      </c>
      <c r="C322" s="24" t="s">
        <v>141</v>
      </c>
      <c r="D322" s="24">
        <v>1</v>
      </c>
      <c r="E322" s="24" t="s">
        <v>21</v>
      </c>
      <c r="F322" s="24" t="s">
        <v>17</v>
      </c>
      <c r="G322" s="24" t="s">
        <v>23</v>
      </c>
      <c r="H322" s="24" t="s">
        <v>12</v>
      </c>
      <c r="I322" s="26" t="s">
        <v>130</v>
      </c>
    </row>
    <row r="323" spans="1:9">
      <c r="A323" s="22">
        <v>132</v>
      </c>
      <c r="B323" s="23" t="s">
        <v>76</v>
      </c>
      <c r="C323" s="27">
        <v>5000000</v>
      </c>
      <c r="D323" s="24">
        <v>1</v>
      </c>
      <c r="E323" s="24" t="s">
        <v>25</v>
      </c>
      <c r="F323" s="24" t="s">
        <v>10</v>
      </c>
      <c r="G323" s="24" t="s">
        <v>11</v>
      </c>
      <c r="H323" s="24" t="s">
        <v>30</v>
      </c>
      <c r="I323" s="26" t="s">
        <v>130</v>
      </c>
    </row>
    <row r="324" spans="1:9">
      <c r="A324" s="22">
        <v>297</v>
      </c>
      <c r="B324" s="23" t="s">
        <v>58</v>
      </c>
      <c r="C324" s="24" t="s">
        <v>141</v>
      </c>
      <c r="D324" s="24">
        <v>2</v>
      </c>
      <c r="E324" s="24" t="s">
        <v>54</v>
      </c>
      <c r="F324" s="24" t="s">
        <v>55</v>
      </c>
      <c r="G324" s="24" t="s">
        <v>56</v>
      </c>
      <c r="H324" s="24" t="s">
        <v>12</v>
      </c>
      <c r="I324" s="26" t="s">
        <v>130</v>
      </c>
    </row>
    <row r="325" spans="1:9">
      <c r="A325" s="31">
        <v>260</v>
      </c>
      <c r="B325" s="32" t="s">
        <v>111</v>
      </c>
      <c r="C325" s="39">
        <v>10000000</v>
      </c>
      <c r="D325" s="33">
        <v>1</v>
      </c>
      <c r="E325" s="33" t="s">
        <v>9</v>
      </c>
      <c r="F325" s="33" t="s">
        <v>10</v>
      </c>
      <c r="G325" s="33" t="s">
        <v>11</v>
      </c>
      <c r="H325" s="33" t="s">
        <v>12</v>
      </c>
      <c r="I325" s="34" t="s">
        <v>130</v>
      </c>
    </row>
  </sheetData>
  <autoFilter ref="B5:I5" xr:uid="{EE580557-475F-470D-A217-181DC405FCD0}"/>
  <sortState xmlns:xlrd2="http://schemas.microsoft.com/office/spreadsheetml/2017/richdata2" ref="A6:I325">
    <sortCondition ref="I6:I325"/>
    <sortCondition descending="1" ref="E6:E325"/>
    <sortCondition ref="F6:F325"/>
    <sortCondition descending="1" ref="C6:C325"/>
  </sortState>
  <mergeCells count="3">
    <mergeCell ref="A3:I3"/>
    <mergeCell ref="A4:I4"/>
    <mergeCell ref="A1:H2"/>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243AD-3B25-49B6-A145-269D72C1AE51}">
  <dimension ref="A1:K8"/>
  <sheetViews>
    <sheetView workbookViewId="0">
      <selection activeCell="A4" sqref="A4"/>
    </sheetView>
  </sheetViews>
  <sheetFormatPr baseColWidth="10" defaultRowHeight="15"/>
  <sheetData>
    <row r="1" spans="1:11">
      <c r="A1" s="43"/>
      <c r="B1" s="43"/>
      <c r="C1" s="43"/>
      <c r="D1" s="43"/>
      <c r="E1" s="43"/>
      <c r="F1" s="43"/>
      <c r="G1" s="43"/>
      <c r="H1" s="43"/>
      <c r="I1" s="240" t="s">
        <v>1515</v>
      </c>
      <c r="J1" s="240" t="s">
        <v>1528</v>
      </c>
      <c r="K1" s="240" t="s">
        <v>1529</v>
      </c>
    </row>
    <row r="2" spans="1:11">
      <c r="A2" s="241" t="s">
        <v>1515</v>
      </c>
      <c r="B2" s="241" t="s">
        <v>1528</v>
      </c>
      <c r="C2" s="241" t="s">
        <v>1529</v>
      </c>
      <c r="D2" s="241" t="s">
        <v>1517</v>
      </c>
      <c r="E2" s="241" t="s">
        <v>1518</v>
      </c>
      <c r="F2" s="241" t="s">
        <v>1519</v>
      </c>
      <c r="G2" s="43"/>
      <c r="H2" s="43"/>
      <c r="I2" s="43" t="s">
        <v>1530</v>
      </c>
      <c r="J2" s="43" t="s">
        <v>1494</v>
      </c>
      <c r="K2" s="43" t="s">
        <v>518</v>
      </c>
    </row>
    <row r="3" spans="1:11">
      <c r="A3" s="207" t="s">
        <v>1530</v>
      </c>
      <c r="B3" s="207" t="s">
        <v>1494</v>
      </c>
      <c r="C3" s="207" t="s">
        <v>518</v>
      </c>
      <c r="D3" s="225">
        <v>110</v>
      </c>
      <c r="E3" s="225">
        <v>23.1</v>
      </c>
      <c r="F3" s="225">
        <v>133.1</v>
      </c>
      <c r="G3" s="43"/>
      <c r="H3" s="43"/>
      <c r="I3" s="43" t="s">
        <v>1531</v>
      </c>
      <c r="J3" s="43" t="s">
        <v>1497</v>
      </c>
      <c r="K3" s="43" t="s">
        <v>520</v>
      </c>
    </row>
    <row r="4" spans="1:11">
      <c r="A4" s="207" t="s">
        <v>1530</v>
      </c>
      <c r="B4" s="207" t="s">
        <v>1499</v>
      </c>
      <c r="C4" s="207" t="s">
        <v>530</v>
      </c>
      <c r="D4" s="207"/>
      <c r="E4" s="207"/>
      <c r="F4" s="207"/>
      <c r="G4" s="43"/>
      <c r="H4" s="43"/>
      <c r="I4" s="43" t="s">
        <v>1532</v>
      </c>
      <c r="J4" s="43" t="s">
        <v>1499</v>
      </c>
      <c r="K4" s="43" t="s">
        <v>525</v>
      </c>
    </row>
    <row r="5" spans="1:11">
      <c r="A5" s="207" t="s">
        <v>1531</v>
      </c>
      <c r="B5" s="207"/>
      <c r="C5" s="207"/>
      <c r="D5" s="207"/>
      <c r="E5" s="207"/>
      <c r="F5" s="207"/>
      <c r="G5" s="43"/>
      <c r="H5" s="43"/>
      <c r="I5" s="43" t="s">
        <v>1533</v>
      </c>
      <c r="J5" s="43" t="s">
        <v>1502</v>
      </c>
      <c r="K5" s="43" t="s">
        <v>530</v>
      </c>
    </row>
    <row r="6" spans="1:11">
      <c r="A6" s="207"/>
      <c r="B6" s="207"/>
      <c r="C6" s="207"/>
      <c r="D6" s="207"/>
      <c r="E6" s="207"/>
      <c r="F6" s="207"/>
      <c r="G6" s="43"/>
      <c r="H6" s="43"/>
      <c r="I6" s="43" t="s">
        <v>1534</v>
      </c>
      <c r="J6" s="43" t="s">
        <v>1503</v>
      </c>
      <c r="K6" s="43" t="s">
        <v>534</v>
      </c>
    </row>
    <row r="7" spans="1:11">
      <c r="A7" s="207"/>
      <c r="B7" s="207"/>
      <c r="C7" s="207"/>
      <c r="D7" s="207"/>
      <c r="E7" s="207"/>
      <c r="F7" s="207"/>
      <c r="G7" s="43"/>
      <c r="H7" s="43"/>
      <c r="I7" s="43"/>
      <c r="J7" s="43"/>
      <c r="K7" s="43"/>
    </row>
    <row r="8" spans="1:11">
      <c r="A8" s="207"/>
      <c r="B8" s="207"/>
      <c r="C8" s="207"/>
      <c r="D8" s="207"/>
      <c r="E8" s="207"/>
      <c r="F8" s="207"/>
      <c r="G8" s="43"/>
      <c r="H8" s="43"/>
      <c r="I8" s="43"/>
      <c r="J8" s="43"/>
      <c r="K8" s="43"/>
    </row>
  </sheetData>
  <conditionalFormatting sqref="A3:A5">
    <cfRule type="duplicateValues" dxfId="28" priority="1"/>
  </conditionalFormatting>
  <dataValidations count="1">
    <dataValidation type="list" allowBlank="1" showInputMessage="1" showErrorMessage="1" sqref="A2:C8" xr:uid="{0B2D920C-F9CC-48DF-9BE2-03104F0973D1}">
      <formula1>INDIRECT(A$2)</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6C171D41-66E3-4F44-B672-9439495B0602}">
  <ds:schemaRefs/>
</ds:datastoreItem>
</file>

<file path=customXml/itemProps2.xml><?xml version="1.0" encoding="utf-8"?>
<ds:datastoreItem xmlns:ds="http://schemas.openxmlformats.org/officeDocument/2006/customXml" ds:itemID="{547EDCDF-1415-4760-A167-45A00F347902}">
  <ds:schemaRefs/>
</ds:datastoreItem>
</file>

<file path=customXml/itemProps3.xml><?xml version="1.0" encoding="utf-8"?>
<ds:datastoreItem xmlns:ds="http://schemas.openxmlformats.org/officeDocument/2006/customXml" ds:itemID="{D734E766-992D-4784-B4C4-BC85C61BC788}">
  <ds:schemaRefs/>
</ds:datastoreItem>
</file>

<file path=customXml/itemProps4.xml><?xml version="1.0" encoding="utf-8"?>
<ds:datastoreItem xmlns:ds="http://schemas.openxmlformats.org/officeDocument/2006/customXml" ds:itemID="{AE5214A2-C278-45EF-AAC0-84ABD2ED67DA}">
  <ds:schemaRefs/>
</ds:datastoreItem>
</file>

<file path=customXml/itemProps5.xml><?xml version="1.0" encoding="utf-8"?>
<ds:datastoreItem xmlns:ds="http://schemas.openxmlformats.org/officeDocument/2006/customXml" ds:itemID="{40C0F9FF-C279-4A32-895C-7F7E1F5911DC}">
  <ds:schemaRefs/>
</ds:datastoreItem>
</file>

<file path=customXml/itemProps6.xml><?xml version="1.0" encoding="utf-8"?>
<ds:datastoreItem xmlns:ds="http://schemas.openxmlformats.org/officeDocument/2006/customXml" ds:itemID="{62C9E231-7403-4D09-ADD4-02129BC2CE22}">
  <ds:schemaRefs/>
</ds:datastoreItem>
</file>

<file path=customXml/itemProps7.xml><?xml version="1.0" encoding="utf-8"?>
<ds:datastoreItem xmlns:ds="http://schemas.openxmlformats.org/officeDocument/2006/customXml" ds:itemID="{8177453D-B363-4C50-8B48-48EE84D03438}">
  <ds:schemaRefs/>
</ds:datastoreItem>
</file>

<file path=customXml/itemProps8.xml><?xml version="1.0" encoding="utf-8"?>
<ds:datastoreItem xmlns:ds="http://schemas.openxmlformats.org/officeDocument/2006/customXml" ds:itemID="{07F95F8A-ACA6-42B4-AD32-0F23C1FA5FBD}">
  <ds:schemaRefs/>
</ds:datastoreItem>
</file>

<file path=customXml/itemProps9.xml><?xml version="1.0" encoding="utf-8"?>
<ds:datastoreItem xmlns:ds="http://schemas.openxmlformats.org/officeDocument/2006/customXml" ds:itemID="{774B0CC1-7977-45D0-9481-15F493893BFF}">
  <ds:schemaRefs/>
</ds:datastoreItem>
</file>

<file path=customXml/itemProps10.xml><?xml version="1.0" encoding="utf-8"?>
<ds:datastoreItem xmlns:ds="http://schemas.openxmlformats.org/officeDocument/2006/customXml" ds:itemID="{CB767586-A8A6-451D-98DE-79358950184F}">
  <ds:schemaRefs/>
</ds:datastoreItem>
</file>

<file path=customXml/itemProps11.xml><?xml version="1.0" encoding="utf-8"?>
<ds:datastoreItem xmlns:ds="http://schemas.openxmlformats.org/officeDocument/2006/customXml" ds:itemID="{B1561FE4-37E4-403D-962F-8CBF96373A4A}">
  <ds:schemaRefs/>
</ds:datastoreItem>
</file>

<file path=customXml/itemProps12.xml><?xml version="1.0" encoding="utf-8"?>
<ds:datastoreItem xmlns:ds="http://schemas.openxmlformats.org/officeDocument/2006/customXml" ds:itemID="{31121C78-C621-4099-A567-0E061DE43384}">
  <ds:schemaRefs/>
</ds:datastoreItem>
</file>

<file path=customXml/itemProps13.xml><?xml version="1.0" encoding="utf-8"?>
<ds:datastoreItem xmlns:ds="http://schemas.openxmlformats.org/officeDocument/2006/customXml" ds:itemID="{50FC3B65-DA12-46F9-B301-E0F39ED1A5D8}">
  <ds:schemaRefs/>
</ds:datastoreItem>
</file>

<file path=customXml/itemProps14.xml><?xml version="1.0" encoding="utf-8"?>
<ds:datastoreItem xmlns:ds="http://schemas.openxmlformats.org/officeDocument/2006/customXml" ds:itemID="{A83E7A38-513C-46DE-919F-D2AFA30D7246}">
  <ds:schemaRefs/>
</ds:datastoreItem>
</file>

<file path=customXml/itemProps15.xml><?xml version="1.0" encoding="utf-8"?>
<ds:datastoreItem xmlns:ds="http://schemas.openxmlformats.org/officeDocument/2006/customXml" ds:itemID="{706C8FDE-1CE2-4A4D-A45D-80ADC99DA5BB}">
  <ds:schemaRefs/>
</ds:datastoreItem>
</file>

<file path=customXml/itemProps16.xml><?xml version="1.0" encoding="utf-8"?>
<ds:datastoreItem xmlns:ds="http://schemas.openxmlformats.org/officeDocument/2006/customXml" ds:itemID="{DE5893D2-1487-48E1-BDD5-2B5885972A50}">
  <ds:schemaRefs>
    <ds:schemaRef ds:uri="http://schemas.microsoft.com/DataMashup"/>
  </ds:schemaRefs>
</ds:datastoreItem>
</file>

<file path=customXml/itemProps17.xml><?xml version="1.0" encoding="utf-8"?>
<ds:datastoreItem xmlns:ds="http://schemas.openxmlformats.org/officeDocument/2006/customXml" ds:itemID="{D3BB063A-7B83-4846-8B0B-353F9B4CEF8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26</vt:i4>
      </vt:variant>
      <vt:variant>
        <vt:lpstr>Rangos con nombre</vt:lpstr>
      </vt:variant>
      <vt:variant>
        <vt:i4>14</vt:i4>
      </vt:variant>
    </vt:vector>
  </HeadingPairs>
  <TitlesOfParts>
    <vt:vector size="40" baseType="lpstr">
      <vt:lpstr>tarea uno</vt:lpstr>
      <vt:lpstr>UNION Y SEPARACION</vt:lpstr>
      <vt:lpstr>SUM PROM Y REDONDEO</vt:lpstr>
      <vt:lpstr>SUMAR.SI</vt:lpstr>
      <vt:lpstr>SUMAPRODUCTO</vt:lpstr>
      <vt:lpstr>SUMAPRODUCTO2</vt:lpstr>
      <vt:lpstr>BUSCARV</vt:lpstr>
      <vt:lpstr>buscarv2</vt:lpstr>
      <vt:lpstr>buscarv3</vt:lpstr>
      <vt:lpstr>bdbuscarv</vt:lpstr>
      <vt:lpstr>POWER PIVOT</vt:lpstr>
      <vt:lpstr>Tabla 4</vt:lpstr>
      <vt:lpstr>Hoja4</vt:lpstr>
      <vt:lpstr>limpieza y dashboard</vt:lpstr>
      <vt:lpstr>Hoja1</vt:lpstr>
      <vt:lpstr>CONDICIONALES</vt:lpstr>
      <vt:lpstr>Tabla 1</vt:lpstr>
      <vt:lpstr>IMPORTAR</vt:lpstr>
      <vt:lpstr>formulario</vt:lpstr>
      <vt:lpstr>BuscarH</vt:lpstr>
      <vt:lpstr>SI</vt:lpstr>
      <vt:lpstr>FORMATOCONDICIONAL</vt:lpstr>
      <vt:lpstr>TABLADIN</vt:lpstr>
      <vt:lpstr>reto dos</vt:lpstr>
      <vt:lpstr>FILTRO</vt:lpstr>
      <vt:lpstr>listas</vt:lpstr>
      <vt:lpstr>articulo</vt:lpstr>
      <vt:lpstr>comercial</vt:lpstr>
      <vt:lpstr>CONOCIMIENTO</vt:lpstr>
      <vt:lpstr>datos</vt:lpstr>
      <vt:lpstr>IINVREAL</vt:lpstr>
      <vt:lpstr>INTENCION</vt:lpstr>
      <vt:lpstr>Inversión</vt:lpstr>
      <vt:lpstr>INVEXP</vt:lpstr>
      <vt:lpstr>INVREAL</vt:lpstr>
      <vt:lpstr>INVREAL16</vt:lpstr>
      <vt:lpstr>INVREAL17</vt:lpstr>
      <vt:lpstr>marca</vt:lpstr>
      <vt:lpstr>SECTOR</vt:lpstr>
      <vt:lpstr>Trabajo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Jorge Silva</dc:creator>
  <cp:lastModifiedBy>LUIS RODOLFO   SILVA CASTELLANOS</cp:lastModifiedBy>
  <dcterms:created xsi:type="dcterms:W3CDTF">2026-02-12T05:51:49Z</dcterms:created>
  <dcterms:modified xsi:type="dcterms:W3CDTF">2026-04-05T04:24:22Z</dcterms:modified>
</cp:coreProperties>
</file>